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S:\TEC\Technical_Function\1.1.Process_Develop_Tools\03.Shared\01.Process_Development\GD\02_Atividades em andamento\João Klippel\"/>
    </mc:Choice>
  </mc:AlternateContent>
  <xr:revisionPtr revIDLastSave="0" documentId="13_ncr:1_{E4A09C83-86C3-4531-AE48-215C3D208EF1}" xr6:coauthVersionLast="47" xr6:coauthVersionMax="47" xr10:uidLastSave="{00000000-0000-0000-0000-000000000000}"/>
  <bookViews>
    <workbookView xWindow="-120" yWindow="-120" windowWidth="29040" windowHeight="15720" activeTab="3" xr2:uid="{17DA39BD-928C-4F5B-A9AF-C5E2230D1C96}"/>
  </bookViews>
  <sheets>
    <sheet name="Base de combinação" sheetId="4" r:id="rId1"/>
    <sheet name="Simluação" sheetId="1" r:id="rId2"/>
    <sheet name="Geral" sheetId="2" r:id="rId3"/>
    <sheet name="Lote 1" sheetId="5" r:id="rId4"/>
    <sheet name="Lote 2" sheetId="6" r:id="rId5"/>
    <sheet name="Lote 3" sheetId="8" r:id="rId6"/>
    <sheet name="Lote 4" sheetId="9" r:id="rId7"/>
    <sheet name="Lote 5" sheetId="10" r:id="rId8"/>
    <sheet name="Lote 6" sheetId="11" r:id="rId9"/>
    <sheet name="Lote 7" sheetId="12" r:id="rId10"/>
    <sheet name="Lote 8" sheetId="13" r:id="rId11"/>
    <sheet name="Lote 9" sheetId="14" r:id="rId12"/>
    <sheet name="Lote 10" sheetId="15" r:id="rId13"/>
  </sheets>
  <definedNames>
    <definedName name="_xlnm._FilterDatabase" localSheetId="0" hidden="1">'Base de combinação'!$A$1:$F$1626</definedName>
    <definedName name="_xlnm._FilterDatabase" localSheetId="2" hidden="1">Geral!$I$1:$N$126</definedName>
    <definedName name="_xlnm._FilterDatabase" localSheetId="3" hidden="1">'Lote 1'!$I$1:$N$126</definedName>
    <definedName name="_xlnm._FilterDatabase" localSheetId="12" hidden="1">'Lote 10'!$I$1:$N$126</definedName>
    <definedName name="_xlnm._FilterDatabase" localSheetId="4" hidden="1">'Lote 2'!$I$1:$N$126</definedName>
    <definedName name="_xlnm._FilterDatabase" localSheetId="5" hidden="1">'Lote 3'!$J$1:$N$626</definedName>
    <definedName name="_xlnm._FilterDatabase" localSheetId="6" hidden="1">'Lote 4'!$J$1:$N$626</definedName>
    <definedName name="_xlnm._FilterDatabase" localSheetId="7" hidden="1">'Lote 5'!$J$1:$N$626</definedName>
    <definedName name="_xlnm._FilterDatabase" localSheetId="8" hidden="1">'Lote 6'!$J$1:$N$626</definedName>
    <definedName name="_xlnm._FilterDatabase" localSheetId="9" hidden="1">'Lote 7'!$J$1:$N$626</definedName>
    <definedName name="_xlnm._FilterDatabase" localSheetId="10" hidden="1">'Lote 8'!$J$1:$N$626</definedName>
    <definedName name="_xlnm._FilterDatabase" localSheetId="11" hidden="1">'Lote 9'!$J$1:$N$626</definedName>
    <definedName name="_xleta.XLOOKUP" hidden="1" xlm="1">#NAME?</definedName>
    <definedName name="solver_adj" localSheetId="0" hidden="1">'Base de combinação'!#REF!</definedName>
    <definedName name="solver_adj" localSheetId="2" hidden="1">Geral!$I$2:$I$126</definedName>
    <definedName name="solver_adj" localSheetId="3" hidden="1">'Lote 1'!$I$2:$I$126</definedName>
    <definedName name="solver_adj" localSheetId="12" hidden="1">'Lote 10'!$I$2:$I$126</definedName>
    <definedName name="solver_adj" localSheetId="4" hidden="1">'Lote 2'!$I$2:$I$126</definedName>
    <definedName name="solver_adj" localSheetId="5" hidden="1">'Lote 3'!$I$2:$I$126</definedName>
    <definedName name="solver_adj" localSheetId="6" hidden="1">'Lote 4'!$I$2:$I$126</definedName>
    <definedName name="solver_adj" localSheetId="7" hidden="1">'Lote 5'!$I$2:$I$126</definedName>
    <definedName name="solver_adj" localSheetId="8" hidden="1">'Lote 6'!$I$2:$I$126</definedName>
    <definedName name="solver_adj" localSheetId="9" hidden="1">'Lote 7'!$I$2:$I$126</definedName>
    <definedName name="solver_adj" localSheetId="10" hidden="1">'Lote 8'!$I$2:$I$126</definedName>
    <definedName name="solver_adj" localSheetId="11" hidden="1">'Lote 9'!$I$2:$I$126</definedName>
    <definedName name="solver_cvg" localSheetId="0" hidden="1">0.0001</definedName>
    <definedName name="solver_cvg" localSheetId="2" hidden="1">0.0001</definedName>
    <definedName name="solver_cvg" localSheetId="3" hidden="1">0.0001</definedName>
    <definedName name="solver_cvg" localSheetId="12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drv" localSheetId="0" hidden="1">2</definedName>
    <definedName name="solver_drv" localSheetId="2" hidden="1">1</definedName>
    <definedName name="solver_drv" localSheetId="3" hidden="1">1</definedName>
    <definedName name="solver_drv" localSheetId="12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eng" localSheetId="0" hidden="1">2</definedName>
    <definedName name="solver_eng" localSheetId="2" hidden="1">2</definedName>
    <definedName name="solver_eng" localSheetId="3" hidden="1">2</definedName>
    <definedName name="solver_eng" localSheetId="12" hidden="1">2</definedName>
    <definedName name="solver_eng" localSheetId="4" hidden="1">2</definedName>
    <definedName name="solver_eng" localSheetId="5" hidden="1">2</definedName>
    <definedName name="solver_eng" localSheetId="6" hidden="1">2</definedName>
    <definedName name="solver_eng" localSheetId="7" hidden="1">2</definedName>
    <definedName name="solver_eng" localSheetId="8" hidden="1">2</definedName>
    <definedName name="solver_eng" localSheetId="9" hidden="1">2</definedName>
    <definedName name="solver_eng" localSheetId="10" hidden="1">2</definedName>
    <definedName name="solver_eng" localSheetId="11" hidden="1">2</definedName>
    <definedName name="solver_est" localSheetId="0" hidden="1">1</definedName>
    <definedName name="solver_est" localSheetId="2" hidden="1">1</definedName>
    <definedName name="solver_est" localSheetId="3" hidden="1">1</definedName>
    <definedName name="solver_est" localSheetId="12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itr" localSheetId="0" hidden="1">2147483647</definedName>
    <definedName name="solver_itr" localSheetId="2" hidden="1">2147483647</definedName>
    <definedName name="solver_itr" localSheetId="3" hidden="1">2147483647</definedName>
    <definedName name="solver_itr" localSheetId="12" hidden="1">2147483647</definedName>
    <definedName name="solver_itr" localSheetId="4" hidden="1">2147483647</definedName>
    <definedName name="solver_itr" localSheetId="5" hidden="1">2147483647</definedName>
    <definedName name="solver_itr" localSheetId="6" hidden="1">2147483647</definedName>
    <definedName name="solver_itr" localSheetId="7" hidden="1">2147483647</definedName>
    <definedName name="solver_itr" localSheetId="8" hidden="1">2147483647</definedName>
    <definedName name="solver_itr" localSheetId="9" hidden="1">2147483647</definedName>
    <definedName name="solver_itr" localSheetId="10" hidden="1">2147483647</definedName>
    <definedName name="solver_itr" localSheetId="11" hidden="1">2147483647</definedName>
    <definedName name="solver_lhs1" localSheetId="2" hidden="1">Geral!$B$10</definedName>
    <definedName name="solver_lhs1" localSheetId="3" hidden="1">'Lote 1'!$B$10</definedName>
    <definedName name="solver_lhs1" localSheetId="12" hidden="1">'Lote 10'!$B$10</definedName>
    <definedName name="solver_lhs1" localSheetId="4" hidden="1">'Lote 2'!$B$10</definedName>
    <definedName name="solver_lhs1" localSheetId="5" hidden="1">'Lote 3'!$B$10</definedName>
    <definedName name="solver_lhs1" localSheetId="6" hidden="1">'Lote 4'!$B$10</definedName>
    <definedName name="solver_lhs1" localSheetId="7" hidden="1">'Lote 5'!$B$10</definedName>
    <definedName name="solver_lhs1" localSheetId="8" hidden="1">'Lote 6'!$B$10</definedName>
    <definedName name="solver_lhs1" localSheetId="9" hidden="1">'Lote 7'!$B$10</definedName>
    <definedName name="solver_lhs1" localSheetId="10" hidden="1">'Lote 8'!$B$10</definedName>
    <definedName name="solver_lhs1" localSheetId="11" hidden="1">'Lote 9'!$B$10</definedName>
    <definedName name="solver_lhs10" localSheetId="2" hidden="1">Geral!$C$14</definedName>
    <definedName name="solver_lhs10" localSheetId="3" hidden="1">'Lote 1'!$C$14</definedName>
    <definedName name="solver_lhs10" localSheetId="12" hidden="1">'Lote 10'!$C$14</definedName>
    <definedName name="solver_lhs10" localSheetId="4" hidden="1">'Lote 2'!$C$14</definedName>
    <definedName name="solver_lhs10" localSheetId="5" hidden="1">'Lote 3'!$C$14</definedName>
    <definedName name="solver_lhs10" localSheetId="6" hidden="1">'Lote 4'!$C$14</definedName>
    <definedName name="solver_lhs10" localSheetId="7" hidden="1">'Lote 5'!$C$14</definedName>
    <definedName name="solver_lhs10" localSheetId="8" hidden="1">'Lote 6'!$C$14</definedName>
    <definedName name="solver_lhs10" localSheetId="9" hidden="1">'Lote 7'!$C$14</definedName>
    <definedName name="solver_lhs10" localSheetId="10" hidden="1">'Lote 8'!$C$14</definedName>
    <definedName name="solver_lhs10" localSheetId="11" hidden="1">'Lote 9'!$C$14</definedName>
    <definedName name="solver_lhs11" localSheetId="2" hidden="1">Geral!$D$10</definedName>
    <definedName name="solver_lhs11" localSheetId="3" hidden="1">'Lote 1'!$D$10</definedName>
    <definedName name="solver_lhs11" localSheetId="12" hidden="1">'Lote 10'!$D$10</definedName>
    <definedName name="solver_lhs11" localSheetId="4" hidden="1">'Lote 2'!$D$10</definedName>
    <definedName name="solver_lhs11" localSheetId="5" hidden="1">'Lote 3'!$D$10</definedName>
    <definedName name="solver_lhs11" localSheetId="6" hidden="1">'Lote 4'!$D$10</definedName>
    <definedName name="solver_lhs11" localSheetId="7" hidden="1">'Lote 5'!$D$10</definedName>
    <definedName name="solver_lhs11" localSheetId="8" hidden="1">'Lote 6'!$D$10</definedName>
    <definedName name="solver_lhs11" localSheetId="9" hidden="1">'Lote 7'!$D$10</definedName>
    <definedName name="solver_lhs11" localSheetId="10" hidden="1">'Lote 8'!$D$10</definedName>
    <definedName name="solver_lhs11" localSheetId="11" hidden="1">'Lote 9'!$D$10</definedName>
    <definedName name="solver_lhs12" localSheetId="2" hidden="1">Geral!$D$11</definedName>
    <definedName name="solver_lhs12" localSheetId="3" hidden="1">'Lote 1'!$D$11</definedName>
    <definedName name="solver_lhs12" localSheetId="12" hidden="1">'Lote 10'!$D$11</definedName>
    <definedName name="solver_lhs12" localSheetId="4" hidden="1">'Lote 2'!$D$11</definedName>
    <definedName name="solver_lhs12" localSheetId="5" hidden="1">'Lote 3'!$D$11</definedName>
    <definedName name="solver_lhs12" localSheetId="6" hidden="1">'Lote 4'!$D$11</definedName>
    <definedName name="solver_lhs12" localSheetId="7" hidden="1">'Lote 5'!$D$11</definedName>
    <definedName name="solver_lhs12" localSheetId="8" hidden="1">'Lote 6'!$D$11</definedName>
    <definedName name="solver_lhs12" localSheetId="9" hidden="1">'Lote 7'!$D$11</definedName>
    <definedName name="solver_lhs12" localSheetId="10" hidden="1">'Lote 8'!$D$11</definedName>
    <definedName name="solver_lhs12" localSheetId="11" hidden="1">'Lote 9'!$D$11</definedName>
    <definedName name="solver_lhs13" localSheetId="2" hidden="1">Geral!$D$12</definedName>
    <definedName name="solver_lhs13" localSheetId="3" hidden="1">'Lote 1'!$D$12</definedName>
    <definedName name="solver_lhs13" localSheetId="12" hidden="1">'Lote 10'!$D$12</definedName>
    <definedName name="solver_lhs13" localSheetId="4" hidden="1">'Lote 2'!$D$12</definedName>
    <definedName name="solver_lhs13" localSheetId="5" hidden="1">'Lote 3'!$D$12</definedName>
    <definedName name="solver_lhs13" localSheetId="6" hidden="1">'Lote 4'!$D$12</definedName>
    <definedName name="solver_lhs13" localSheetId="7" hidden="1">'Lote 5'!$D$12</definedName>
    <definedName name="solver_lhs13" localSheetId="8" hidden="1">'Lote 6'!$D$12</definedName>
    <definedName name="solver_lhs13" localSheetId="9" hidden="1">'Lote 7'!$D$12</definedName>
    <definedName name="solver_lhs13" localSheetId="10" hidden="1">'Lote 8'!$D$12</definedName>
    <definedName name="solver_lhs13" localSheetId="11" hidden="1">'Lote 9'!$D$12</definedName>
    <definedName name="solver_lhs14" localSheetId="2" hidden="1">Geral!$D$13</definedName>
    <definedName name="solver_lhs14" localSheetId="3" hidden="1">'Lote 1'!$D$13</definedName>
    <definedName name="solver_lhs14" localSheetId="12" hidden="1">'Lote 10'!$D$13</definedName>
    <definedName name="solver_lhs14" localSheetId="4" hidden="1">'Lote 2'!$D$13</definedName>
    <definedName name="solver_lhs14" localSheetId="5" hidden="1">'Lote 3'!$D$13</definedName>
    <definedName name="solver_lhs14" localSheetId="6" hidden="1">'Lote 4'!$D$13</definedName>
    <definedName name="solver_lhs14" localSheetId="7" hidden="1">'Lote 5'!$D$13</definedName>
    <definedName name="solver_lhs14" localSheetId="8" hidden="1">'Lote 6'!$D$13</definedName>
    <definedName name="solver_lhs14" localSheetId="9" hidden="1">'Lote 7'!$D$13</definedName>
    <definedName name="solver_lhs14" localSheetId="10" hidden="1">'Lote 8'!$D$13</definedName>
    <definedName name="solver_lhs14" localSheetId="11" hidden="1">'Lote 9'!$D$13</definedName>
    <definedName name="solver_lhs15" localSheetId="2" hidden="1">Geral!$D$14</definedName>
    <definedName name="solver_lhs15" localSheetId="3" hidden="1">'Lote 1'!$D$14</definedName>
    <definedName name="solver_lhs15" localSheetId="12" hidden="1">'Lote 10'!$D$14</definedName>
    <definedName name="solver_lhs15" localSheetId="4" hidden="1">'Lote 2'!$D$14</definedName>
    <definedName name="solver_lhs15" localSheetId="5" hidden="1">'Lote 3'!$D$14</definedName>
    <definedName name="solver_lhs15" localSheetId="6" hidden="1">'Lote 4'!$D$14</definedName>
    <definedName name="solver_lhs15" localSheetId="7" hidden="1">'Lote 5'!$D$14</definedName>
    <definedName name="solver_lhs15" localSheetId="8" hidden="1">'Lote 6'!$D$14</definedName>
    <definedName name="solver_lhs15" localSheetId="9" hidden="1">'Lote 7'!$D$14</definedName>
    <definedName name="solver_lhs15" localSheetId="10" hidden="1">'Lote 8'!$D$14</definedName>
    <definedName name="solver_lhs15" localSheetId="11" hidden="1">'Lote 9'!$D$14</definedName>
    <definedName name="solver_lhs16" localSheetId="2" hidden="1">Geral!$I$2:$I$126</definedName>
    <definedName name="solver_lhs16" localSheetId="3" hidden="1">'Lote 1'!$I$2:$I$126</definedName>
    <definedName name="solver_lhs16" localSheetId="12" hidden="1">'Lote 10'!$I$2:$I$126</definedName>
    <definedName name="solver_lhs16" localSheetId="4" hidden="1">'Lote 2'!$I$2:$I$126</definedName>
    <definedName name="solver_lhs16" localSheetId="5" hidden="1">'Lote 3'!$I$2:$I$126</definedName>
    <definedName name="solver_lhs16" localSheetId="6" hidden="1">'Lote 4'!$I$2:$I$126</definedName>
    <definedName name="solver_lhs16" localSheetId="7" hidden="1">'Lote 5'!$I$2:$I$126</definedName>
    <definedName name="solver_lhs16" localSheetId="8" hidden="1">'Lote 6'!$I$2:$I$126</definedName>
    <definedName name="solver_lhs16" localSheetId="9" hidden="1">'Lote 7'!$I$2:$I$126</definedName>
    <definedName name="solver_lhs16" localSheetId="10" hidden="1">'Lote 8'!$I$2:$I$126</definedName>
    <definedName name="solver_lhs16" localSheetId="11" hidden="1">'Lote 9'!$I$2:$I$126</definedName>
    <definedName name="solver_lhs17" localSheetId="2" hidden="1">Geral!$I$2:$I$44</definedName>
    <definedName name="solver_lhs17" localSheetId="3" hidden="1">'Lote 1'!$I$2:$I$44</definedName>
    <definedName name="solver_lhs17" localSheetId="12" hidden="1">'Lote 10'!$I$2:$I$44</definedName>
    <definedName name="solver_lhs17" localSheetId="4" hidden="1">'Lote 2'!$I$2:$I$44</definedName>
    <definedName name="solver_lhs17" localSheetId="5" hidden="1">'Lote 3'!$I$2:$I$44</definedName>
    <definedName name="solver_lhs17" localSheetId="6" hidden="1">'Lote 4'!$I$2:$I$44</definedName>
    <definedName name="solver_lhs17" localSheetId="7" hidden="1">'Lote 5'!$I$2:$I$44</definedName>
    <definedName name="solver_lhs17" localSheetId="8" hidden="1">'Lote 6'!$I$2:$I$44</definedName>
    <definedName name="solver_lhs17" localSheetId="9" hidden="1">'Lote 7'!$I$2:$I$44</definedName>
    <definedName name="solver_lhs17" localSheetId="10" hidden="1">'Lote 8'!$I$2:$I$44</definedName>
    <definedName name="solver_lhs17" localSheetId="11" hidden="1">'Lote 9'!$I$2:$I$44</definedName>
    <definedName name="solver_lhs18" localSheetId="2" hidden="1">Geral!$I$2:$I$44</definedName>
    <definedName name="solver_lhs18" localSheetId="3" hidden="1">'Lote 1'!$I$2:$I$44</definedName>
    <definedName name="solver_lhs18" localSheetId="12" hidden="1">'Lote 10'!$I$2:$I$44</definedName>
    <definedName name="solver_lhs18" localSheetId="4" hidden="1">'Lote 2'!$I$2:$I$44</definedName>
    <definedName name="solver_lhs18" localSheetId="5" hidden="1">'Lote 3'!$I$2:$I$44</definedName>
    <definedName name="solver_lhs18" localSheetId="6" hidden="1">'Lote 4'!$I$2:$I$44</definedName>
    <definedName name="solver_lhs18" localSheetId="7" hidden="1">'Lote 5'!$I$2:$I$44</definedName>
    <definedName name="solver_lhs18" localSheetId="8" hidden="1">'Lote 6'!$I$2:$I$44</definedName>
    <definedName name="solver_lhs18" localSheetId="9" hidden="1">'Lote 7'!$I$2:$I$44</definedName>
    <definedName name="solver_lhs18" localSheetId="10" hidden="1">'Lote 8'!$I$2:$I$44</definedName>
    <definedName name="solver_lhs18" localSheetId="11" hidden="1">'Lote 9'!$I$2:$I$44</definedName>
    <definedName name="solver_lhs19" localSheetId="2" hidden="1">Geral!$I$2:$I$44</definedName>
    <definedName name="solver_lhs19" localSheetId="3" hidden="1">'Lote 1'!$I$2:$I$44</definedName>
    <definedName name="solver_lhs19" localSheetId="12" hidden="1">'Lote 10'!$I$2:$I$44</definedName>
    <definedName name="solver_lhs19" localSheetId="4" hidden="1">'Lote 2'!$I$2:$I$44</definedName>
    <definedName name="solver_lhs19" localSheetId="5" hidden="1">'Lote 3'!$I$2:$I$44</definedName>
    <definedName name="solver_lhs19" localSheetId="6" hidden="1">'Lote 4'!$I$2:$I$44</definedName>
    <definedName name="solver_lhs19" localSheetId="7" hidden="1">'Lote 5'!$I$2:$I$44</definedName>
    <definedName name="solver_lhs19" localSheetId="8" hidden="1">'Lote 6'!$I$2:$I$44</definedName>
    <definedName name="solver_lhs19" localSheetId="9" hidden="1">'Lote 7'!$I$2:$I$44</definedName>
    <definedName name="solver_lhs19" localSheetId="10" hidden="1">'Lote 8'!$I$2:$I$44</definedName>
    <definedName name="solver_lhs19" localSheetId="11" hidden="1">'Lote 9'!$I$2:$I$44</definedName>
    <definedName name="solver_lhs2" localSheetId="2" hidden="1">Geral!$B$11</definedName>
    <definedName name="solver_lhs2" localSheetId="3" hidden="1">'Lote 1'!$B$11</definedName>
    <definedName name="solver_lhs2" localSheetId="12" hidden="1">'Lote 10'!$B$11</definedName>
    <definedName name="solver_lhs2" localSheetId="4" hidden="1">'Lote 2'!$B$11</definedName>
    <definedName name="solver_lhs2" localSheetId="5" hidden="1">'Lote 3'!$B$11</definedName>
    <definedName name="solver_lhs2" localSheetId="6" hidden="1">'Lote 4'!$B$11</definedName>
    <definedName name="solver_lhs2" localSheetId="7" hidden="1">'Lote 5'!$B$11</definedName>
    <definedName name="solver_lhs2" localSheetId="8" hidden="1">'Lote 6'!$B$11</definedName>
    <definedName name="solver_lhs2" localSheetId="9" hidden="1">'Lote 7'!$B$11</definedName>
    <definedName name="solver_lhs2" localSheetId="10" hidden="1">'Lote 8'!$B$11</definedName>
    <definedName name="solver_lhs2" localSheetId="11" hidden="1">'Lote 9'!$B$11</definedName>
    <definedName name="solver_lhs20" localSheetId="2" hidden="1">Geral!$I$2:$I$44</definedName>
    <definedName name="solver_lhs20" localSheetId="3" hidden="1">'Lote 1'!$I$2:$I$44</definedName>
    <definedName name="solver_lhs20" localSheetId="12" hidden="1">'Lote 10'!$I$2:$I$44</definedName>
    <definedName name="solver_lhs20" localSheetId="4" hidden="1">'Lote 2'!$I$2:$I$44</definedName>
    <definedName name="solver_lhs20" localSheetId="5" hidden="1">'Lote 3'!$I$2:$I$44</definedName>
    <definedName name="solver_lhs20" localSheetId="6" hidden="1">'Lote 4'!$I$2:$I$44</definedName>
    <definedName name="solver_lhs20" localSheetId="7" hidden="1">'Lote 5'!$I$2:$I$44</definedName>
    <definedName name="solver_lhs20" localSheetId="8" hidden="1">'Lote 6'!$I$2:$I$44</definedName>
    <definedName name="solver_lhs20" localSheetId="9" hidden="1">'Lote 7'!$I$2:$I$44</definedName>
    <definedName name="solver_lhs20" localSheetId="10" hidden="1">'Lote 8'!$I$2:$I$44</definedName>
    <definedName name="solver_lhs20" localSheetId="11" hidden="1">'Lote 9'!$I$2:$I$44</definedName>
    <definedName name="solver_lhs21" localSheetId="2" hidden="1">Geral!$I$2:$I$44</definedName>
    <definedName name="solver_lhs21" localSheetId="3" hidden="1">'Lote 1'!$I$2:$I$44</definedName>
    <definedName name="solver_lhs21" localSheetId="12" hidden="1">'Lote 10'!$I$2:$I$44</definedName>
    <definedName name="solver_lhs21" localSheetId="4" hidden="1">'Lote 2'!$I$2:$I$44</definedName>
    <definedName name="solver_lhs21" localSheetId="5" hidden="1">'Lote 3'!$I$2:$I$44</definedName>
    <definedName name="solver_lhs21" localSheetId="6" hidden="1">'Lote 4'!$I$2:$I$44</definedName>
    <definedName name="solver_lhs21" localSheetId="7" hidden="1">'Lote 5'!$I$2:$I$44</definedName>
    <definedName name="solver_lhs21" localSheetId="8" hidden="1">'Lote 6'!$I$2:$I$44</definedName>
    <definedName name="solver_lhs21" localSheetId="9" hidden="1">'Lote 7'!$I$2:$I$44</definedName>
    <definedName name="solver_lhs21" localSheetId="10" hidden="1">'Lote 8'!$I$2:$I$44</definedName>
    <definedName name="solver_lhs21" localSheetId="11" hidden="1">'Lote 9'!$I$2:$I$44</definedName>
    <definedName name="solver_lhs3" localSheetId="2" hidden="1">Geral!$B$12</definedName>
    <definedName name="solver_lhs3" localSheetId="3" hidden="1">'Lote 1'!$B$12</definedName>
    <definedName name="solver_lhs3" localSheetId="12" hidden="1">'Lote 10'!$B$12</definedName>
    <definedName name="solver_lhs3" localSheetId="4" hidden="1">'Lote 2'!$B$12</definedName>
    <definedName name="solver_lhs3" localSheetId="5" hidden="1">'Lote 3'!$B$12</definedName>
    <definedName name="solver_lhs3" localSheetId="6" hidden="1">'Lote 4'!$B$12</definedName>
    <definedName name="solver_lhs3" localSheetId="7" hidden="1">'Lote 5'!$B$12</definedName>
    <definedName name="solver_lhs3" localSheetId="8" hidden="1">'Lote 6'!$B$12</definedName>
    <definedName name="solver_lhs3" localSheetId="9" hidden="1">'Lote 7'!$B$12</definedName>
    <definedName name="solver_lhs3" localSheetId="10" hidden="1">'Lote 8'!$B$12</definedName>
    <definedName name="solver_lhs3" localSheetId="11" hidden="1">'Lote 9'!$B$12</definedName>
    <definedName name="solver_lhs4" localSheetId="2" hidden="1">Geral!$B$13</definedName>
    <definedName name="solver_lhs4" localSheetId="3" hidden="1">'Lote 1'!$B$13</definedName>
    <definedName name="solver_lhs4" localSheetId="12" hidden="1">'Lote 10'!$B$13</definedName>
    <definedName name="solver_lhs4" localSheetId="4" hidden="1">'Lote 2'!$B$13</definedName>
    <definedName name="solver_lhs4" localSheetId="5" hidden="1">'Lote 3'!$B$13</definedName>
    <definedName name="solver_lhs4" localSheetId="6" hidden="1">'Lote 4'!$B$13</definedName>
    <definedName name="solver_lhs4" localSheetId="7" hidden="1">'Lote 5'!$B$13</definedName>
    <definedName name="solver_lhs4" localSheetId="8" hidden="1">'Lote 6'!$B$13</definedName>
    <definedName name="solver_lhs4" localSheetId="9" hidden="1">'Lote 7'!$B$13</definedName>
    <definedName name="solver_lhs4" localSheetId="10" hidden="1">'Lote 8'!$B$13</definedName>
    <definedName name="solver_lhs4" localSheetId="11" hidden="1">'Lote 9'!$B$13</definedName>
    <definedName name="solver_lhs5" localSheetId="2" hidden="1">Geral!$B$14</definedName>
    <definedName name="solver_lhs5" localSheetId="3" hidden="1">'Lote 1'!$B$14</definedName>
    <definedName name="solver_lhs5" localSheetId="12" hidden="1">'Lote 10'!$B$14</definedName>
    <definedName name="solver_lhs5" localSheetId="4" hidden="1">'Lote 2'!$B$14</definedName>
    <definedName name="solver_lhs5" localSheetId="5" hidden="1">'Lote 3'!$B$14</definedName>
    <definedName name="solver_lhs5" localSheetId="6" hidden="1">'Lote 4'!$B$14</definedName>
    <definedName name="solver_lhs5" localSheetId="7" hidden="1">'Lote 5'!$B$14</definedName>
    <definedName name="solver_lhs5" localSheetId="8" hidden="1">'Lote 6'!$B$14</definedName>
    <definedName name="solver_lhs5" localSheetId="9" hidden="1">'Lote 7'!$B$14</definedName>
    <definedName name="solver_lhs5" localSheetId="10" hidden="1">'Lote 8'!$B$14</definedName>
    <definedName name="solver_lhs5" localSheetId="11" hidden="1">'Lote 9'!$B$14</definedName>
    <definedName name="solver_lhs6" localSheetId="2" hidden="1">Geral!$C$10</definedName>
    <definedName name="solver_lhs6" localSheetId="3" hidden="1">'Lote 1'!$C$10</definedName>
    <definedName name="solver_lhs6" localSheetId="12" hidden="1">'Lote 10'!$C$10</definedName>
    <definedName name="solver_lhs6" localSheetId="4" hidden="1">'Lote 2'!$C$10</definedName>
    <definedName name="solver_lhs6" localSheetId="5" hidden="1">'Lote 3'!$C$10</definedName>
    <definedName name="solver_lhs6" localSheetId="6" hidden="1">'Lote 4'!$C$10</definedName>
    <definedName name="solver_lhs6" localSheetId="7" hidden="1">'Lote 5'!$C$10</definedName>
    <definedName name="solver_lhs6" localSheetId="8" hidden="1">'Lote 6'!$C$10</definedName>
    <definedName name="solver_lhs6" localSheetId="9" hidden="1">'Lote 7'!$C$10</definedName>
    <definedName name="solver_lhs6" localSheetId="10" hidden="1">'Lote 8'!$C$10</definedName>
    <definedName name="solver_lhs6" localSheetId="11" hidden="1">'Lote 9'!$C$10</definedName>
    <definedName name="solver_lhs7" localSheetId="2" hidden="1">Geral!$C$11</definedName>
    <definedName name="solver_lhs7" localSheetId="3" hidden="1">'Lote 1'!$C$11</definedName>
    <definedName name="solver_lhs7" localSheetId="12" hidden="1">'Lote 10'!$C$11</definedName>
    <definedName name="solver_lhs7" localSheetId="4" hidden="1">'Lote 2'!$C$11</definedName>
    <definedName name="solver_lhs7" localSheetId="5" hidden="1">'Lote 3'!$C$11</definedName>
    <definedName name="solver_lhs7" localSheetId="6" hidden="1">'Lote 4'!$C$11</definedName>
    <definedName name="solver_lhs7" localSheetId="7" hidden="1">'Lote 5'!$C$11</definedName>
    <definedName name="solver_lhs7" localSheetId="8" hidden="1">'Lote 6'!$C$11</definedName>
    <definedName name="solver_lhs7" localSheetId="9" hidden="1">'Lote 7'!$C$11</definedName>
    <definedName name="solver_lhs7" localSheetId="10" hidden="1">'Lote 8'!$C$11</definedName>
    <definedName name="solver_lhs7" localSheetId="11" hidden="1">'Lote 9'!$C$11</definedName>
    <definedName name="solver_lhs8" localSheetId="2" hidden="1">Geral!$C$12</definedName>
    <definedName name="solver_lhs8" localSheetId="3" hidden="1">'Lote 1'!$C$12</definedName>
    <definedName name="solver_lhs8" localSheetId="12" hidden="1">'Lote 10'!$C$12</definedName>
    <definedName name="solver_lhs8" localSheetId="4" hidden="1">'Lote 2'!$C$12</definedName>
    <definedName name="solver_lhs8" localSheetId="5" hidden="1">'Lote 3'!$C$12</definedName>
    <definedName name="solver_lhs8" localSheetId="6" hidden="1">'Lote 4'!$C$12</definedName>
    <definedName name="solver_lhs8" localSheetId="7" hidden="1">'Lote 5'!$C$12</definedName>
    <definedName name="solver_lhs8" localSheetId="8" hidden="1">'Lote 6'!$C$12</definedName>
    <definedName name="solver_lhs8" localSheetId="9" hidden="1">'Lote 7'!$C$12</definedName>
    <definedName name="solver_lhs8" localSheetId="10" hidden="1">'Lote 8'!$C$12</definedName>
    <definedName name="solver_lhs8" localSheetId="11" hidden="1">'Lote 9'!$C$12</definedName>
    <definedName name="solver_lhs9" localSheetId="2" hidden="1">Geral!$C$13</definedName>
    <definedName name="solver_lhs9" localSheetId="3" hidden="1">'Lote 1'!$C$13</definedName>
    <definedName name="solver_lhs9" localSheetId="12" hidden="1">'Lote 10'!$C$13</definedName>
    <definedName name="solver_lhs9" localSheetId="4" hidden="1">'Lote 2'!$C$13</definedName>
    <definedName name="solver_lhs9" localSheetId="5" hidden="1">'Lote 3'!$C$13</definedName>
    <definedName name="solver_lhs9" localSheetId="6" hidden="1">'Lote 4'!$C$13</definedName>
    <definedName name="solver_lhs9" localSheetId="7" hidden="1">'Lote 5'!$C$13</definedName>
    <definedName name="solver_lhs9" localSheetId="8" hidden="1">'Lote 6'!$C$13</definedName>
    <definedName name="solver_lhs9" localSheetId="9" hidden="1">'Lote 7'!$C$13</definedName>
    <definedName name="solver_lhs9" localSheetId="10" hidden="1">'Lote 8'!$C$13</definedName>
    <definedName name="solver_lhs9" localSheetId="11" hidden="1">'Lote 9'!$C$13</definedName>
    <definedName name="solver_mip" localSheetId="0" hidden="1">2147483647</definedName>
    <definedName name="solver_mip" localSheetId="2" hidden="1">2147483647</definedName>
    <definedName name="solver_mip" localSheetId="3" hidden="1">2147483647</definedName>
    <definedName name="solver_mip" localSheetId="12" hidden="1">2147483647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ip" localSheetId="10" hidden="1">2147483647</definedName>
    <definedName name="solver_mip" localSheetId="11" hidden="1">2147483647</definedName>
    <definedName name="solver_mni" localSheetId="0" hidden="1">30</definedName>
    <definedName name="solver_mni" localSheetId="2" hidden="1">30</definedName>
    <definedName name="solver_mni" localSheetId="3" hidden="1">30</definedName>
    <definedName name="solver_mni" localSheetId="12" hidden="1">30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ni" localSheetId="10" hidden="1">30</definedName>
    <definedName name="solver_mni" localSheetId="11" hidden="1">30</definedName>
    <definedName name="solver_mrt" localSheetId="0" hidden="1">0.075</definedName>
    <definedName name="solver_mrt" localSheetId="2" hidden="1">0.075</definedName>
    <definedName name="solver_mrt" localSheetId="3" hidden="1">0.075</definedName>
    <definedName name="solver_mrt" localSheetId="12" hidden="1">0.075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rt" localSheetId="10" hidden="1">0.075</definedName>
    <definedName name="solver_mrt" localSheetId="11" hidden="1">0.075</definedName>
    <definedName name="solver_msl" localSheetId="0" hidden="1">2</definedName>
    <definedName name="solver_msl" localSheetId="2" hidden="1">2</definedName>
    <definedName name="solver_msl" localSheetId="3" hidden="1">2</definedName>
    <definedName name="solver_msl" localSheetId="12" hidden="1">2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msl" localSheetId="7" hidden="1">2</definedName>
    <definedName name="solver_msl" localSheetId="8" hidden="1">2</definedName>
    <definedName name="solver_msl" localSheetId="9" hidden="1">2</definedName>
    <definedName name="solver_msl" localSheetId="10" hidden="1">2</definedName>
    <definedName name="solver_msl" localSheetId="11" hidden="1">2</definedName>
    <definedName name="solver_neg" localSheetId="0" hidden="1">2</definedName>
    <definedName name="solver_neg" localSheetId="2" hidden="1">1</definedName>
    <definedName name="solver_neg" localSheetId="3" hidden="1">1</definedName>
    <definedName name="solver_neg" localSheetId="12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od" localSheetId="0" hidden="1">2147483647</definedName>
    <definedName name="solver_nod" localSheetId="2" hidden="1">2147483647</definedName>
    <definedName name="solver_nod" localSheetId="3" hidden="1">2147483647</definedName>
    <definedName name="solver_nod" localSheetId="12" hidden="1">2147483647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od" localSheetId="10" hidden="1">2147483647</definedName>
    <definedName name="solver_nod" localSheetId="11" hidden="1">2147483647</definedName>
    <definedName name="solver_num" localSheetId="0" hidden="1">0</definedName>
    <definedName name="solver_num" localSheetId="2" hidden="1">16</definedName>
    <definedName name="solver_num" localSheetId="3" hidden="1">16</definedName>
    <definedName name="solver_num" localSheetId="12" hidden="1">16</definedName>
    <definedName name="solver_num" localSheetId="4" hidden="1">16</definedName>
    <definedName name="solver_num" localSheetId="5" hidden="1">16</definedName>
    <definedName name="solver_num" localSheetId="6" hidden="1">16</definedName>
    <definedName name="solver_num" localSheetId="7" hidden="1">16</definedName>
    <definedName name="solver_num" localSheetId="8" hidden="1">16</definedName>
    <definedName name="solver_num" localSheetId="9" hidden="1">16</definedName>
    <definedName name="solver_num" localSheetId="10" hidden="1">16</definedName>
    <definedName name="solver_num" localSheetId="11" hidden="1">16</definedName>
    <definedName name="solver_nwt" localSheetId="0" hidden="1">1</definedName>
    <definedName name="solver_nwt" localSheetId="2" hidden="1">1</definedName>
    <definedName name="solver_nwt" localSheetId="3" hidden="1">1</definedName>
    <definedName name="solver_nwt" localSheetId="12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opt" localSheetId="0" hidden="1">'Base de combinação'!$R$29</definedName>
    <definedName name="solver_opt" localSheetId="2" hidden="1">Geral!$G$2</definedName>
    <definedName name="solver_opt" localSheetId="3" hidden="1">'Lote 1'!$G$2</definedName>
    <definedName name="solver_opt" localSheetId="12" hidden="1">'Lote 10'!$G$2</definedName>
    <definedName name="solver_opt" localSheetId="4" hidden="1">'Lote 2'!$G$2</definedName>
    <definedName name="solver_opt" localSheetId="5" hidden="1">'Lote 3'!$G$2</definedName>
    <definedName name="solver_opt" localSheetId="6" hidden="1">'Lote 4'!$G$2</definedName>
    <definedName name="solver_opt" localSheetId="7" hidden="1">'Lote 5'!$G$2</definedName>
    <definedName name="solver_opt" localSheetId="8" hidden="1">'Lote 6'!$G$2</definedName>
    <definedName name="solver_opt" localSheetId="9" hidden="1">'Lote 7'!$G$2</definedName>
    <definedName name="solver_opt" localSheetId="10" hidden="1">'Lote 8'!$G$2</definedName>
    <definedName name="solver_opt" localSheetId="11" hidden="1">'Lote 9'!$G$2</definedName>
    <definedName name="solver_pre" localSheetId="0" hidden="1">0.000001</definedName>
    <definedName name="solver_pre" localSheetId="2" hidden="1">0.000001</definedName>
    <definedName name="solver_pre" localSheetId="3" hidden="1">0.000001</definedName>
    <definedName name="solver_pre" localSheetId="12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rbv" localSheetId="0" hidden="1">2</definedName>
    <definedName name="solver_rbv" localSheetId="2" hidden="1">1</definedName>
    <definedName name="solver_rbv" localSheetId="3" hidden="1">1</definedName>
    <definedName name="solver_rbv" localSheetId="12" hidden="1">1</definedName>
    <definedName name="solver_rbv" localSheetId="4" hidden="1">1</definedName>
    <definedName name="solver_rbv" localSheetId="5" hidden="1">1</definedName>
    <definedName name="solver_rbv" localSheetId="6" hidden="1">1</definedName>
    <definedName name="solver_rbv" localSheetId="7" hidden="1">1</definedName>
    <definedName name="solver_rbv" localSheetId="8" hidden="1">1</definedName>
    <definedName name="solver_rbv" localSheetId="9" hidden="1">1</definedName>
    <definedName name="solver_rbv" localSheetId="10" hidden="1">1</definedName>
    <definedName name="solver_rbv" localSheetId="11" hidden="1">1</definedName>
    <definedName name="solver_rel1" localSheetId="2" hidden="1">1</definedName>
    <definedName name="solver_rel1" localSheetId="3" hidden="1">1</definedName>
    <definedName name="solver_rel1" localSheetId="12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0" localSheetId="2" hidden="1">1</definedName>
    <definedName name="solver_rel10" localSheetId="3" hidden="1">1</definedName>
    <definedName name="solver_rel10" localSheetId="12" hidden="1">1</definedName>
    <definedName name="solver_rel10" localSheetId="4" hidden="1">1</definedName>
    <definedName name="solver_rel10" localSheetId="5" hidden="1">1</definedName>
    <definedName name="solver_rel10" localSheetId="6" hidden="1">1</definedName>
    <definedName name="solver_rel10" localSheetId="7" hidden="1">1</definedName>
    <definedName name="solver_rel10" localSheetId="8" hidden="1">1</definedName>
    <definedName name="solver_rel10" localSheetId="9" hidden="1">1</definedName>
    <definedName name="solver_rel10" localSheetId="10" hidden="1">1</definedName>
    <definedName name="solver_rel10" localSheetId="11" hidden="1">1</definedName>
    <definedName name="solver_rel11" localSheetId="2" hidden="1">1</definedName>
    <definedName name="solver_rel11" localSheetId="3" hidden="1">1</definedName>
    <definedName name="solver_rel11" localSheetId="12" hidden="1">1</definedName>
    <definedName name="solver_rel11" localSheetId="4" hidden="1">1</definedName>
    <definedName name="solver_rel11" localSheetId="5" hidden="1">1</definedName>
    <definedName name="solver_rel11" localSheetId="6" hidden="1">1</definedName>
    <definedName name="solver_rel11" localSheetId="7" hidden="1">1</definedName>
    <definedName name="solver_rel11" localSheetId="8" hidden="1">1</definedName>
    <definedName name="solver_rel11" localSheetId="9" hidden="1">1</definedName>
    <definedName name="solver_rel11" localSheetId="10" hidden="1">1</definedName>
    <definedName name="solver_rel11" localSheetId="11" hidden="1">1</definedName>
    <definedName name="solver_rel12" localSheetId="2" hidden="1">1</definedName>
    <definedName name="solver_rel12" localSheetId="3" hidden="1">1</definedName>
    <definedName name="solver_rel12" localSheetId="12" hidden="1">1</definedName>
    <definedName name="solver_rel12" localSheetId="4" hidden="1">1</definedName>
    <definedName name="solver_rel12" localSheetId="5" hidden="1">1</definedName>
    <definedName name="solver_rel12" localSheetId="6" hidden="1">1</definedName>
    <definedName name="solver_rel12" localSheetId="7" hidden="1">1</definedName>
    <definedName name="solver_rel12" localSheetId="8" hidden="1">1</definedName>
    <definedName name="solver_rel12" localSheetId="9" hidden="1">1</definedName>
    <definedName name="solver_rel12" localSheetId="10" hidden="1">1</definedName>
    <definedName name="solver_rel12" localSheetId="11" hidden="1">1</definedName>
    <definedName name="solver_rel13" localSheetId="2" hidden="1">1</definedName>
    <definedName name="solver_rel13" localSheetId="3" hidden="1">1</definedName>
    <definedName name="solver_rel13" localSheetId="12" hidden="1">1</definedName>
    <definedName name="solver_rel13" localSheetId="4" hidden="1">1</definedName>
    <definedName name="solver_rel13" localSheetId="5" hidden="1">1</definedName>
    <definedName name="solver_rel13" localSheetId="6" hidden="1">1</definedName>
    <definedName name="solver_rel13" localSheetId="7" hidden="1">1</definedName>
    <definedName name="solver_rel13" localSheetId="8" hidden="1">1</definedName>
    <definedName name="solver_rel13" localSheetId="9" hidden="1">1</definedName>
    <definedName name="solver_rel13" localSheetId="10" hidden="1">1</definedName>
    <definedName name="solver_rel13" localSheetId="11" hidden="1">1</definedName>
    <definedName name="solver_rel14" localSheetId="2" hidden="1">1</definedName>
    <definedName name="solver_rel14" localSheetId="3" hidden="1">1</definedName>
    <definedName name="solver_rel14" localSheetId="12" hidden="1">1</definedName>
    <definedName name="solver_rel14" localSheetId="4" hidden="1">1</definedName>
    <definedName name="solver_rel14" localSheetId="5" hidden="1">1</definedName>
    <definedName name="solver_rel14" localSheetId="6" hidden="1">1</definedName>
    <definedName name="solver_rel14" localSheetId="7" hidden="1">1</definedName>
    <definedName name="solver_rel14" localSheetId="8" hidden="1">1</definedName>
    <definedName name="solver_rel14" localSheetId="9" hidden="1">1</definedName>
    <definedName name="solver_rel14" localSheetId="10" hidden="1">1</definedName>
    <definedName name="solver_rel14" localSheetId="11" hidden="1">1</definedName>
    <definedName name="solver_rel15" localSheetId="2" hidden="1">1</definedName>
    <definedName name="solver_rel15" localSheetId="3" hidden="1">1</definedName>
    <definedName name="solver_rel15" localSheetId="12" hidden="1">1</definedName>
    <definedName name="solver_rel15" localSheetId="4" hidden="1">1</definedName>
    <definedName name="solver_rel15" localSheetId="5" hidden="1">1</definedName>
    <definedName name="solver_rel15" localSheetId="6" hidden="1">1</definedName>
    <definedName name="solver_rel15" localSheetId="7" hidden="1">1</definedName>
    <definedName name="solver_rel15" localSheetId="8" hidden="1">1</definedName>
    <definedName name="solver_rel15" localSheetId="9" hidden="1">1</definedName>
    <definedName name="solver_rel15" localSheetId="10" hidden="1">1</definedName>
    <definedName name="solver_rel15" localSheetId="11" hidden="1">1</definedName>
    <definedName name="solver_rel16" localSheetId="2" hidden="1">4</definedName>
    <definedName name="solver_rel16" localSheetId="3" hidden="1">4</definedName>
    <definedName name="solver_rel16" localSheetId="12" hidden="1">4</definedName>
    <definedName name="solver_rel16" localSheetId="4" hidden="1">4</definedName>
    <definedName name="solver_rel16" localSheetId="5" hidden="1">4</definedName>
    <definedName name="solver_rel16" localSheetId="6" hidden="1">4</definedName>
    <definedName name="solver_rel16" localSheetId="7" hidden="1">4</definedName>
    <definedName name="solver_rel16" localSheetId="8" hidden="1">4</definedName>
    <definedName name="solver_rel16" localSheetId="9" hidden="1">4</definedName>
    <definedName name="solver_rel16" localSheetId="10" hidden="1">4</definedName>
    <definedName name="solver_rel16" localSheetId="11" hidden="1">4</definedName>
    <definedName name="solver_rel17" localSheetId="2" hidden="1">4</definedName>
    <definedName name="solver_rel17" localSheetId="3" hidden="1">4</definedName>
    <definedName name="solver_rel17" localSheetId="12" hidden="1">4</definedName>
    <definedName name="solver_rel17" localSheetId="4" hidden="1">4</definedName>
    <definedName name="solver_rel17" localSheetId="5" hidden="1">4</definedName>
    <definedName name="solver_rel17" localSheetId="6" hidden="1">4</definedName>
    <definedName name="solver_rel17" localSheetId="7" hidden="1">4</definedName>
    <definedName name="solver_rel17" localSheetId="8" hidden="1">4</definedName>
    <definedName name="solver_rel17" localSheetId="9" hidden="1">4</definedName>
    <definedName name="solver_rel17" localSheetId="10" hidden="1">4</definedName>
    <definedName name="solver_rel17" localSheetId="11" hidden="1">4</definedName>
    <definedName name="solver_rel18" localSheetId="2" hidden="1">4</definedName>
    <definedName name="solver_rel18" localSheetId="3" hidden="1">4</definedName>
    <definedName name="solver_rel18" localSheetId="12" hidden="1">4</definedName>
    <definedName name="solver_rel18" localSheetId="4" hidden="1">4</definedName>
    <definedName name="solver_rel18" localSheetId="5" hidden="1">4</definedName>
    <definedName name="solver_rel18" localSheetId="6" hidden="1">4</definedName>
    <definedName name="solver_rel18" localSheetId="7" hidden="1">4</definedName>
    <definedName name="solver_rel18" localSheetId="8" hidden="1">4</definedName>
    <definedName name="solver_rel18" localSheetId="9" hidden="1">4</definedName>
    <definedName name="solver_rel18" localSheetId="10" hidden="1">4</definedName>
    <definedName name="solver_rel18" localSheetId="11" hidden="1">4</definedName>
    <definedName name="solver_rel19" localSheetId="2" hidden="1">4</definedName>
    <definedName name="solver_rel19" localSheetId="3" hidden="1">4</definedName>
    <definedName name="solver_rel19" localSheetId="12" hidden="1">4</definedName>
    <definedName name="solver_rel19" localSheetId="4" hidden="1">4</definedName>
    <definedName name="solver_rel19" localSheetId="5" hidden="1">4</definedName>
    <definedName name="solver_rel19" localSheetId="6" hidden="1">4</definedName>
    <definedName name="solver_rel19" localSheetId="7" hidden="1">4</definedName>
    <definedName name="solver_rel19" localSheetId="8" hidden="1">4</definedName>
    <definedName name="solver_rel19" localSheetId="9" hidden="1">4</definedName>
    <definedName name="solver_rel19" localSheetId="10" hidden="1">4</definedName>
    <definedName name="solver_rel19" localSheetId="11" hidden="1">4</definedName>
    <definedName name="solver_rel2" localSheetId="2" hidden="1">1</definedName>
    <definedName name="solver_rel2" localSheetId="3" hidden="1">1</definedName>
    <definedName name="solver_rel2" localSheetId="12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0" localSheetId="2" hidden="1">4</definedName>
    <definedName name="solver_rel20" localSheetId="3" hidden="1">4</definedName>
    <definedName name="solver_rel20" localSheetId="12" hidden="1">4</definedName>
    <definedName name="solver_rel20" localSheetId="4" hidden="1">4</definedName>
    <definedName name="solver_rel20" localSheetId="5" hidden="1">4</definedName>
    <definedName name="solver_rel20" localSheetId="6" hidden="1">4</definedName>
    <definedName name="solver_rel20" localSheetId="7" hidden="1">4</definedName>
    <definedName name="solver_rel20" localSheetId="8" hidden="1">4</definedName>
    <definedName name="solver_rel20" localSheetId="9" hidden="1">4</definedName>
    <definedName name="solver_rel20" localSheetId="10" hidden="1">4</definedName>
    <definedName name="solver_rel20" localSheetId="11" hidden="1">4</definedName>
    <definedName name="solver_rel21" localSheetId="2" hidden="1">4</definedName>
    <definedName name="solver_rel21" localSheetId="3" hidden="1">4</definedName>
    <definedName name="solver_rel21" localSheetId="12" hidden="1">4</definedName>
    <definedName name="solver_rel21" localSheetId="4" hidden="1">4</definedName>
    <definedName name="solver_rel21" localSheetId="5" hidden="1">4</definedName>
    <definedName name="solver_rel21" localSheetId="6" hidden="1">4</definedName>
    <definedName name="solver_rel21" localSheetId="7" hidden="1">4</definedName>
    <definedName name="solver_rel21" localSheetId="8" hidden="1">4</definedName>
    <definedName name="solver_rel21" localSheetId="9" hidden="1">4</definedName>
    <definedName name="solver_rel21" localSheetId="10" hidden="1">4</definedName>
    <definedName name="solver_rel21" localSheetId="11" hidden="1">4</definedName>
    <definedName name="solver_rel3" localSheetId="2" hidden="1">1</definedName>
    <definedName name="solver_rel3" localSheetId="3" hidden="1">1</definedName>
    <definedName name="solver_rel3" localSheetId="12" hidden="1">1</definedName>
    <definedName name="solver_rel3" localSheetId="4" hidden="1">1</definedName>
    <definedName name="solver_rel3" localSheetId="5" hidden="1">1</definedName>
    <definedName name="solver_rel3" localSheetId="6" hidden="1">1</definedName>
    <definedName name="solver_rel3" localSheetId="7" hidden="1">1</definedName>
    <definedName name="solver_rel3" localSheetId="8" hidden="1">1</definedName>
    <definedName name="solver_rel3" localSheetId="9" hidden="1">1</definedName>
    <definedName name="solver_rel3" localSheetId="10" hidden="1">1</definedName>
    <definedName name="solver_rel3" localSheetId="11" hidden="1">1</definedName>
    <definedName name="solver_rel4" localSheetId="2" hidden="1">1</definedName>
    <definedName name="solver_rel4" localSheetId="3" hidden="1">1</definedName>
    <definedName name="solver_rel4" localSheetId="12" hidden="1">1</definedName>
    <definedName name="solver_rel4" localSheetId="4" hidden="1">1</definedName>
    <definedName name="solver_rel4" localSheetId="5" hidden="1">1</definedName>
    <definedName name="solver_rel4" localSheetId="6" hidden="1">1</definedName>
    <definedName name="solver_rel4" localSheetId="7" hidden="1">1</definedName>
    <definedName name="solver_rel4" localSheetId="8" hidden="1">1</definedName>
    <definedName name="solver_rel4" localSheetId="9" hidden="1">1</definedName>
    <definedName name="solver_rel4" localSheetId="10" hidden="1">1</definedName>
    <definedName name="solver_rel4" localSheetId="11" hidden="1">1</definedName>
    <definedName name="solver_rel5" localSheetId="2" hidden="1">1</definedName>
    <definedName name="solver_rel5" localSheetId="3" hidden="1">1</definedName>
    <definedName name="solver_rel5" localSheetId="12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6" localSheetId="2" hidden="1">1</definedName>
    <definedName name="solver_rel6" localSheetId="3" hidden="1">1</definedName>
    <definedName name="solver_rel6" localSheetId="12" hidden="1">1</definedName>
    <definedName name="solver_rel6" localSheetId="4" hidden="1">1</definedName>
    <definedName name="solver_rel6" localSheetId="5" hidden="1">1</definedName>
    <definedName name="solver_rel6" localSheetId="6" hidden="1">1</definedName>
    <definedName name="solver_rel6" localSheetId="7" hidden="1">1</definedName>
    <definedName name="solver_rel6" localSheetId="8" hidden="1">1</definedName>
    <definedName name="solver_rel6" localSheetId="9" hidden="1">1</definedName>
    <definedName name="solver_rel6" localSheetId="10" hidden="1">1</definedName>
    <definedName name="solver_rel6" localSheetId="11" hidden="1">1</definedName>
    <definedName name="solver_rel7" localSheetId="2" hidden="1">1</definedName>
    <definedName name="solver_rel7" localSheetId="3" hidden="1">1</definedName>
    <definedName name="solver_rel7" localSheetId="12" hidden="1">1</definedName>
    <definedName name="solver_rel7" localSheetId="4" hidden="1">1</definedName>
    <definedName name="solver_rel7" localSheetId="5" hidden="1">1</definedName>
    <definedName name="solver_rel7" localSheetId="6" hidden="1">1</definedName>
    <definedName name="solver_rel7" localSheetId="7" hidden="1">1</definedName>
    <definedName name="solver_rel7" localSheetId="8" hidden="1">1</definedName>
    <definedName name="solver_rel7" localSheetId="9" hidden="1">1</definedName>
    <definedName name="solver_rel7" localSheetId="10" hidden="1">1</definedName>
    <definedName name="solver_rel7" localSheetId="11" hidden="1">1</definedName>
    <definedName name="solver_rel8" localSheetId="2" hidden="1">1</definedName>
    <definedName name="solver_rel8" localSheetId="3" hidden="1">1</definedName>
    <definedName name="solver_rel8" localSheetId="12" hidden="1">1</definedName>
    <definedName name="solver_rel8" localSheetId="4" hidden="1">1</definedName>
    <definedName name="solver_rel8" localSheetId="5" hidden="1">1</definedName>
    <definedName name="solver_rel8" localSheetId="6" hidden="1">1</definedName>
    <definedName name="solver_rel8" localSheetId="7" hidden="1">1</definedName>
    <definedName name="solver_rel8" localSheetId="8" hidden="1">1</definedName>
    <definedName name="solver_rel8" localSheetId="9" hidden="1">1</definedName>
    <definedName name="solver_rel8" localSheetId="10" hidden="1">1</definedName>
    <definedName name="solver_rel8" localSheetId="11" hidden="1">1</definedName>
    <definedName name="solver_rel9" localSheetId="2" hidden="1">1</definedName>
    <definedName name="solver_rel9" localSheetId="3" hidden="1">1</definedName>
    <definedName name="solver_rel9" localSheetId="12" hidden="1">1</definedName>
    <definedName name="solver_rel9" localSheetId="4" hidden="1">1</definedName>
    <definedName name="solver_rel9" localSheetId="5" hidden="1">1</definedName>
    <definedName name="solver_rel9" localSheetId="6" hidden="1">1</definedName>
    <definedName name="solver_rel9" localSheetId="7" hidden="1">1</definedName>
    <definedName name="solver_rel9" localSheetId="8" hidden="1">1</definedName>
    <definedName name="solver_rel9" localSheetId="9" hidden="1">1</definedName>
    <definedName name="solver_rel9" localSheetId="10" hidden="1">1</definedName>
    <definedName name="solver_rel9" localSheetId="11" hidden="1">1</definedName>
    <definedName name="solver_rhs1" localSheetId="2" hidden="1">Geral!$B$3</definedName>
    <definedName name="solver_rhs1" localSheetId="3" hidden="1">'Lote 1'!$B$3</definedName>
    <definedName name="solver_rhs1" localSheetId="12" hidden="1">'Lote 10'!$B$3</definedName>
    <definedName name="solver_rhs1" localSheetId="4" hidden="1">'Lote 2'!$B$3</definedName>
    <definedName name="solver_rhs1" localSheetId="5" hidden="1">'Lote 3'!$B$3</definedName>
    <definedName name="solver_rhs1" localSheetId="6" hidden="1">'Lote 4'!$B$3</definedName>
    <definedName name="solver_rhs1" localSheetId="7" hidden="1">'Lote 5'!$B$3</definedName>
    <definedName name="solver_rhs1" localSheetId="8" hidden="1">'Lote 6'!$B$3</definedName>
    <definedName name="solver_rhs1" localSheetId="9" hidden="1">'Lote 7'!$B$3</definedName>
    <definedName name="solver_rhs1" localSheetId="10" hidden="1">'Lote 8'!$B$3</definedName>
    <definedName name="solver_rhs1" localSheetId="11" hidden="1">'Lote 9'!$B$3</definedName>
    <definedName name="solver_rhs10" localSheetId="2" hidden="1">Geral!$C$7</definedName>
    <definedName name="solver_rhs10" localSheetId="3" hidden="1">'Lote 1'!$C$7</definedName>
    <definedName name="solver_rhs10" localSheetId="12" hidden="1">'Lote 10'!$C$7</definedName>
    <definedName name="solver_rhs10" localSheetId="4" hidden="1">'Lote 2'!$C$7</definedName>
    <definedName name="solver_rhs10" localSheetId="5" hidden="1">'Lote 3'!$C$7</definedName>
    <definedName name="solver_rhs10" localSheetId="6" hidden="1">'Lote 4'!$C$7</definedName>
    <definedName name="solver_rhs10" localSheetId="7" hidden="1">'Lote 5'!$C$7</definedName>
    <definedName name="solver_rhs10" localSheetId="8" hidden="1">'Lote 6'!$C$7</definedName>
    <definedName name="solver_rhs10" localSheetId="9" hidden="1">'Lote 7'!$C$7</definedName>
    <definedName name="solver_rhs10" localSheetId="10" hidden="1">'Lote 8'!$C$7</definedName>
    <definedName name="solver_rhs10" localSheetId="11" hidden="1">'Lote 9'!$C$7</definedName>
    <definedName name="solver_rhs11" localSheetId="2" hidden="1">Geral!$D$3</definedName>
    <definedName name="solver_rhs11" localSheetId="3" hidden="1">'Lote 1'!$D$3</definedName>
    <definedName name="solver_rhs11" localSheetId="12" hidden="1">'Lote 10'!$D$3</definedName>
    <definedName name="solver_rhs11" localSheetId="4" hidden="1">'Lote 2'!$D$3</definedName>
    <definedName name="solver_rhs11" localSheetId="5" hidden="1">'Lote 3'!$D$3</definedName>
    <definedName name="solver_rhs11" localSheetId="6" hidden="1">'Lote 4'!$D$3</definedName>
    <definedName name="solver_rhs11" localSheetId="7" hidden="1">'Lote 5'!$D$3</definedName>
    <definedName name="solver_rhs11" localSheetId="8" hidden="1">'Lote 6'!$D$3</definedName>
    <definedName name="solver_rhs11" localSheetId="9" hidden="1">'Lote 7'!$D$3</definedName>
    <definedName name="solver_rhs11" localSheetId="10" hidden="1">'Lote 8'!$D$3</definedName>
    <definedName name="solver_rhs11" localSheetId="11" hidden="1">'Lote 9'!$D$3</definedName>
    <definedName name="solver_rhs12" localSheetId="2" hidden="1">Geral!$D$4</definedName>
    <definedName name="solver_rhs12" localSheetId="3" hidden="1">'Lote 1'!$D$4</definedName>
    <definedName name="solver_rhs12" localSheetId="12" hidden="1">'Lote 10'!$D$4</definedName>
    <definedName name="solver_rhs12" localSheetId="4" hidden="1">'Lote 2'!$D$4</definedName>
    <definedName name="solver_rhs12" localSheetId="5" hidden="1">'Lote 3'!$D$4</definedName>
    <definedName name="solver_rhs12" localSheetId="6" hidden="1">'Lote 4'!$D$4</definedName>
    <definedName name="solver_rhs12" localSheetId="7" hidden="1">'Lote 5'!$D$4</definedName>
    <definedName name="solver_rhs12" localSheetId="8" hidden="1">'Lote 6'!$D$4</definedName>
    <definedName name="solver_rhs12" localSheetId="9" hidden="1">'Lote 7'!$D$4</definedName>
    <definedName name="solver_rhs12" localSheetId="10" hidden="1">'Lote 8'!$D$4</definedName>
    <definedName name="solver_rhs12" localSheetId="11" hidden="1">'Lote 9'!$D$4</definedName>
    <definedName name="solver_rhs13" localSheetId="2" hidden="1">Geral!$D$5</definedName>
    <definedName name="solver_rhs13" localSheetId="3" hidden="1">'Lote 1'!$D$5</definedName>
    <definedName name="solver_rhs13" localSheetId="12" hidden="1">'Lote 10'!$D$5</definedName>
    <definedName name="solver_rhs13" localSheetId="4" hidden="1">'Lote 2'!$D$5</definedName>
    <definedName name="solver_rhs13" localSheetId="5" hidden="1">'Lote 3'!$D$5</definedName>
    <definedName name="solver_rhs13" localSheetId="6" hidden="1">'Lote 4'!$D$5</definedName>
    <definedName name="solver_rhs13" localSheetId="7" hidden="1">'Lote 5'!$D$5</definedName>
    <definedName name="solver_rhs13" localSheetId="8" hidden="1">'Lote 6'!$D$5</definedName>
    <definedName name="solver_rhs13" localSheetId="9" hidden="1">'Lote 7'!$D$5</definedName>
    <definedName name="solver_rhs13" localSheetId="10" hidden="1">'Lote 8'!$D$5</definedName>
    <definedName name="solver_rhs13" localSheetId="11" hidden="1">'Lote 9'!$D$5</definedName>
    <definedName name="solver_rhs14" localSheetId="2" hidden="1">Geral!$D$6</definedName>
    <definedName name="solver_rhs14" localSheetId="3" hidden="1">'Lote 1'!$D$6</definedName>
    <definedName name="solver_rhs14" localSheetId="12" hidden="1">'Lote 10'!$D$6</definedName>
    <definedName name="solver_rhs14" localSheetId="4" hidden="1">'Lote 2'!$D$6</definedName>
    <definedName name="solver_rhs14" localSheetId="5" hidden="1">'Lote 3'!$D$6</definedName>
    <definedName name="solver_rhs14" localSheetId="6" hidden="1">'Lote 4'!$D$6</definedName>
    <definedName name="solver_rhs14" localSheetId="7" hidden="1">'Lote 5'!$D$6</definedName>
    <definedName name="solver_rhs14" localSheetId="8" hidden="1">'Lote 6'!$D$6</definedName>
    <definedName name="solver_rhs14" localSheetId="9" hidden="1">'Lote 7'!$D$6</definedName>
    <definedName name="solver_rhs14" localSheetId="10" hidden="1">'Lote 8'!$D$6</definedName>
    <definedName name="solver_rhs14" localSheetId="11" hidden="1">'Lote 9'!$D$6</definedName>
    <definedName name="solver_rhs15" localSheetId="2" hidden="1">Geral!$D$7</definedName>
    <definedName name="solver_rhs15" localSheetId="3" hidden="1">'Lote 1'!$D$7</definedName>
    <definedName name="solver_rhs15" localSheetId="12" hidden="1">'Lote 10'!$D$7</definedName>
    <definedName name="solver_rhs15" localSheetId="4" hidden="1">'Lote 2'!$D$7</definedName>
    <definedName name="solver_rhs15" localSheetId="5" hidden="1">'Lote 3'!$D$7</definedName>
    <definedName name="solver_rhs15" localSheetId="6" hidden="1">'Lote 4'!$D$7</definedName>
    <definedName name="solver_rhs15" localSheetId="7" hidden="1">'Lote 5'!$D$7</definedName>
    <definedName name="solver_rhs15" localSheetId="8" hidden="1">'Lote 6'!$D$7</definedName>
    <definedName name="solver_rhs15" localSheetId="9" hidden="1">'Lote 7'!$D$7</definedName>
    <definedName name="solver_rhs15" localSheetId="10" hidden="1">'Lote 8'!$D$7</definedName>
    <definedName name="solver_rhs15" localSheetId="11" hidden="1">'Lote 9'!$D$7</definedName>
    <definedName name="solver_rhs16" localSheetId="2" hidden="1">"número inteiro"</definedName>
    <definedName name="solver_rhs16" localSheetId="3" hidden="1">"número inteiro"</definedName>
    <definedName name="solver_rhs16" localSheetId="12" hidden="1">"número inteiro"</definedName>
    <definedName name="solver_rhs16" localSheetId="4" hidden="1">"número inteiro"</definedName>
    <definedName name="solver_rhs16" localSheetId="5" hidden="1">"número inteiro"</definedName>
    <definedName name="solver_rhs16" localSheetId="6" hidden="1">"número inteiro"</definedName>
    <definedName name="solver_rhs16" localSheetId="7" hidden="1">"número inteiro"</definedName>
    <definedName name="solver_rhs16" localSheetId="8" hidden="1">"número inteiro"</definedName>
    <definedName name="solver_rhs16" localSheetId="9" hidden="1">"número inteiro"</definedName>
    <definedName name="solver_rhs16" localSheetId="10" hidden="1">"número inteiro"</definedName>
    <definedName name="solver_rhs16" localSheetId="11" hidden="1">"número inteiro"</definedName>
    <definedName name="solver_rhs17" localSheetId="2" hidden="1">"número inteiro"</definedName>
    <definedName name="solver_rhs17" localSheetId="3" hidden="1">"número inteiro"</definedName>
    <definedName name="solver_rhs17" localSheetId="12" hidden="1">"número inteiro"</definedName>
    <definedName name="solver_rhs17" localSheetId="4" hidden="1">"número inteiro"</definedName>
    <definedName name="solver_rhs17" localSheetId="5" hidden="1">"número inteiro"</definedName>
    <definedName name="solver_rhs17" localSheetId="6" hidden="1">"número inteiro"</definedName>
    <definedName name="solver_rhs17" localSheetId="7" hidden="1">"número inteiro"</definedName>
    <definedName name="solver_rhs17" localSheetId="8" hidden="1">"número inteiro"</definedName>
    <definedName name="solver_rhs17" localSheetId="9" hidden="1">"número inteiro"</definedName>
    <definedName name="solver_rhs17" localSheetId="10" hidden="1">"número inteiro"</definedName>
    <definedName name="solver_rhs17" localSheetId="11" hidden="1">"número inteiro"</definedName>
    <definedName name="solver_rhs18" localSheetId="2" hidden="1">"número inteiro"</definedName>
    <definedName name="solver_rhs18" localSheetId="3" hidden="1">"número inteiro"</definedName>
    <definedName name="solver_rhs18" localSheetId="12" hidden="1">"número inteiro"</definedName>
    <definedName name="solver_rhs18" localSheetId="4" hidden="1">"número inteiro"</definedName>
    <definedName name="solver_rhs18" localSheetId="5" hidden="1">"número inteiro"</definedName>
    <definedName name="solver_rhs18" localSheetId="6" hidden="1">"número inteiro"</definedName>
    <definedName name="solver_rhs18" localSheetId="7" hidden="1">"número inteiro"</definedName>
    <definedName name="solver_rhs18" localSheetId="8" hidden="1">"número inteiro"</definedName>
    <definedName name="solver_rhs18" localSheetId="9" hidden="1">"número inteiro"</definedName>
    <definedName name="solver_rhs18" localSheetId="10" hidden="1">"número inteiro"</definedName>
    <definedName name="solver_rhs18" localSheetId="11" hidden="1">"número inteiro"</definedName>
    <definedName name="solver_rhs19" localSheetId="2" hidden="1">"número inteiro"</definedName>
    <definedName name="solver_rhs19" localSheetId="3" hidden="1">"número inteiro"</definedName>
    <definedName name="solver_rhs19" localSheetId="12" hidden="1">"número inteiro"</definedName>
    <definedName name="solver_rhs19" localSheetId="4" hidden="1">"número inteiro"</definedName>
    <definedName name="solver_rhs19" localSheetId="5" hidden="1">"número inteiro"</definedName>
    <definedName name="solver_rhs19" localSheetId="6" hidden="1">"número inteiro"</definedName>
    <definedName name="solver_rhs19" localSheetId="7" hidden="1">"número inteiro"</definedName>
    <definedName name="solver_rhs19" localSheetId="8" hidden="1">"número inteiro"</definedName>
    <definedName name="solver_rhs19" localSheetId="9" hidden="1">"número inteiro"</definedName>
    <definedName name="solver_rhs19" localSheetId="10" hidden="1">"número inteiro"</definedName>
    <definedName name="solver_rhs19" localSheetId="11" hidden="1">"número inteiro"</definedName>
    <definedName name="solver_rhs2" localSheetId="2" hidden="1">Geral!$B$4</definedName>
    <definedName name="solver_rhs2" localSheetId="3" hidden="1">'Lote 1'!$B$4</definedName>
    <definedName name="solver_rhs2" localSheetId="12" hidden="1">'Lote 10'!$B$4</definedName>
    <definedName name="solver_rhs2" localSheetId="4" hidden="1">'Lote 2'!$B$4</definedName>
    <definedName name="solver_rhs2" localSheetId="5" hidden="1">'Lote 3'!$B$4</definedName>
    <definedName name="solver_rhs2" localSheetId="6" hidden="1">'Lote 4'!$B$4</definedName>
    <definedName name="solver_rhs2" localSheetId="7" hidden="1">'Lote 5'!$B$4</definedName>
    <definedName name="solver_rhs2" localSheetId="8" hidden="1">'Lote 6'!$B$4</definedName>
    <definedName name="solver_rhs2" localSheetId="9" hidden="1">'Lote 7'!$B$4</definedName>
    <definedName name="solver_rhs2" localSheetId="10" hidden="1">'Lote 8'!$B$4</definedName>
    <definedName name="solver_rhs2" localSheetId="11" hidden="1">'Lote 9'!$B$4</definedName>
    <definedName name="solver_rhs20" localSheetId="2" hidden="1">"número inteiro"</definedName>
    <definedName name="solver_rhs20" localSheetId="3" hidden="1">"número inteiro"</definedName>
    <definedName name="solver_rhs20" localSheetId="12" hidden="1">"número inteiro"</definedName>
    <definedName name="solver_rhs20" localSheetId="4" hidden="1">"número inteiro"</definedName>
    <definedName name="solver_rhs20" localSheetId="5" hidden="1">"número inteiro"</definedName>
    <definedName name="solver_rhs20" localSheetId="6" hidden="1">"número inteiro"</definedName>
    <definedName name="solver_rhs20" localSheetId="7" hidden="1">"número inteiro"</definedName>
    <definedName name="solver_rhs20" localSheetId="8" hidden="1">"número inteiro"</definedName>
    <definedName name="solver_rhs20" localSheetId="9" hidden="1">"número inteiro"</definedName>
    <definedName name="solver_rhs20" localSheetId="10" hidden="1">"número inteiro"</definedName>
    <definedName name="solver_rhs20" localSheetId="11" hidden="1">"número inteiro"</definedName>
    <definedName name="solver_rhs21" localSheetId="2" hidden="1">"número inteiro"</definedName>
    <definedName name="solver_rhs21" localSheetId="3" hidden="1">"número inteiro"</definedName>
    <definedName name="solver_rhs21" localSheetId="12" hidden="1">"número inteiro"</definedName>
    <definedName name="solver_rhs21" localSheetId="4" hidden="1">"número inteiro"</definedName>
    <definedName name="solver_rhs21" localSheetId="5" hidden="1">"número inteiro"</definedName>
    <definedName name="solver_rhs21" localSheetId="6" hidden="1">"número inteiro"</definedName>
    <definedName name="solver_rhs21" localSheetId="7" hidden="1">"número inteiro"</definedName>
    <definedName name="solver_rhs21" localSheetId="8" hidden="1">"número inteiro"</definedName>
    <definedName name="solver_rhs21" localSheetId="9" hidden="1">"número inteiro"</definedName>
    <definedName name="solver_rhs21" localSheetId="10" hidden="1">"número inteiro"</definedName>
    <definedName name="solver_rhs21" localSheetId="11" hidden="1">"número inteiro"</definedName>
    <definedName name="solver_rhs3" localSheetId="2" hidden="1">Geral!$B$5</definedName>
    <definedName name="solver_rhs3" localSheetId="3" hidden="1">'Lote 1'!$B$5</definedName>
    <definedName name="solver_rhs3" localSheetId="12" hidden="1">'Lote 10'!$B$5</definedName>
    <definedName name="solver_rhs3" localSheetId="4" hidden="1">'Lote 2'!$B$5</definedName>
    <definedName name="solver_rhs3" localSheetId="5" hidden="1">'Lote 3'!$B$5</definedName>
    <definedName name="solver_rhs3" localSheetId="6" hidden="1">'Lote 4'!$B$5</definedName>
    <definedName name="solver_rhs3" localSheetId="7" hidden="1">'Lote 5'!$B$5</definedName>
    <definedName name="solver_rhs3" localSheetId="8" hidden="1">'Lote 6'!$B$5</definedName>
    <definedName name="solver_rhs3" localSheetId="9" hidden="1">'Lote 7'!$B$5</definedName>
    <definedName name="solver_rhs3" localSheetId="10" hidden="1">'Lote 8'!$B$5</definedName>
    <definedName name="solver_rhs3" localSheetId="11" hidden="1">'Lote 9'!$B$5</definedName>
    <definedName name="solver_rhs4" localSheetId="2" hidden="1">Geral!$B$6</definedName>
    <definedName name="solver_rhs4" localSheetId="3" hidden="1">'Lote 1'!$B$6</definedName>
    <definedName name="solver_rhs4" localSheetId="12" hidden="1">'Lote 10'!$B$6</definedName>
    <definedName name="solver_rhs4" localSheetId="4" hidden="1">'Lote 2'!$B$6</definedName>
    <definedName name="solver_rhs4" localSheetId="5" hidden="1">'Lote 3'!$B$6</definedName>
    <definedName name="solver_rhs4" localSheetId="6" hidden="1">'Lote 4'!$B$6</definedName>
    <definedName name="solver_rhs4" localSheetId="7" hidden="1">'Lote 5'!$B$6</definedName>
    <definedName name="solver_rhs4" localSheetId="8" hidden="1">'Lote 6'!$B$6</definedName>
    <definedName name="solver_rhs4" localSheetId="9" hidden="1">'Lote 7'!$B$6</definedName>
    <definedName name="solver_rhs4" localSheetId="10" hidden="1">'Lote 8'!$B$6</definedName>
    <definedName name="solver_rhs4" localSheetId="11" hidden="1">'Lote 9'!$B$6</definedName>
    <definedName name="solver_rhs5" localSheetId="2" hidden="1">Geral!$B$7</definedName>
    <definedName name="solver_rhs5" localSheetId="3" hidden="1">'Lote 1'!$B$7</definedName>
    <definedName name="solver_rhs5" localSheetId="12" hidden="1">'Lote 10'!$B$7</definedName>
    <definedName name="solver_rhs5" localSheetId="4" hidden="1">'Lote 2'!$B$7</definedName>
    <definedName name="solver_rhs5" localSheetId="5" hidden="1">'Lote 3'!$B$7</definedName>
    <definedName name="solver_rhs5" localSheetId="6" hidden="1">'Lote 4'!$B$7</definedName>
    <definedName name="solver_rhs5" localSheetId="7" hidden="1">'Lote 5'!$B$7</definedName>
    <definedName name="solver_rhs5" localSheetId="8" hidden="1">'Lote 6'!$B$7</definedName>
    <definedName name="solver_rhs5" localSheetId="9" hidden="1">'Lote 7'!$B$7</definedName>
    <definedName name="solver_rhs5" localSheetId="10" hidden="1">'Lote 8'!$B$7</definedName>
    <definedName name="solver_rhs5" localSheetId="11" hidden="1">'Lote 9'!$B$7</definedName>
    <definedName name="solver_rhs6" localSheetId="2" hidden="1">Geral!$C$3</definedName>
    <definedName name="solver_rhs6" localSheetId="3" hidden="1">'Lote 1'!$C$3</definedName>
    <definedName name="solver_rhs6" localSheetId="12" hidden="1">'Lote 10'!$C$3</definedName>
    <definedName name="solver_rhs6" localSheetId="4" hidden="1">'Lote 2'!$C$3</definedName>
    <definedName name="solver_rhs6" localSheetId="5" hidden="1">'Lote 3'!$C$3</definedName>
    <definedName name="solver_rhs6" localSheetId="6" hidden="1">'Lote 4'!$C$3</definedName>
    <definedName name="solver_rhs6" localSheetId="7" hidden="1">'Lote 5'!$C$3</definedName>
    <definedName name="solver_rhs6" localSheetId="8" hidden="1">'Lote 6'!$C$3</definedName>
    <definedName name="solver_rhs6" localSheetId="9" hidden="1">'Lote 7'!$C$3</definedName>
    <definedName name="solver_rhs6" localSheetId="10" hidden="1">'Lote 8'!$C$3</definedName>
    <definedName name="solver_rhs6" localSheetId="11" hidden="1">'Lote 9'!$C$3</definedName>
    <definedName name="solver_rhs7" localSheetId="2" hidden="1">Geral!$C$4</definedName>
    <definedName name="solver_rhs7" localSheetId="3" hidden="1">'Lote 1'!$C$4</definedName>
    <definedName name="solver_rhs7" localSheetId="12" hidden="1">'Lote 10'!$C$4</definedName>
    <definedName name="solver_rhs7" localSheetId="4" hidden="1">'Lote 2'!$C$4</definedName>
    <definedName name="solver_rhs7" localSheetId="5" hidden="1">'Lote 3'!$C$4</definedName>
    <definedName name="solver_rhs7" localSheetId="6" hidden="1">'Lote 4'!$C$4</definedName>
    <definedName name="solver_rhs7" localSheetId="7" hidden="1">'Lote 5'!$C$4</definedName>
    <definedName name="solver_rhs7" localSheetId="8" hidden="1">'Lote 6'!$C$4</definedName>
    <definedName name="solver_rhs7" localSheetId="9" hidden="1">'Lote 7'!$C$4</definedName>
    <definedName name="solver_rhs7" localSheetId="10" hidden="1">'Lote 8'!$C$4</definedName>
    <definedName name="solver_rhs7" localSheetId="11" hidden="1">'Lote 9'!$C$4</definedName>
    <definedName name="solver_rhs8" localSheetId="2" hidden="1">Geral!$C$5</definedName>
    <definedName name="solver_rhs8" localSheetId="3" hidden="1">'Lote 1'!$C$5</definedName>
    <definedName name="solver_rhs8" localSheetId="12" hidden="1">'Lote 10'!$C$5</definedName>
    <definedName name="solver_rhs8" localSheetId="4" hidden="1">'Lote 2'!$C$5</definedName>
    <definedName name="solver_rhs8" localSheetId="5" hidden="1">'Lote 3'!$C$5</definedName>
    <definedName name="solver_rhs8" localSheetId="6" hidden="1">'Lote 4'!$C$5</definedName>
    <definedName name="solver_rhs8" localSheetId="7" hidden="1">'Lote 5'!$C$5</definedName>
    <definedName name="solver_rhs8" localSheetId="8" hidden="1">'Lote 6'!$C$5</definedName>
    <definedName name="solver_rhs8" localSheetId="9" hidden="1">'Lote 7'!$C$5</definedName>
    <definedName name="solver_rhs8" localSheetId="10" hidden="1">'Lote 8'!$C$5</definedName>
    <definedName name="solver_rhs8" localSheetId="11" hidden="1">'Lote 9'!$C$5</definedName>
    <definedName name="solver_rhs9" localSheetId="2" hidden="1">Geral!$C$6</definedName>
    <definedName name="solver_rhs9" localSheetId="3" hidden="1">'Lote 1'!$C$6</definedName>
    <definedName name="solver_rhs9" localSheetId="12" hidden="1">'Lote 10'!$C$6</definedName>
    <definedName name="solver_rhs9" localSheetId="4" hidden="1">'Lote 2'!$C$6</definedName>
    <definedName name="solver_rhs9" localSheetId="5" hidden="1">'Lote 3'!$C$6</definedName>
    <definedName name="solver_rhs9" localSheetId="6" hidden="1">'Lote 4'!$C$6</definedName>
    <definedName name="solver_rhs9" localSheetId="7" hidden="1">'Lote 5'!$C$6</definedName>
    <definedName name="solver_rhs9" localSheetId="8" hidden="1">'Lote 6'!$C$6</definedName>
    <definedName name="solver_rhs9" localSheetId="9" hidden="1">'Lote 7'!$C$6</definedName>
    <definedName name="solver_rhs9" localSheetId="10" hidden="1">'Lote 8'!$C$6</definedName>
    <definedName name="solver_rhs9" localSheetId="11" hidden="1">'Lote 9'!$C$6</definedName>
    <definedName name="solver_rlx" localSheetId="0" hidden="1">2</definedName>
    <definedName name="solver_rlx" localSheetId="2" hidden="1">2</definedName>
    <definedName name="solver_rlx" localSheetId="3" hidden="1">2</definedName>
    <definedName name="solver_rlx" localSheetId="12" hidden="1">2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lx" localSheetId="7" hidden="1">2</definedName>
    <definedName name="solver_rlx" localSheetId="8" hidden="1">2</definedName>
    <definedName name="solver_rlx" localSheetId="9" hidden="1">2</definedName>
    <definedName name="solver_rlx" localSheetId="10" hidden="1">2</definedName>
    <definedName name="solver_rlx" localSheetId="11" hidden="1">2</definedName>
    <definedName name="solver_rsd" localSheetId="0" hidden="1">0</definedName>
    <definedName name="solver_rsd" localSheetId="2" hidden="1">0</definedName>
    <definedName name="solver_rsd" localSheetId="3" hidden="1">0</definedName>
    <definedName name="solver_rsd" localSheetId="12" hidden="1">0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rsd" localSheetId="10" hidden="1">0</definedName>
    <definedName name="solver_rsd" localSheetId="11" hidden="1">0</definedName>
    <definedName name="solver_scl" localSheetId="0" hidden="1">2</definedName>
    <definedName name="solver_scl" localSheetId="2" hidden="1">1</definedName>
    <definedName name="solver_scl" localSheetId="3" hidden="1">1</definedName>
    <definedName name="solver_scl" localSheetId="12" hidden="1">1</definedName>
    <definedName name="solver_scl" localSheetId="4" hidden="1">1</definedName>
    <definedName name="solver_scl" localSheetId="5" hidden="1">1</definedName>
    <definedName name="solver_scl" localSheetId="6" hidden="1">1</definedName>
    <definedName name="solver_scl" localSheetId="7" hidden="1">1</definedName>
    <definedName name="solver_scl" localSheetId="8" hidden="1">1</definedName>
    <definedName name="solver_scl" localSheetId="9" hidden="1">1</definedName>
    <definedName name="solver_scl" localSheetId="10" hidden="1">1</definedName>
    <definedName name="solver_scl" localSheetId="11" hidden="1">1</definedName>
    <definedName name="solver_sho" localSheetId="0" hidden="1">2</definedName>
    <definedName name="solver_sho" localSheetId="2" hidden="1">2</definedName>
    <definedName name="solver_sho" localSheetId="3" hidden="1">2</definedName>
    <definedName name="solver_sho" localSheetId="12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sz" localSheetId="0" hidden="1">100</definedName>
    <definedName name="solver_ssz" localSheetId="2" hidden="1">100</definedName>
    <definedName name="solver_ssz" localSheetId="3" hidden="1">100</definedName>
    <definedName name="solver_ssz" localSheetId="12" hidden="1">100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ssz" localSheetId="7" hidden="1">100</definedName>
    <definedName name="solver_ssz" localSheetId="8" hidden="1">100</definedName>
    <definedName name="solver_ssz" localSheetId="9" hidden="1">100</definedName>
    <definedName name="solver_ssz" localSheetId="10" hidden="1">100</definedName>
    <definedName name="solver_ssz" localSheetId="11" hidden="1">100</definedName>
    <definedName name="solver_tim" localSheetId="0" hidden="1">2147483647</definedName>
    <definedName name="solver_tim" localSheetId="2" hidden="1">2147483647</definedName>
    <definedName name="solver_tim" localSheetId="3" hidden="1">2147483647</definedName>
    <definedName name="solver_tim" localSheetId="12" hidden="1">2147483647</definedName>
    <definedName name="solver_tim" localSheetId="4" hidden="1">2147483647</definedName>
    <definedName name="solver_tim" localSheetId="5" hidden="1">2147483647</definedName>
    <definedName name="solver_tim" localSheetId="6" hidden="1">2147483647</definedName>
    <definedName name="solver_tim" localSheetId="7" hidden="1">2147483647</definedName>
    <definedName name="solver_tim" localSheetId="8" hidden="1">2147483647</definedName>
    <definedName name="solver_tim" localSheetId="9" hidden="1">2147483647</definedName>
    <definedName name="solver_tim" localSheetId="10" hidden="1">2147483647</definedName>
    <definedName name="solver_tim" localSheetId="11" hidden="1">2147483647</definedName>
    <definedName name="solver_tol" localSheetId="0" hidden="1">0.01</definedName>
    <definedName name="solver_tol" localSheetId="2" hidden="1">0.01</definedName>
    <definedName name="solver_tol" localSheetId="3" hidden="1">0.15</definedName>
    <definedName name="solver_tol" localSheetId="12" hidden="1">0.1</definedName>
    <definedName name="solver_tol" localSheetId="4" hidden="1">0.1</definedName>
    <definedName name="solver_tol" localSheetId="5" hidden="1">0.1</definedName>
    <definedName name="solver_tol" localSheetId="6" hidden="1">0.1</definedName>
    <definedName name="solver_tol" localSheetId="7" hidden="1">0.1</definedName>
    <definedName name="solver_tol" localSheetId="8" hidden="1">0.1</definedName>
    <definedName name="solver_tol" localSheetId="9" hidden="1">0.1</definedName>
    <definedName name="solver_tol" localSheetId="10" hidden="1">0.1</definedName>
    <definedName name="solver_tol" localSheetId="11" hidden="1">0.1</definedName>
    <definedName name="solver_typ" localSheetId="0" hidden="1">1</definedName>
    <definedName name="solver_typ" localSheetId="2" hidden="1">1</definedName>
    <definedName name="solver_typ" localSheetId="3" hidden="1">1</definedName>
    <definedName name="solver_typ" localSheetId="12" hidden="1">1</definedName>
    <definedName name="solver_typ" localSheetId="4" hidden="1">1</definedName>
    <definedName name="solver_typ" localSheetId="5" hidden="1">1</definedName>
    <definedName name="solver_typ" localSheetId="6" hidden="1">1</definedName>
    <definedName name="solver_typ" localSheetId="7" hidden="1">1</definedName>
    <definedName name="solver_typ" localSheetId="8" hidden="1">1</definedName>
    <definedName name="solver_typ" localSheetId="9" hidden="1">1</definedName>
    <definedName name="solver_typ" localSheetId="10" hidden="1">1</definedName>
    <definedName name="solver_typ" localSheetId="11" hidden="1">1</definedName>
    <definedName name="solver_val" localSheetId="0" hidden="1">0</definedName>
    <definedName name="solver_val" localSheetId="2" hidden="1">0</definedName>
    <definedName name="solver_val" localSheetId="3" hidden="1">0</definedName>
    <definedName name="solver_val" localSheetId="12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er" localSheetId="0" hidden="1">3</definedName>
    <definedName name="solver_ver" localSheetId="2" hidden="1">3</definedName>
    <definedName name="solver_ver" localSheetId="3" hidden="1">3</definedName>
    <definedName name="solver_ver" localSheetId="12" hidden="1">3</definedName>
    <definedName name="solver_ver" localSheetId="4" hidden="1">3</definedName>
    <definedName name="solver_ver" localSheetId="5" hidden="1">3</definedName>
    <definedName name="solver_ver" localSheetId="6" hidden="1">3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10" hidden="1">3</definedName>
    <definedName name="solver_ver" localSheetId="1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4" i="4" l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L29" i="1"/>
  <c r="M29" i="1"/>
  <c r="N29" i="1"/>
  <c r="O29" i="1"/>
  <c r="P29" i="1"/>
  <c r="Q29" i="1"/>
  <c r="R29" i="1"/>
  <c r="S29" i="1"/>
  <c r="T29" i="1"/>
  <c r="K29" i="1"/>
  <c r="AB2" i="4"/>
  <c r="D3" i="5" l="1"/>
  <c r="D4" i="5"/>
  <c r="D5" i="5"/>
  <c r="D6" i="5"/>
  <c r="D7" i="5"/>
  <c r="C4" i="5"/>
  <c r="C5" i="5"/>
  <c r="C6" i="5"/>
  <c r="C7" i="5"/>
  <c r="C3" i="5"/>
  <c r="G2" i="15"/>
  <c r="G2" i="14"/>
  <c r="G2" i="13"/>
  <c r="G2" i="12"/>
  <c r="G2" i="11"/>
  <c r="G2" i="10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G2" i="9"/>
  <c r="AB7" i="4"/>
  <c r="AB1" i="4"/>
  <c r="J2" i="4"/>
  <c r="F2" i="4" s="1"/>
  <c r="J3" i="4"/>
  <c r="F3" i="4" s="1"/>
  <c r="J4" i="4"/>
  <c r="F4" i="4" s="1"/>
  <c r="J5" i="4"/>
  <c r="F5" i="4" s="1"/>
  <c r="J6" i="4"/>
  <c r="F6" i="4" s="1"/>
  <c r="J7" i="4"/>
  <c r="F7" i="4" s="1"/>
  <c r="J8" i="4"/>
  <c r="F8" i="4" s="1"/>
  <c r="J9" i="4"/>
  <c r="F9" i="4" s="1"/>
  <c r="J10" i="4"/>
  <c r="F10" i="4" s="1"/>
  <c r="J11" i="4"/>
  <c r="F11" i="4" s="1"/>
  <c r="J12" i="4"/>
  <c r="F12" i="4" s="1"/>
  <c r="J13" i="4"/>
  <c r="F13" i="4" s="1"/>
  <c r="J14" i="4"/>
  <c r="F14" i="4" s="1"/>
  <c r="J15" i="4"/>
  <c r="F15" i="4" s="1"/>
  <c r="J16" i="4"/>
  <c r="F16" i="4" s="1"/>
  <c r="J17" i="4"/>
  <c r="F17" i="4" s="1"/>
  <c r="J18" i="4"/>
  <c r="F18" i="4" s="1"/>
  <c r="J19" i="4"/>
  <c r="F19" i="4" s="1"/>
  <c r="J20" i="4"/>
  <c r="F20" i="4" s="1"/>
  <c r="J21" i="4"/>
  <c r="F21" i="4" s="1"/>
  <c r="J22" i="4"/>
  <c r="F22" i="4" s="1"/>
  <c r="J23" i="4"/>
  <c r="F23" i="4" s="1"/>
  <c r="J24" i="4"/>
  <c r="F24" i="4" s="1"/>
  <c r="J25" i="4"/>
  <c r="F25" i="4" s="1"/>
  <c r="J26" i="4"/>
  <c r="F26" i="4" s="1"/>
  <c r="J27" i="4"/>
  <c r="F27" i="4" s="1"/>
  <c r="J28" i="4"/>
  <c r="F28" i="4" s="1"/>
  <c r="J29" i="4"/>
  <c r="F29" i="4" s="1"/>
  <c r="J30" i="4"/>
  <c r="F30" i="4" s="1"/>
  <c r="J31" i="4"/>
  <c r="F31" i="4" s="1"/>
  <c r="J32" i="4"/>
  <c r="F32" i="4" s="1"/>
  <c r="J33" i="4"/>
  <c r="F33" i="4" s="1"/>
  <c r="J34" i="4"/>
  <c r="F34" i="4" s="1"/>
  <c r="J35" i="4"/>
  <c r="F35" i="4" s="1"/>
  <c r="J36" i="4"/>
  <c r="F36" i="4" s="1"/>
  <c r="J37" i="4"/>
  <c r="F37" i="4" s="1"/>
  <c r="J38" i="4"/>
  <c r="F38" i="4" s="1"/>
  <c r="J39" i="4"/>
  <c r="F39" i="4" s="1"/>
  <c r="J40" i="4"/>
  <c r="F40" i="4" s="1"/>
  <c r="J41" i="4"/>
  <c r="F41" i="4" s="1"/>
  <c r="J42" i="4"/>
  <c r="F42" i="4" s="1"/>
  <c r="J43" i="4"/>
  <c r="F43" i="4" s="1"/>
  <c r="J44" i="4"/>
  <c r="F44" i="4" s="1"/>
  <c r="J45" i="4"/>
  <c r="F45" i="4" s="1"/>
  <c r="J46" i="4"/>
  <c r="F46" i="4" s="1"/>
  <c r="J47" i="4"/>
  <c r="F47" i="4" s="1"/>
  <c r="J48" i="4"/>
  <c r="F48" i="4" s="1"/>
  <c r="J49" i="4"/>
  <c r="F49" i="4" s="1"/>
  <c r="J50" i="4"/>
  <c r="F50" i="4" s="1"/>
  <c r="J51" i="4"/>
  <c r="F51" i="4" s="1"/>
  <c r="J52" i="4"/>
  <c r="F52" i="4" s="1"/>
  <c r="J53" i="4"/>
  <c r="F53" i="4" s="1"/>
  <c r="J54" i="4"/>
  <c r="F54" i="4" s="1"/>
  <c r="J55" i="4"/>
  <c r="F55" i="4" s="1"/>
  <c r="J56" i="4"/>
  <c r="F56" i="4" s="1"/>
  <c r="J57" i="4"/>
  <c r="F57" i="4" s="1"/>
  <c r="J58" i="4"/>
  <c r="F58" i="4" s="1"/>
  <c r="J59" i="4"/>
  <c r="F59" i="4" s="1"/>
  <c r="J60" i="4"/>
  <c r="F60" i="4" s="1"/>
  <c r="J61" i="4"/>
  <c r="F61" i="4" s="1"/>
  <c r="J62" i="4"/>
  <c r="F62" i="4" s="1"/>
  <c r="J63" i="4"/>
  <c r="F63" i="4" s="1"/>
  <c r="J64" i="4"/>
  <c r="F64" i="4" s="1"/>
  <c r="J65" i="4"/>
  <c r="F65" i="4" s="1"/>
  <c r="J66" i="4"/>
  <c r="F66" i="4" s="1"/>
  <c r="J67" i="4"/>
  <c r="F67" i="4" s="1"/>
  <c r="J68" i="4"/>
  <c r="F68" i="4" s="1"/>
  <c r="J69" i="4"/>
  <c r="F69" i="4" s="1"/>
  <c r="J70" i="4"/>
  <c r="F70" i="4" s="1"/>
  <c r="J71" i="4"/>
  <c r="F71" i="4" s="1"/>
  <c r="J72" i="4"/>
  <c r="F72" i="4" s="1"/>
  <c r="J73" i="4"/>
  <c r="F73" i="4" s="1"/>
  <c r="J74" i="4"/>
  <c r="F74" i="4" s="1"/>
  <c r="J75" i="4"/>
  <c r="F75" i="4" s="1"/>
  <c r="J76" i="4"/>
  <c r="F76" i="4" s="1"/>
  <c r="J77" i="4"/>
  <c r="F77" i="4" s="1"/>
  <c r="J78" i="4"/>
  <c r="F78" i="4" s="1"/>
  <c r="J79" i="4"/>
  <c r="F79" i="4" s="1"/>
  <c r="J80" i="4"/>
  <c r="F80" i="4" s="1"/>
  <c r="J81" i="4"/>
  <c r="F81" i="4" s="1"/>
  <c r="J82" i="4"/>
  <c r="F82" i="4" s="1"/>
  <c r="J83" i="4"/>
  <c r="F83" i="4" s="1"/>
  <c r="J84" i="4"/>
  <c r="F84" i="4" s="1"/>
  <c r="J85" i="4"/>
  <c r="F85" i="4" s="1"/>
  <c r="J86" i="4"/>
  <c r="F86" i="4" s="1"/>
  <c r="J87" i="4"/>
  <c r="F87" i="4" s="1"/>
  <c r="J88" i="4"/>
  <c r="F88" i="4" s="1"/>
  <c r="J89" i="4"/>
  <c r="F89" i="4" s="1"/>
  <c r="J90" i="4"/>
  <c r="F90" i="4" s="1"/>
  <c r="J91" i="4"/>
  <c r="F91" i="4" s="1"/>
  <c r="J92" i="4"/>
  <c r="F92" i="4" s="1"/>
  <c r="J93" i="4"/>
  <c r="F93" i="4" s="1"/>
  <c r="J94" i="4"/>
  <c r="F94" i="4" s="1"/>
  <c r="J95" i="4"/>
  <c r="F95" i="4" s="1"/>
  <c r="J96" i="4"/>
  <c r="F96" i="4" s="1"/>
  <c r="J97" i="4"/>
  <c r="F97" i="4" s="1"/>
  <c r="J98" i="4"/>
  <c r="F98" i="4" s="1"/>
  <c r="J99" i="4"/>
  <c r="F99" i="4" s="1"/>
  <c r="J100" i="4"/>
  <c r="F100" i="4" s="1"/>
  <c r="J101" i="4"/>
  <c r="F101" i="4" s="1"/>
  <c r="J102" i="4"/>
  <c r="F102" i="4" s="1"/>
  <c r="J103" i="4"/>
  <c r="F103" i="4" s="1"/>
  <c r="J104" i="4"/>
  <c r="F104" i="4" s="1"/>
  <c r="J105" i="4"/>
  <c r="F105" i="4" s="1"/>
  <c r="J106" i="4"/>
  <c r="F106" i="4" s="1"/>
  <c r="J107" i="4"/>
  <c r="F107" i="4" s="1"/>
  <c r="J108" i="4"/>
  <c r="F108" i="4" s="1"/>
  <c r="J109" i="4"/>
  <c r="F109" i="4" s="1"/>
  <c r="J110" i="4"/>
  <c r="F110" i="4" s="1"/>
  <c r="J111" i="4"/>
  <c r="F111" i="4" s="1"/>
  <c r="J112" i="4"/>
  <c r="F112" i="4" s="1"/>
  <c r="J113" i="4"/>
  <c r="F113" i="4" s="1"/>
  <c r="J114" i="4"/>
  <c r="F114" i="4" s="1"/>
  <c r="J115" i="4"/>
  <c r="F115" i="4" s="1"/>
  <c r="J116" i="4"/>
  <c r="F116" i="4" s="1"/>
  <c r="J117" i="4"/>
  <c r="F117" i="4" s="1"/>
  <c r="J118" i="4"/>
  <c r="F118" i="4" s="1"/>
  <c r="J119" i="4"/>
  <c r="F119" i="4" s="1"/>
  <c r="J120" i="4"/>
  <c r="F120" i="4" s="1"/>
  <c r="J121" i="4"/>
  <c r="F121" i="4" s="1"/>
  <c r="J122" i="4"/>
  <c r="F122" i="4" s="1"/>
  <c r="J123" i="4"/>
  <c r="F123" i="4" s="1"/>
  <c r="J124" i="4"/>
  <c r="F124" i="4" s="1"/>
  <c r="J125" i="4"/>
  <c r="F125" i="4" s="1"/>
  <c r="J126" i="4"/>
  <c r="F126" i="4" s="1"/>
  <c r="J127" i="4"/>
  <c r="F127" i="4" s="1"/>
  <c r="J128" i="4"/>
  <c r="F128" i="4" s="1"/>
  <c r="J129" i="4"/>
  <c r="F129" i="4" s="1"/>
  <c r="J130" i="4"/>
  <c r="F130" i="4" s="1"/>
  <c r="J131" i="4"/>
  <c r="F131" i="4" s="1"/>
  <c r="J132" i="4"/>
  <c r="F132" i="4" s="1"/>
  <c r="J133" i="4"/>
  <c r="F133" i="4" s="1"/>
  <c r="J134" i="4"/>
  <c r="F134" i="4" s="1"/>
  <c r="J135" i="4"/>
  <c r="F135" i="4" s="1"/>
  <c r="J136" i="4"/>
  <c r="F136" i="4" s="1"/>
  <c r="J137" i="4"/>
  <c r="F137" i="4" s="1"/>
  <c r="J138" i="4"/>
  <c r="F138" i="4" s="1"/>
  <c r="J139" i="4"/>
  <c r="F139" i="4" s="1"/>
  <c r="J140" i="4"/>
  <c r="F140" i="4" s="1"/>
  <c r="J141" i="4"/>
  <c r="F141" i="4" s="1"/>
  <c r="J142" i="4"/>
  <c r="F142" i="4" s="1"/>
  <c r="J143" i="4"/>
  <c r="F143" i="4" s="1"/>
  <c r="J144" i="4"/>
  <c r="F144" i="4" s="1"/>
  <c r="J145" i="4"/>
  <c r="F145" i="4" s="1"/>
  <c r="J146" i="4"/>
  <c r="F146" i="4" s="1"/>
  <c r="J147" i="4"/>
  <c r="F147" i="4" s="1"/>
  <c r="J148" i="4"/>
  <c r="F148" i="4" s="1"/>
  <c r="J149" i="4"/>
  <c r="F149" i="4" s="1"/>
  <c r="J150" i="4"/>
  <c r="F150" i="4" s="1"/>
  <c r="J151" i="4"/>
  <c r="F151" i="4" s="1"/>
  <c r="J152" i="4"/>
  <c r="F152" i="4" s="1"/>
  <c r="J153" i="4"/>
  <c r="F153" i="4" s="1"/>
  <c r="J154" i="4"/>
  <c r="F154" i="4" s="1"/>
  <c r="J155" i="4"/>
  <c r="F155" i="4" s="1"/>
  <c r="J156" i="4"/>
  <c r="F156" i="4" s="1"/>
  <c r="J157" i="4"/>
  <c r="F157" i="4" s="1"/>
  <c r="J158" i="4"/>
  <c r="F158" i="4" s="1"/>
  <c r="J159" i="4"/>
  <c r="F159" i="4" s="1"/>
  <c r="J160" i="4"/>
  <c r="F160" i="4" s="1"/>
  <c r="J161" i="4"/>
  <c r="F161" i="4" s="1"/>
  <c r="J162" i="4"/>
  <c r="F162" i="4" s="1"/>
  <c r="J163" i="4"/>
  <c r="F163" i="4" s="1"/>
  <c r="J164" i="4"/>
  <c r="F164" i="4" s="1"/>
  <c r="J165" i="4"/>
  <c r="F165" i="4" s="1"/>
  <c r="J166" i="4"/>
  <c r="F166" i="4" s="1"/>
  <c r="J167" i="4"/>
  <c r="F167" i="4" s="1"/>
  <c r="J168" i="4"/>
  <c r="F168" i="4" s="1"/>
  <c r="J169" i="4"/>
  <c r="F169" i="4" s="1"/>
  <c r="J170" i="4"/>
  <c r="F170" i="4" s="1"/>
  <c r="J171" i="4"/>
  <c r="F171" i="4" s="1"/>
  <c r="J172" i="4"/>
  <c r="F172" i="4" s="1"/>
  <c r="J173" i="4"/>
  <c r="F173" i="4" s="1"/>
  <c r="J174" i="4"/>
  <c r="F174" i="4" s="1"/>
  <c r="J175" i="4"/>
  <c r="F175" i="4" s="1"/>
  <c r="J176" i="4"/>
  <c r="F176" i="4" s="1"/>
  <c r="J177" i="4"/>
  <c r="F177" i="4" s="1"/>
  <c r="J178" i="4"/>
  <c r="F178" i="4" s="1"/>
  <c r="J179" i="4"/>
  <c r="F179" i="4" s="1"/>
  <c r="J180" i="4"/>
  <c r="F180" i="4" s="1"/>
  <c r="J181" i="4"/>
  <c r="F181" i="4" s="1"/>
  <c r="J182" i="4"/>
  <c r="F182" i="4" s="1"/>
  <c r="J183" i="4"/>
  <c r="F183" i="4" s="1"/>
  <c r="J184" i="4"/>
  <c r="F184" i="4" s="1"/>
  <c r="J185" i="4"/>
  <c r="F185" i="4" s="1"/>
  <c r="J186" i="4"/>
  <c r="F186" i="4" s="1"/>
  <c r="J187" i="4"/>
  <c r="F187" i="4" s="1"/>
  <c r="J188" i="4"/>
  <c r="F188" i="4" s="1"/>
  <c r="J189" i="4"/>
  <c r="F189" i="4" s="1"/>
  <c r="J190" i="4"/>
  <c r="F190" i="4" s="1"/>
  <c r="J191" i="4"/>
  <c r="F191" i="4" s="1"/>
  <c r="J192" i="4"/>
  <c r="F192" i="4" s="1"/>
  <c r="J193" i="4"/>
  <c r="F193" i="4" s="1"/>
  <c r="J194" i="4"/>
  <c r="F194" i="4" s="1"/>
  <c r="J195" i="4"/>
  <c r="F195" i="4" s="1"/>
  <c r="J196" i="4"/>
  <c r="F196" i="4" s="1"/>
  <c r="J197" i="4"/>
  <c r="F197" i="4" s="1"/>
  <c r="J198" i="4"/>
  <c r="F198" i="4" s="1"/>
  <c r="J199" i="4"/>
  <c r="F199" i="4" s="1"/>
  <c r="J200" i="4"/>
  <c r="F200" i="4" s="1"/>
  <c r="J201" i="4"/>
  <c r="F201" i="4" s="1"/>
  <c r="J202" i="4"/>
  <c r="F202" i="4" s="1"/>
  <c r="J203" i="4"/>
  <c r="F203" i="4" s="1"/>
  <c r="J204" i="4"/>
  <c r="F204" i="4" s="1"/>
  <c r="J205" i="4"/>
  <c r="F205" i="4" s="1"/>
  <c r="J206" i="4"/>
  <c r="F206" i="4" s="1"/>
  <c r="J207" i="4"/>
  <c r="F207" i="4" s="1"/>
  <c r="J208" i="4"/>
  <c r="F208" i="4" s="1"/>
  <c r="J209" i="4"/>
  <c r="F209" i="4" s="1"/>
  <c r="J210" i="4"/>
  <c r="F210" i="4" s="1"/>
  <c r="J211" i="4"/>
  <c r="F211" i="4" s="1"/>
  <c r="J212" i="4"/>
  <c r="F212" i="4" s="1"/>
  <c r="J213" i="4"/>
  <c r="F213" i="4" s="1"/>
  <c r="J214" i="4"/>
  <c r="F214" i="4" s="1"/>
  <c r="J215" i="4"/>
  <c r="F215" i="4" s="1"/>
  <c r="J216" i="4"/>
  <c r="F216" i="4" s="1"/>
  <c r="J217" i="4"/>
  <c r="F217" i="4" s="1"/>
  <c r="J218" i="4"/>
  <c r="F218" i="4" s="1"/>
  <c r="J219" i="4"/>
  <c r="F219" i="4" s="1"/>
  <c r="J220" i="4"/>
  <c r="F220" i="4" s="1"/>
  <c r="J221" i="4"/>
  <c r="F221" i="4" s="1"/>
  <c r="J222" i="4"/>
  <c r="F222" i="4" s="1"/>
  <c r="J223" i="4"/>
  <c r="F223" i="4" s="1"/>
  <c r="J224" i="4"/>
  <c r="F224" i="4" s="1"/>
  <c r="J225" i="4"/>
  <c r="F225" i="4" s="1"/>
  <c r="J226" i="4"/>
  <c r="F226" i="4" s="1"/>
  <c r="J227" i="4"/>
  <c r="F227" i="4" s="1"/>
  <c r="J228" i="4"/>
  <c r="F228" i="4" s="1"/>
  <c r="J229" i="4"/>
  <c r="F229" i="4" s="1"/>
  <c r="J230" i="4"/>
  <c r="F230" i="4" s="1"/>
  <c r="J231" i="4"/>
  <c r="F231" i="4" s="1"/>
  <c r="J232" i="4"/>
  <c r="F232" i="4" s="1"/>
  <c r="J233" i="4"/>
  <c r="F233" i="4" s="1"/>
  <c r="J234" i="4"/>
  <c r="F234" i="4" s="1"/>
  <c r="J235" i="4"/>
  <c r="F235" i="4" s="1"/>
  <c r="J236" i="4"/>
  <c r="F236" i="4" s="1"/>
  <c r="J237" i="4"/>
  <c r="F237" i="4" s="1"/>
  <c r="J238" i="4"/>
  <c r="F238" i="4" s="1"/>
  <c r="J239" i="4"/>
  <c r="F239" i="4" s="1"/>
  <c r="J240" i="4"/>
  <c r="F240" i="4" s="1"/>
  <c r="J241" i="4"/>
  <c r="F241" i="4" s="1"/>
  <c r="J242" i="4"/>
  <c r="F242" i="4" s="1"/>
  <c r="J243" i="4"/>
  <c r="F243" i="4" s="1"/>
  <c r="J244" i="4"/>
  <c r="F244" i="4" s="1"/>
  <c r="J245" i="4"/>
  <c r="F245" i="4" s="1"/>
  <c r="J246" i="4"/>
  <c r="F246" i="4" s="1"/>
  <c r="J247" i="4"/>
  <c r="F247" i="4" s="1"/>
  <c r="J248" i="4"/>
  <c r="F248" i="4" s="1"/>
  <c r="J249" i="4"/>
  <c r="F249" i="4" s="1"/>
  <c r="J250" i="4"/>
  <c r="F250" i="4" s="1"/>
  <c r="J251" i="4"/>
  <c r="F251" i="4" s="1"/>
  <c r="J252" i="4"/>
  <c r="F252" i="4" s="1"/>
  <c r="J253" i="4"/>
  <c r="F253" i="4" s="1"/>
  <c r="J254" i="4"/>
  <c r="F254" i="4" s="1"/>
  <c r="J255" i="4"/>
  <c r="F255" i="4" s="1"/>
  <c r="J256" i="4"/>
  <c r="F256" i="4" s="1"/>
  <c r="J257" i="4"/>
  <c r="F257" i="4" s="1"/>
  <c r="J258" i="4"/>
  <c r="F258" i="4" s="1"/>
  <c r="J259" i="4"/>
  <c r="F259" i="4" s="1"/>
  <c r="J260" i="4"/>
  <c r="F260" i="4" s="1"/>
  <c r="J261" i="4"/>
  <c r="F261" i="4" s="1"/>
  <c r="J262" i="4"/>
  <c r="F262" i="4" s="1"/>
  <c r="J263" i="4"/>
  <c r="F263" i="4" s="1"/>
  <c r="J264" i="4"/>
  <c r="F264" i="4" s="1"/>
  <c r="J265" i="4"/>
  <c r="F265" i="4" s="1"/>
  <c r="J266" i="4"/>
  <c r="F266" i="4" s="1"/>
  <c r="J267" i="4"/>
  <c r="F267" i="4" s="1"/>
  <c r="J268" i="4"/>
  <c r="F268" i="4" s="1"/>
  <c r="J269" i="4"/>
  <c r="F269" i="4" s="1"/>
  <c r="J270" i="4"/>
  <c r="F270" i="4" s="1"/>
  <c r="J271" i="4"/>
  <c r="F271" i="4" s="1"/>
  <c r="J272" i="4"/>
  <c r="F272" i="4" s="1"/>
  <c r="J273" i="4"/>
  <c r="F273" i="4" s="1"/>
  <c r="J274" i="4"/>
  <c r="F274" i="4" s="1"/>
  <c r="J275" i="4"/>
  <c r="F275" i="4" s="1"/>
  <c r="J276" i="4"/>
  <c r="F276" i="4" s="1"/>
  <c r="J277" i="4"/>
  <c r="F277" i="4" s="1"/>
  <c r="J278" i="4"/>
  <c r="F278" i="4" s="1"/>
  <c r="J279" i="4"/>
  <c r="F279" i="4" s="1"/>
  <c r="J280" i="4"/>
  <c r="F280" i="4" s="1"/>
  <c r="J281" i="4"/>
  <c r="F281" i="4" s="1"/>
  <c r="J282" i="4"/>
  <c r="F282" i="4" s="1"/>
  <c r="J283" i="4"/>
  <c r="F283" i="4" s="1"/>
  <c r="J284" i="4"/>
  <c r="F284" i="4" s="1"/>
  <c r="J285" i="4"/>
  <c r="F285" i="4" s="1"/>
  <c r="J286" i="4"/>
  <c r="F286" i="4" s="1"/>
  <c r="J287" i="4"/>
  <c r="F287" i="4" s="1"/>
  <c r="J288" i="4"/>
  <c r="F288" i="4" s="1"/>
  <c r="J289" i="4"/>
  <c r="F289" i="4" s="1"/>
  <c r="J290" i="4"/>
  <c r="F290" i="4" s="1"/>
  <c r="J291" i="4"/>
  <c r="F291" i="4" s="1"/>
  <c r="J292" i="4"/>
  <c r="F292" i="4" s="1"/>
  <c r="J293" i="4"/>
  <c r="F293" i="4" s="1"/>
  <c r="J294" i="4"/>
  <c r="F294" i="4" s="1"/>
  <c r="J295" i="4"/>
  <c r="F295" i="4" s="1"/>
  <c r="J296" i="4"/>
  <c r="F296" i="4" s="1"/>
  <c r="J297" i="4"/>
  <c r="F297" i="4" s="1"/>
  <c r="J298" i="4"/>
  <c r="F298" i="4" s="1"/>
  <c r="J299" i="4"/>
  <c r="F299" i="4" s="1"/>
  <c r="J300" i="4"/>
  <c r="F300" i="4" s="1"/>
  <c r="J301" i="4"/>
  <c r="F301" i="4" s="1"/>
  <c r="J302" i="4"/>
  <c r="F302" i="4" s="1"/>
  <c r="J303" i="4"/>
  <c r="F303" i="4" s="1"/>
  <c r="J304" i="4"/>
  <c r="F304" i="4" s="1"/>
  <c r="J305" i="4"/>
  <c r="F305" i="4" s="1"/>
  <c r="J306" i="4"/>
  <c r="F306" i="4" s="1"/>
  <c r="J307" i="4"/>
  <c r="F307" i="4" s="1"/>
  <c r="J308" i="4"/>
  <c r="F308" i="4" s="1"/>
  <c r="J309" i="4"/>
  <c r="F309" i="4" s="1"/>
  <c r="J310" i="4"/>
  <c r="F310" i="4" s="1"/>
  <c r="J311" i="4"/>
  <c r="F311" i="4" s="1"/>
  <c r="J312" i="4"/>
  <c r="F312" i="4" s="1"/>
  <c r="J313" i="4"/>
  <c r="F313" i="4" s="1"/>
  <c r="J314" i="4"/>
  <c r="F314" i="4" s="1"/>
  <c r="J315" i="4"/>
  <c r="F315" i="4" s="1"/>
  <c r="J316" i="4"/>
  <c r="F316" i="4" s="1"/>
  <c r="J317" i="4"/>
  <c r="F317" i="4" s="1"/>
  <c r="J318" i="4"/>
  <c r="F318" i="4" s="1"/>
  <c r="J319" i="4"/>
  <c r="F319" i="4" s="1"/>
  <c r="J320" i="4"/>
  <c r="F320" i="4" s="1"/>
  <c r="J321" i="4"/>
  <c r="F321" i="4" s="1"/>
  <c r="J322" i="4"/>
  <c r="F322" i="4" s="1"/>
  <c r="J323" i="4"/>
  <c r="F323" i="4" s="1"/>
  <c r="J324" i="4"/>
  <c r="F324" i="4" s="1"/>
  <c r="J325" i="4"/>
  <c r="F325" i="4" s="1"/>
  <c r="J326" i="4"/>
  <c r="F326" i="4" s="1"/>
  <c r="J327" i="4"/>
  <c r="F327" i="4" s="1"/>
  <c r="J328" i="4"/>
  <c r="F328" i="4" s="1"/>
  <c r="J329" i="4"/>
  <c r="F329" i="4" s="1"/>
  <c r="J330" i="4"/>
  <c r="F330" i="4" s="1"/>
  <c r="J331" i="4"/>
  <c r="F331" i="4" s="1"/>
  <c r="J332" i="4"/>
  <c r="F332" i="4" s="1"/>
  <c r="J333" i="4"/>
  <c r="F333" i="4" s="1"/>
  <c r="J334" i="4"/>
  <c r="F334" i="4" s="1"/>
  <c r="J335" i="4"/>
  <c r="F335" i="4" s="1"/>
  <c r="J336" i="4"/>
  <c r="F336" i="4" s="1"/>
  <c r="J337" i="4"/>
  <c r="F337" i="4" s="1"/>
  <c r="J338" i="4"/>
  <c r="F338" i="4" s="1"/>
  <c r="J339" i="4"/>
  <c r="F339" i="4" s="1"/>
  <c r="J340" i="4"/>
  <c r="F340" i="4" s="1"/>
  <c r="J341" i="4"/>
  <c r="F341" i="4" s="1"/>
  <c r="J342" i="4"/>
  <c r="F342" i="4" s="1"/>
  <c r="J343" i="4"/>
  <c r="F343" i="4" s="1"/>
  <c r="J344" i="4"/>
  <c r="F344" i="4" s="1"/>
  <c r="J345" i="4"/>
  <c r="F345" i="4" s="1"/>
  <c r="J346" i="4"/>
  <c r="F346" i="4" s="1"/>
  <c r="J347" i="4"/>
  <c r="F347" i="4" s="1"/>
  <c r="J348" i="4"/>
  <c r="F348" i="4" s="1"/>
  <c r="J349" i="4"/>
  <c r="F349" i="4" s="1"/>
  <c r="J350" i="4"/>
  <c r="F350" i="4" s="1"/>
  <c r="J351" i="4"/>
  <c r="F351" i="4" s="1"/>
  <c r="J352" i="4"/>
  <c r="F352" i="4" s="1"/>
  <c r="J353" i="4"/>
  <c r="F353" i="4" s="1"/>
  <c r="J354" i="4"/>
  <c r="F354" i="4" s="1"/>
  <c r="J355" i="4"/>
  <c r="F355" i="4" s="1"/>
  <c r="J356" i="4"/>
  <c r="F356" i="4" s="1"/>
  <c r="J357" i="4"/>
  <c r="F357" i="4" s="1"/>
  <c r="J358" i="4"/>
  <c r="F358" i="4" s="1"/>
  <c r="J359" i="4"/>
  <c r="F359" i="4" s="1"/>
  <c r="J360" i="4"/>
  <c r="F360" i="4" s="1"/>
  <c r="J361" i="4"/>
  <c r="F361" i="4" s="1"/>
  <c r="J362" i="4"/>
  <c r="F362" i="4" s="1"/>
  <c r="J363" i="4"/>
  <c r="F363" i="4" s="1"/>
  <c r="J364" i="4"/>
  <c r="F364" i="4" s="1"/>
  <c r="J365" i="4"/>
  <c r="F365" i="4" s="1"/>
  <c r="J366" i="4"/>
  <c r="F366" i="4" s="1"/>
  <c r="J367" i="4"/>
  <c r="F367" i="4" s="1"/>
  <c r="J368" i="4"/>
  <c r="F368" i="4" s="1"/>
  <c r="J369" i="4"/>
  <c r="F369" i="4" s="1"/>
  <c r="J370" i="4"/>
  <c r="F370" i="4" s="1"/>
  <c r="J371" i="4"/>
  <c r="F371" i="4" s="1"/>
  <c r="J372" i="4"/>
  <c r="F372" i="4" s="1"/>
  <c r="J373" i="4"/>
  <c r="F373" i="4" s="1"/>
  <c r="J374" i="4"/>
  <c r="F374" i="4" s="1"/>
  <c r="J375" i="4"/>
  <c r="F375" i="4" s="1"/>
  <c r="J376" i="4"/>
  <c r="F376" i="4" s="1"/>
  <c r="J377" i="4"/>
  <c r="F377" i="4" s="1"/>
  <c r="J378" i="4"/>
  <c r="F378" i="4" s="1"/>
  <c r="J379" i="4"/>
  <c r="F379" i="4" s="1"/>
  <c r="J380" i="4"/>
  <c r="F380" i="4" s="1"/>
  <c r="J381" i="4"/>
  <c r="F381" i="4" s="1"/>
  <c r="J382" i="4"/>
  <c r="F382" i="4" s="1"/>
  <c r="J383" i="4"/>
  <c r="F383" i="4" s="1"/>
  <c r="J384" i="4"/>
  <c r="F384" i="4" s="1"/>
  <c r="J385" i="4"/>
  <c r="F385" i="4" s="1"/>
  <c r="J386" i="4"/>
  <c r="F386" i="4" s="1"/>
  <c r="J387" i="4"/>
  <c r="F387" i="4" s="1"/>
  <c r="J388" i="4"/>
  <c r="F388" i="4" s="1"/>
  <c r="J389" i="4"/>
  <c r="F389" i="4" s="1"/>
  <c r="J390" i="4"/>
  <c r="F390" i="4" s="1"/>
  <c r="J391" i="4"/>
  <c r="F391" i="4" s="1"/>
  <c r="J392" i="4"/>
  <c r="F392" i="4" s="1"/>
  <c r="J393" i="4"/>
  <c r="F393" i="4" s="1"/>
  <c r="J394" i="4"/>
  <c r="F394" i="4" s="1"/>
  <c r="J395" i="4"/>
  <c r="F395" i="4" s="1"/>
  <c r="J396" i="4"/>
  <c r="F396" i="4" s="1"/>
  <c r="J397" i="4"/>
  <c r="F397" i="4" s="1"/>
  <c r="J398" i="4"/>
  <c r="F398" i="4" s="1"/>
  <c r="J399" i="4"/>
  <c r="F399" i="4" s="1"/>
  <c r="J400" i="4"/>
  <c r="F400" i="4" s="1"/>
  <c r="J401" i="4"/>
  <c r="F401" i="4" s="1"/>
  <c r="J402" i="4"/>
  <c r="F402" i="4" s="1"/>
  <c r="J403" i="4"/>
  <c r="F403" i="4" s="1"/>
  <c r="J404" i="4"/>
  <c r="F404" i="4" s="1"/>
  <c r="J405" i="4"/>
  <c r="F405" i="4" s="1"/>
  <c r="J406" i="4"/>
  <c r="F406" i="4" s="1"/>
  <c r="J407" i="4"/>
  <c r="F407" i="4" s="1"/>
  <c r="J408" i="4"/>
  <c r="F408" i="4" s="1"/>
  <c r="J409" i="4"/>
  <c r="F409" i="4" s="1"/>
  <c r="J410" i="4"/>
  <c r="F410" i="4" s="1"/>
  <c r="J411" i="4"/>
  <c r="F411" i="4" s="1"/>
  <c r="J412" i="4"/>
  <c r="F412" i="4" s="1"/>
  <c r="J413" i="4"/>
  <c r="F413" i="4" s="1"/>
  <c r="J414" i="4"/>
  <c r="F414" i="4" s="1"/>
  <c r="J415" i="4"/>
  <c r="F415" i="4" s="1"/>
  <c r="J416" i="4"/>
  <c r="F416" i="4" s="1"/>
  <c r="J417" i="4"/>
  <c r="F417" i="4" s="1"/>
  <c r="J418" i="4"/>
  <c r="F418" i="4" s="1"/>
  <c r="J419" i="4"/>
  <c r="F419" i="4" s="1"/>
  <c r="J420" i="4"/>
  <c r="F420" i="4" s="1"/>
  <c r="J421" i="4"/>
  <c r="F421" i="4" s="1"/>
  <c r="J422" i="4"/>
  <c r="F422" i="4" s="1"/>
  <c r="J423" i="4"/>
  <c r="F423" i="4" s="1"/>
  <c r="J424" i="4"/>
  <c r="F424" i="4" s="1"/>
  <c r="J425" i="4"/>
  <c r="F425" i="4" s="1"/>
  <c r="J426" i="4"/>
  <c r="F426" i="4" s="1"/>
  <c r="J427" i="4"/>
  <c r="F427" i="4" s="1"/>
  <c r="J428" i="4"/>
  <c r="F428" i="4" s="1"/>
  <c r="J429" i="4"/>
  <c r="F429" i="4" s="1"/>
  <c r="J430" i="4"/>
  <c r="F430" i="4" s="1"/>
  <c r="J431" i="4"/>
  <c r="F431" i="4" s="1"/>
  <c r="J432" i="4"/>
  <c r="F432" i="4" s="1"/>
  <c r="J433" i="4"/>
  <c r="F433" i="4" s="1"/>
  <c r="J434" i="4"/>
  <c r="F434" i="4" s="1"/>
  <c r="J435" i="4"/>
  <c r="F435" i="4" s="1"/>
  <c r="J436" i="4"/>
  <c r="F436" i="4" s="1"/>
  <c r="J437" i="4"/>
  <c r="F437" i="4" s="1"/>
  <c r="J438" i="4"/>
  <c r="F438" i="4" s="1"/>
  <c r="J439" i="4"/>
  <c r="F439" i="4" s="1"/>
  <c r="J440" i="4"/>
  <c r="F440" i="4" s="1"/>
  <c r="J441" i="4"/>
  <c r="F441" i="4" s="1"/>
  <c r="J442" i="4"/>
  <c r="F442" i="4" s="1"/>
  <c r="J443" i="4"/>
  <c r="F443" i="4" s="1"/>
  <c r="J444" i="4"/>
  <c r="F444" i="4" s="1"/>
  <c r="J445" i="4"/>
  <c r="F445" i="4" s="1"/>
  <c r="J446" i="4"/>
  <c r="F446" i="4" s="1"/>
  <c r="J447" i="4"/>
  <c r="F447" i="4" s="1"/>
  <c r="J448" i="4"/>
  <c r="F448" i="4" s="1"/>
  <c r="J449" i="4"/>
  <c r="F449" i="4" s="1"/>
  <c r="J450" i="4"/>
  <c r="F450" i="4" s="1"/>
  <c r="J451" i="4"/>
  <c r="F451" i="4" s="1"/>
  <c r="J452" i="4"/>
  <c r="F452" i="4" s="1"/>
  <c r="J453" i="4"/>
  <c r="F453" i="4" s="1"/>
  <c r="J454" i="4"/>
  <c r="F454" i="4" s="1"/>
  <c r="J455" i="4"/>
  <c r="F455" i="4" s="1"/>
  <c r="J456" i="4"/>
  <c r="F456" i="4" s="1"/>
  <c r="J457" i="4"/>
  <c r="F457" i="4" s="1"/>
  <c r="J458" i="4"/>
  <c r="F458" i="4" s="1"/>
  <c r="J459" i="4"/>
  <c r="F459" i="4" s="1"/>
  <c r="J460" i="4"/>
  <c r="F460" i="4" s="1"/>
  <c r="J461" i="4"/>
  <c r="F461" i="4" s="1"/>
  <c r="J462" i="4"/>
  <c r="F462" i="4" s="1"/>
  <c r="J463" i="4"/>
  <c r="F463" i="4" s="1"/>
  <c r="J464" i="4"/>
  <c r="F464" i="4" s="1"/>
  <c r="J465" i="4"/>
  <c r="F465" i="4" s="1"/>
  <c r="J466" i="4"/>
  <c r="F466" i="4" s="1"/>
  <c r="J467" i="4"/>
  <c r="F467" i="4" s="1"/>
  <c r="J468" i="4"/>
  <c r="F468" i="4" s="1"/>
  <c r="J469" i="4"/>
  <c r="F469" i="4" s="1"/>
  <c r="J470" i="4"/>
  <c r="F470" i="4" s="1"/>
  <c r="J471" i="4"/>
  <c r="F471" i="4" s="1"/>
  <c r="J472" i="4"/>
  <c r="F472" i="4" s="1"/>
  <c r="J473" i="4"/>
  <c r="F473" i="4" s="1"/>
  <c r="J474" i="4"/>
  <c r="F474" i="4" s="1"/>
  <c r="J475" i="4"/>
  <c r="F475" i="4" s="1"/>
  <c r="J476" i="4"/>
  <c r="F476" i="4" s="1"/>
  <c r="J477" i="4"/>
  <c r="F477" i="4" s="1"/>
  <c r="J478" i="4"/>
  <c r="F478" i="4" s="1"/>
  <c r="J479" i="4"/>
  <c r="F479" i="4" s="1"/>
  <c r="J480" i="4"/>
  <c r="F480" i="4" s="1"/>
  <c r="J481" i="4"/>
  <c r="F481" i="4" s="1"/>
  <c r="J482" i="4"/>
  <c r="F482" i="4" s="1"/>
  <c r="J483" i="4"/>
  <c r="F483" i="4" s="1"/>
  <c r="J484" i="4"/>
  <c r="F484" i="4" s="1"/>
  <c r="J485" i="4"/>
  <c r="F485" i="4" s="1"/>
  <c r="J486" i="4"/>
  <c r="F486" i="4" s="1"/>
  <c r="J487" i="4"/>
  <c r="F487" i="4" s="1"/>
  <c r="J488" i="4"/>
  <c r="F488" i="4" s="1"/>
  <c r="J489" i="4"/>
  <c r="F489" i="4" s="1"/>
  <c r="J490" i="4"/>
  <c r="F490" i="4" s="1"/>
  <c r="J491" i="4"/>
  <c r="F491" i="4" s="1"/>
  <c r="J492" i="4"/>
  <c r="F492" i="4" s="1"/>
  <c r="J493" i="4"/>
  <c r="F493" i="4" s="1"/>
  <c r="J494" i="4"/>
  <c r="F494" i="4" s="1"/>
  <c r="J495" i="4"/>
  <c r="F495" i="4" s="1"/>
  <c r="J496" i="4"/>
  <c r="F496" i="4" s="1"/>
  <c r="J497" i="4"/>
  <c r="F497" i="4" s="1"/>
  <c r="J498" i="4"/>
  <c r="F498" i="4" s="1"/>
  <c r="J499" i="4"/>
  <c r="F499" i="4" s="1"/>
  <c r="J500" i="4"/>
  <c r="F500" i="4" s="1"/>
  <c r="J501" i="4"/>
  <c r="F501" i="4" s="1"/>
  <c r="J502" i="4"/>
  <c r="F502" i="4" s="1"/>
  <c r="J503" i="4"/>
  <c r="F503" i="4" s="1"/>
  <c r="J504" i="4"/>
  <c r="F504" i="4" s="1"/>
  <c r="J505" i="4"/>
  <c r="F505" i="4" s="1"/>
  <c r="J506" i="4"/>
  <c r="F506" i="4" s="1"/>
  <c r="J507" i="4"/>
  <c r="F507" i="4" s="1"/>
  <c r="J508" i="4"/>
  <c r="F508" i="4" s="1"/>
  <c r="J509" i="4"/>
  <c r="F509" i="4" s="1"/>
  <c r="J510" i="4"/>
  <c r="F510" i="4" s="1"/>
  <c r="J511" i="4"/>
  <c r="F511" i="4" s="1"/>
  <c r="J512" i="4"/>
  <c r="F512" i="4" s="1"/>
  <c r="J513" i="4"/>
  <c r="F513" i="4" s="1"/>
  <c r="J514" i="4"/>
  <c r="F514" i="4" s="1"/>
  <c r="J515" i="4"/>
  <c r="F515" i="4" s="1"/>
  <c r="J516" i="4"/>
  <c r="F516" i="4" s="1"/>
  <c r="J517" i="4"/>
  <c r="F517" i="4" s="1"/>
  <c r="J518" i="4"/>
  <c r="F518" i="4" s="1"/>
  <c r="J519" i="4"/>
  <c r="F519" i="4" s="1"/>
  <c r="J520" i="4"/>
  <c r="F520" i="4" s="1"/>
  <c r="J521" i="4"/>
  <c r="F521" i="4" s="1"/>
  <c r="J522" i="4"/>
  <c r="F522" i="4" s="1"/>
  <c r="J523" i="4"/>
  <c r="F523" i="4" s="1"/>
  <c r="J524" i="4"/>
  <c r="F524" i="4" s="1"/>
  <c r="J525" i="4"/>
  <c r="F525" i="4" s="1"/>
  <c r="J526" i="4"/>
  <c r="F526" i="4" s="1"/>
  <c r="J527" i="4"/>
  <c r="F527" i="4" s="1"/>
  <c r="J528" i="4"/>
  <c r="F528" i="4" s="1"/>
  <c r="J529" i="4"/>
  <c r="F529" i="4" s="1"/>
  <c r="J530" i="4"/>
  <c r="F530" i="4" s="1"/>
  <c r="J531" i="4"/>
  <c r="F531" i="4" s="1"/>
  <c r="J532" i="4"/>
  <c r="F532" i="4" s="1"/>
  <c r="J533" i="4"/>
  <c r="F533" i="4" s="1"/>
  <c r="J534" i="4"/>
  <c r="F534" i="4" s="1"/>
  <c r="J535" i="4"/>
  <c r="F535" i="4" s="1"/>
  <c r="J536" i="4"/>
  <c r="F536" i="4" s="1"/>
  <c r="J537" i="4"/>
  <c r="F537" i="4" s="1"/>
  <c r="J538" i="4"/>
  <c r="F538" i="4" s="1"/>
  <c r="J539" i="4"/>
  <c r="F539" i="4" s="1"/>
  <c r="J540" i="4"/>
  <c r="F540" i="4" s="1"/>
  <c r="J541" i="4"/>
  <c r="F541" i="4" s="1"/>
  <c r="J542" i="4"/>
  <c r="F542" i="4" s="1"/>
  <c r="J543" i="4"/>
  <c r="F543" i="4" s="1"/>
  <c r="J544" i="4"/>
  <c r="F544" i="4" s="1"/>
  <c r="J545" i="4"/>
  <c r="F545" i="4" s="1"/>
  <c r="J546" i="4"/>
  <c r="F546" i="4" s="1"/>
  <c r="J547" i="4"/>
  <c r="F547" i="4" s="1"/>
  <c r="J548" i="4"/>
  <c r="F548" i="4" s="1"/>
  <c r="J549" i="4"/>
  <c r="F549" i="4" s="1"/>
  <c r="J550" i="4"/>
  <c r="F550" i="4" s="1"/>
  <c r="J551" i="4"/>
  <c r="F551" i="4" s="1"/>
  <c r="J552" i="4"/>
  <c r="F552" i="4" s="1"/>
  <c r="J553" i="4"/>
  <c r="F553" i="4" s="1"/>
  <c r="J554" i="4"/>
  <c r="F554" i="4" s="1"/>
  <c r="J555" i="4"/>
  <c r="F555" i="4" s="1"/>
  <c r="J556" i="4"/>
  <c r="F556" i="4" s="1"/>
  <c r="J557" i="4"/>
  <c r="F557" i="4" s="1"/>
  <c r="J558" i="4"/>
  <c r="F558" i="4" s="1"/>
  <c r="J559" i="4"/>
  <c r="F559" i="4" s="1"/>
  <c r="J560" i="4"/>
  <c r="F560" i="4" s="1"/>
  <c r="J561" i="4"/>
  <c r="F561" i="4" s="1"/>
  <c r="J562" i="4"/>
  <c r="F562" i="4" s="1"/>
  <c r="J563" i="4"/>
  <c r="F563" i="4" s="1"/>
  <c r="J564" i="4"/>
  <c r="F564" i="4" s="1"/>
  <c r="J565" i="4"/>
  <c r="F565" i="4" s="1"/>
  <c r="J566" i="4"/>
  <c r="F566" i="4" s="1"/>
  <c r="J567" i="4"/>
  <c r="F567" i="4" s="1"/>
  <c r="J568" i="4"/>
  <c r="F568" i="4" s="1"/>
  <c r="J569" i="4"/>
  <c r="F569" i="4" s="1"/>
  <c r="J570" i="4"/>
  <c r="F570" i="4" s="1"/>
  <c r="J571" i="4"/>
  <c r="F571" i="4" s="1"/>
  <c r="J572" i="4"/>
  <c r="F572" i="4" s="1"/>
  <c r="J573" i="4"/>
  <c r="F573" i="4" s="1"/>
  <c r="J574" i="4"/>
  <c r="F574" i="4" s="1"/>
  <c r="J575" i="4"/>
  <c r="F575" i="4" s="1"/>
  <c r="J576" i="4"/>
  <c r="F576" i="4" s="1"/>
  <c r="J577" i="4"/>
  <c r="F577" i="4" s="1"/>
  <c r="J578" i="4"/>
  <c r="F578" i="4" s="1"/>
  <c r="J579" i="4"/>
  <c r="F579" i="4" s="1"/>
  <c r="J580" i="4"/>
  <c r="F580" i="4" s="1"/>
  <c r="J581" i="4"/>
  <c r="F581" i="4" s="1"/>
  <c r="J582" i="4"/>
  <c r="F582" i="4" s="1"/>
  <c r="J583" i="4"/>
  <c r="F583" i="4" s="1"/>
  <c r="J584" i="4"/>
  <c r="F584" i="4" s="1"/>
  <c r="J585" i="4"/>
  <c r="F585" i="4" s="1"/>
  <c r="J586" i="4"/>
  <c r="F586" i="4" s="1"/>
  <c r="J587" i="4"/>
  <c r="F587" i="4" s="1"/>
  <c r="J588" i="4"/>
  <c r="F588" i="4" s="1"/>
  <c r="J589" i="4"/>
  <c r="F589" i="4" s="1"/>
  <c r="J590" i="4"/>
  <c r="F590" i="4" s="1"/>
  <c r="J591" i="4"/>
  <c r="F591" i="4" s="1"/>
  <c r="J592" i="4"/>
  <c r="F592" i="4" s="1"/>
  <c r="J593" i="4"/>
  <c r="F593" i="4" s="1"/>
  <c r="J594" i="4"/>
  <c r="F594" i="4" s="1"/>
  <c r="J595" i="4"/>
  <c r="F595" i="4" s="1"/>
  <c r="J596" i="4"/>
  <c r="F596" i="4" s="1"/>
  <c r="J597" i="4"/>
  <c r="F597" i="4" s="1"/>
  <c r="J598" i="4"/>
  <c r="F598" i="4" s="1"/>
  <c r="J599" i="4"/>
  <c r="F599" i="4" s="1"/>
  <c r="J600" i="4"/>
  <c r="F600" i="4" s="1"/>
  <c r="J601" i="4"/>
  <c r="F601" i="4" s="1"/>
  <c r="J602" i="4"/>
  <c r="F602" i="4" s="1"/>
  <c r="J603" i="4"/>
  <c r="F603" i="4" s="1"/>
  <c r="J604" i="4"/>
  <c r="F604" i="4" s="1"/>
  <c r="J605" i="4"/>
  <c r="F605" i="4" s="1"/>
  <c r="J606" i="4"/>
  <c r="F606" i="4" s="1"/>
  <c r="J607" i="4"/>
  <c r="F607" i="4" s="1"/>
  <c r="J608" i="4"/>
  <c r="F608" i="4" s="1"/>
  <c r="J609" i="4"/>
  <c r="F609" i="4" s="1"/>
  <c r="J610" i="4"/>
  <c r="F610" i="4" s="1"/>
  <c r="J611" i="4"/>
  <c r="F611" i="4" s="1"/>
  <c r="J612" i="4"/>
  <c r="F612" i="4" s="1"/>
  <c r="J613" i="4"/>
  <c r="F613" i="4" s="1"/>
  <c r="J614" i="4"/>
  <c r="F614" i="4" s="1"/>
  <c r="J615" i="4"/>
  <c r="F615" i="4" s="1"/>
  <c r="J616" i="4"/>
  <c r="F616" i="4" s="1"/>
  <c r="J617" i="4"/>
  <c r="F617" i="4" s="1"/>
  <c r="J618" i="4"/>
  <c r="F618" i="4" s="1"/>
  <c r="J619" i="4"/>
  <c r="F619" i="4" s="1"/>
  <c r="J620" i="4"/>
  <c r="F620" i="4" s="1"/>
  <c r="J621" i="4"/>
  <c r="F621" i="4" s="1"/>
  <c r="J622" i="4"/>
  <c r="F622" i="4" s="1"/>
  <c r="J623" i="4"/>
  <c r="F623" i="4" s="1"/>
  <c r="J624" i="4"/>
  <c r="F624" i="4" s="1"/>
  <c r="J625" i="4"/>
  <c r="F625" i="4" s="1"/>
  <c r="J626" i="4"/>
  <c r="F626" i="4" s="1"/>
  <c r="J627" i="4"/>
  <c r="F627" i="4" s="1"/>
  <c r="J628" i="4"/>
  <c r="F628" i="4" s="1"/>
  <c r="J629" i="4"/>
  <c r="F629" i="4" s="1"/>
  <c r="J630" i="4"/>
  <c r="F630" i="4" s="1"/>
  <c r="J631" i="4"/>
  <c r="F631" i="4" s="1"/>
  <c r="J632" i="4"/>
  <c r="F632" i="4" s="1"/>
  <c r="J633" i="4"/>
  <c r="F633" i="4" s="1"/>
  <c r="J634" i="4"/>
  <c r="F634" i="4" s="1"/>
  <c r="J635" i="4"/>
  <c r="F635" i="4" s="1"/>
  <c r="J636" i="4"/>
  <c r="F636" i="4" s="1"/>
  <c r="J637" i="4"/>
  <c r="F637" i="4" s="1"/>
  <c r="J638" i="4"/>
  <c r="F638" i="4" s="1"/>
  <c r="J639" i="4"/>
  <c r="F639" i="4" s="1"/>
  <c r="J640" i="4"/>
  <c r="F640" i="4" s="1"/>
  <c r="J641" i="4"/>
  <c r="F641" i="4" s="1"/>
  <c r="J642" i="4"/>
  <c r="F642" i="4" s="1"/>
  <c r="J643" i="4"/>
  <c r="F643" i="4" s="1"/>
  <c r="J644" i="4"/>
  <c r="F644" i="4" s="1"/>
  <c r="J645" i="4"/>
  <c r="F645" i="4" s="1"/>
  <c r="J646" i="4"/>
  <c r="F646" i="4" s="1"/>
  <c r="J647" i="4"/>
  <c r="F647" i="4" s="1"/>
  <c r="J648" i="4"/>
  <c r="F648" i="4" s="1"/>
  <c r="J649" i="4"/>
  <c r="F649" i="4" s="1"/>
  <c r="J650" i="4"/>
  <c r="F650" i="4" s="1"/>
  <c r="J651" i="4"/>
  <c r="F651" i="4" s="1"/>
  <c r="J652" i="4"/>
  <c r="F652" i="4" s="1"/>
  <c r="J653" i="4"/>
  <c r="F653" i="4" s="1"/>
  <c r="J654" i="4"/>
  <c r="F654" i="4" s="1"/>
  <c r="J655" i="4"/>
  <c r="F655" i="4" s="1"/>
  <c r="J656" i="4"/>
  <c r="F656" i="4" s="1"/>
  <c r="J657" i="4"/>
  <c r="F657" i="4" s="1"/>
  <c r="J658" i="4"/>
  <c r="F658" i="4" s="1"/>
  <c r="J659" i="4"/>
  <c r="F659" i="4" s="1"/>
  <c r="J660" i="4"/>
  <c r="F660" i="4" s="1"/>
  <c r="J661" i="4"/>
  <c r="F661" i="4" s="1"/>
  <c r="J662" i="4"/>
  <c r="F662" i="4" s="1"/>
  <c r="J663" i="4"/>
  <c r="F663" i="4" s="1"/>
  <c r="J664" i="4"/>
  <c r="F664" i="4" s="1"/>
  <c r="J665" i="4"/>
  <c r="F665" i="4" s="1"/>
  <c r="J666" i="4"/>
  <c r="F666" i="4" s="1"/>
  <c r="J667" i="4"/>
  <c r="F667" i="4" s="1"/>
  <c r="J668" i="4"/>
  <c r="F668" i="4" s="1"/>
  <c r="J669" i="4"/>
  <c r="F669" i="4" s="1"/>
  <c r="J670" i="4"/>
  <c r="F670" i="4" s="1"/>
  <c r="J671" i="4"/>
  <c r="F671" i="4" s="1"/>
  <c r="J672" i="4"/>
  <c r="F672" i="4" s="1"/>
  <c r="J673" i="4"/>
  <c r="F673" i="4" s="1"/>
  <c r="J674" i="4"/>
  <c r="F674" i="4" s="1"/>
  <c r="J675" i="4"/>
  <c r="F675" i="4" s="1"/>
  <c r="J676" i="4"/>
  <c r="F676" i="4" s="1"/>
  <c r="J677" i="4"/>
  <c r="F677" i="4" s="1"/>
  <c r="J678" i="4"/>
  <c r="F678" i="4" s="1"/>
  <c r="J679" i="4"/>
  <c r="F679" i="4" s="1"/>
  <c r="J680" i="4"/>
  <c r="F680" i="4" s="1"/>
  <c r="J681" i="4"/>
  <c r="F681" i="4" s="1"/>
  <c r="J682" i="4"/>
  <c r="F682" i="4" s="1"/>
  <c r="J683" i="4"/>
  <c r="F683" i="4" s="1"/>
  <c r="J684" i="4"/>
  <c r="F684" i="4" s="1"/>
  <c r="J685" i="4"/>
  <c r="F685" i="4" s="1"/>
  <c r="J686" i="4"/>
  <c r="F686" i="4" s="1"/>
  <c r="J687" i="4"/>
  <c r="F687" i="4" s="1"/>
  <c r="J688" i="4"/>
  <c r="F688" i="4" s="1"/>
  <c r="J689" i="4"/>
  <c r="F689" i="4" s="1"/>
  <c r="J690" i="4"/>
  <c r="F690" i="4" s="1"/>
  <c r="J691" i="4"/>
  <c r="F691" i="4" s="1"/>
  <c r="J692" i="4"/>
  <c r="F692" i="4" s="1"/>
  <c r="J693" i="4"/>
  <c r="F693" i="4" s="1"/>
  <c r="J694" i="4"/>
  <c r="F694" i="4" s="1"/>
  <c r="J695" i="4"/>
  <c r="F695" i="4" s="1"/>
  <c r="J696" i="4"/>
  <c r="F696" i="4" s="1"/>
  <c r="J697" i="4"/>
  <c r="F697" i="4" s="1"/>
  <c r="J698" i="4"/>
  <c r="F698" i="4" s="1"/>
  <c r="J699" i="4"/>
  <c r="F699" i="4" s="1"/>
  <c r="J700" i="4"/>
  <c r="F700" i="4" s="1"/>
  <c r="J701" i="4"/>
  <c r="F701" i="4" s="1"/>
  <c r="J702" i="4"/>
  <c r="F702" i="4" s="1"/>
  <c r="J703" i="4"/>
  <c r="F703" i="4" s="1"/>
  <c r="J704" i="4"/>
  <c r="F704" i="4" s="1"/>
  <c r="J705" i="4"/>
  <c r="F705" i="4" s="1"/>
  <c r="J706" i="4"/>
  <c r="F706" i="4" s="1"/>
  <c r="J707" i="4"/>
  <c r="F707" i="4" s="1"/>
  <c r="J708" i="4"/>
  <c r="F708" i="4" s="1"/>
  <c r="J709" i="4"/>
  <c r="F709" i="4" s="1"/>
  <c r="J710" i="4"/>
  <c r="F710" i="4" s="1"/>
  <c r="J711" i="4"/>
  <c r="F711" i="4" s="1"/>
  <c r="J712" i="4"/>
  <c r="F712" i="4" s="1"/>
  <c r="J713" i="4"/>
  <c r="F713" i="4" s="1"/>
  <c r="J714" i="4"/>
  <c r="F714" i="4" s="1"/>
  <c r="J715" i="4"/>
  <c r="F715" i="4" s="1"/>
  <c r="J716" i="4"/>
  <c r="F716" i="4" s="1"/>
  <c r="J717" i="4"/>
  <c r="F717" i="4" s="1"/>
  <c r="J718" i="4"/>
  <c r="F718" i="4" s="1"/>
  <c r="J719" i="4"/>
  <c r="F719" i="4" s="1"/>
  <c r="J720" i="4"/>
  <c r="F720" i="4" s="1"/>
  <c r="J721" i="4"/>
  <c r="F721" i="4" s="1"/>
  <c r="J722" i="4"/>
  <c r="F722" i="4" s="1"/>
  <c r="J723" i="4"/>
  <c r="F723" i="4" s="1"/>
  <c r="J724" i="4"/>
  <c r="F724" i="4" s="1"/>
  <c r="J725" i="4"/>
  <c r="F725" i="4" s="1"/>
  <c r="J726" i="4"/>
  <c r="F726" i="4" s="1"/>
  <c r="J727" i="4"/>
  <c r="F727" i="4" s="1"/>
  <c r="J728" i="4"/>
  <c r="F728" i="4" s="1"/>
  <c r="J729" i="4"/>
  <c r="F729" i="4" s="1"/>
  <c r="J730" i="4"/>
  <c r="F730" i="4" s="1"/>
  <c r="J731" i="4"/>
  <c r="F731" i="4" s="1"/>
  <c r="J732" i="4"/>
  <c r="F732" i="4" s="1"/>
  <c r="J733" i="4"/>
  <c r="F733" i="4" s="1"/>
  <c r="J734" i="4"/>
  <c r="F734" i="4" s="1"/>
  <c r="J735" i="4"/>
  <c r="F735" i="4" s="1"/>
  <c r="J736" i="4"/>
  <c r="F736" i="4" s="1"/>
  <c r="J737" i="4"/>
  <c r="F737" i="4" s="1"/>
  <c r="J738" i="4"/>
  <c r="F738" i="4" s="1"/>
  <c r="J739" i="4"/>
  <c r="F739" i="4" s="1"/>
  <c r="J740" i="4"/>
  <c r="F740" i="4" s="1"/>
  <c r="J741" i="4"/>
  <c r="F741" i="4" s="1"/>
  <c r="J742" i="4"/>
  <c r="F742" i="4" s="1"/>
  <c r="J743" i="4"/>
  <c r="F743" i="4" s="1"/>
  <c r="J744" i="4"/>
  <c r="F744" i="4" s="1"/>
  <c r="J745" i="4"/>
  <c r="F745" i="4" s="1"/>
  <c r="J746" i="4"/>
  <c r="F746" i="4" s="1"/>
  <c r="J747" i="4"/>
  <c r="F747" i="4" s="1"/>
  <c r="J748" i="4"/>
  <c r="F748" i="4" s="1"/>
  <c r="J749" i="4"/>
  <c r="F749" i="4" s="1"/>
  <c r="J750" i="4"/>
  <c r="F750" i="4" s="1"/>
  <c r="J751" i="4"/>
  <c r="F751" i="4" s="1"/>
  <c r="J752" i="4"/>
  <c r="F752" i="4" s="1"/>
  <c r="J753" i="4"/>
  <c r="F753" i="4" s="1"/>
  <c r="J754" i="4"/>
  <c r="F754" i="4" s="1"/>
  <c r="J755" i="4"/>
  <c r="F755" i="4" s="1"/>
  <c r="J756" i="4"/>
  <c r="F756" i="4" s="1"/>
  <c r="J757" i="4"/>
  <c r="F757" i="4" s="1"/>
  <c r="J758" i="4"/>
  <c r="F758" i="4" s="1"/>
  <c r="J759" i="4"/>
  <c r="F759" i="4" s="1"/>
  <c r="J760" i="4"/>
  <c r="F760" i="4" s="1"/>
  <c r="J761" i="4"/>
  <c r="F761" i="4" s="1"/>
  <c r="J762" i="4"/>
  <c r="F762" i="4" s="1"/>
  <c r="J763" i="4"/>
  <c r="F763" i="4" s="1"/>
  <c r="J764" i="4"/>
  <c r="F764" i="4" s="1"/>
  <c r="J765" i="4"/>
  <c r="F765" i="4" s="1"/>
  <c r="J766" i="4"/>
  <c r="F766" i="4" s="1"/>
  <c r="J767" i="4"/>
  <c r="F767" i="4" s="1"/>
  <c r="J768" i="4"/>
  <c r="F768" i="4" s="1"/>
  <c r="J769" i="4"/>
  <c r="F769" i="4" s="1"/>
  <c r="J770" i="4"/>
  <c r="F770" i="4" s="1"/>
  <c r="J771" i="4"/>
  <c r="F771" i="4" s="1"/>
  <c r="J772" i="4"/>
  <c r="F772" i="4" s="1"/>
  <c r="J773" i="4"/>
  <c r="F773" i="4" s="1"/>
  <c r="J774" i="4"/>
  <c r="F774" i="4" s="1"/>
  <c r="J775" i="4"/>
  <c r="F775" i="4" s="1"/>
  <c r="J776" i="4"/>
  <c r="F776" i="4" s="1"/>
  <c r="J777" i="4"/>
  <c r="F777" i="4" s="1"/>
  <c r="J778" i="4"/>
  <c r="F778" i="4" s="1"/>
  <c r="J779" i="4"/>
  <c r="F779" i="4" s="1"/>
  <c r="J780" i="4"/>
  <c r="F780" i="4" s="1"/>
  <c r="J781" i="4"/>
  <c r="F781" i="4" s="1"/>
  <c r="J782" i="4"/>
  <c r="F782" i="4" s="1"/>
  <c r="J783" i="4"/>
  <c r="F783" i="4" s="1"/>
  <c r="J784" i="4"/>
  <c r="F784" i="4" s="1"/>
  <c r="J785" i="4"/>
  <c r="F785" i="4" s="1"/>
  <c r="J786" i="4"/>
  <c r="F786" i="4" s="1"/>
  <c r="J787" i="4"/>
  <c r="F787" i="4" s="1"/>
  <c r="J788" i="4"/>
  <c r="F788" i="4" s="1"/>
  <c r="J789" i="4"/>
  <c r="F789" i="4" s="1"/>
  <c r="J790" i="4"/>
  <c r="F790" i="4" s="1"/>
  <c r="J791" i="4"/>
  <c r="F791" i="4" s="1"/>
  <c r="J792" i="4"/>
  <c r="F792" i="4" s="1"/>
  <c r="J793" i="4"/>
  <c r="F793" i="4" s="1"/>
  <c r="J794" i="4"/>
  <c r="F794" i="4" s="1"/>
  <c r="J795" i="4"/>
  <c r="F795" i="4" s="1"/>
  <c r="J796" i="4"/>
  <c r="F796" i="4" s="1"/>
  <c r="J797" i="4"/>
  <c r="F797" i="4" s="1"/>
  <c r="J798" i="4"/>
  <c r="F798" i="4" s="1"/>
  <c r="J799" i="4"/>
  <c r="F799" i="4" s="1"/>
  <c r="J800" i="4"/>
  <c r="F800" i="4" s="1"/>
  <c r="J801" i="4"/>
  <c r="F801" i="4" s="1"/>
  <c r="J802" i="4"/>
  <c r="F802" i="4" s="1"/>
  <c r="J803" i="4"/>
  <c r="F803" i="4" s="1"/>
  <c r="J804" i="4"/>
  <c r="F804" i="4" s="1"/>
  <c r="J805" i="4"/>
  <c r="F805" i="4" s="1"/>
  <c r="J806" i="4"/>
  <c r="F806" i="4" s="1"/>
  <c r="J807" i="4"/>
  <c r="F807" i="4" s="1"/>
  <c r="J808" i="4"/>
  <c r="F808" i="4" s="1"/>
  <c r="J809" i="4"/>
  <c r="F809" i="4" s="1"/>
  <c r="J810" i="4"/>
  <c r="F810" i="4" s="1"/>
  <c r="J811" i="4"/>
  <c r="F811" i="4" s="1"/>
  <c r="J812" i="4"/>
  <c r="F812" i="4" s="1"/>
  <c r="J813" i="4"/>
  <c r="F813" i="4" s="1"/>
  <c r="J814" i="4"/>
  <c r="F814" i="4" s="1"/>
  <c r="J815" i="4"/>
  <c r="F815" i="4" s="1"/>
  <c r="J816" i="4"/>
  <c r="F816" i="4" s="1"/>
  <c r="J817" i="4"/>
  <c r="F817" i="4" s="1"/>
  <c r="J818" i="4"/>
  <c r="F818" i="4" s="1"/>
  <c r="J819" i="4"/>
  <c r="F819" i="4" s="1"/>
  <c r="J820" i="4"/>
  <c r="F820" i="4" s="1"/>
  <c r="J821" i="4"/>
  <c r="F821" i="4" s="1"/>
  <c r="J822" i="4"/>
  <c r="F822" i="4" s="1"/>
  <c r="J823" i="4"/>
  <c r="F823" i="4" s="1"/>
  <c r="J824" i="4"/>
  <c r="F824" i="4" s="1"/>
  <c r="J825" i="4"/>
  <c r="F825" i="4" s="1"/>
  <c r="J826" i="4"/>
  <c r="F826" i="4" s="1"/>
  <c r="J827" i="4"/>
  <c r="F827" i="4" s="1"/>
  <c r="J828" i="4"/>
  <c r="F828" i="4" s="1"/>
  <c r="J829" i="4"/>
  <c r="F829" i="4" s="1"/>
  <c r="J830" i="4"/>
  <c r="F830" i="4" s="1"/>
  <c r="J831" i="4"/>
  <c r="F831" i="4" s="1"/>
  <c r="J832" i="4"/>
  <c r="F832" i="4" s="1"/>
  <c r="J833" i="4"/>
  <c r="F833" i="4" s="1"/>
  <c r="J834" i="4"/>
  <c r="F834" i="4" s="1"/>
  <c r="J835" i="4"/>
  <c r="F835" i="4" s="1"/>
  <c r="J836" i="4"/>
  <c r="F836" i="4" s="1"/>
  <c r="J837" i="4"/>
  <c r="F837" i="4" s="1"/>
  <c r="J838" i="4"/>
  <c r="F838" i="4" s="1"/>
  <c r="J839" i="4"/>
  <c r="F839" i="4" s="1"/>
  <c r="J840" i="4"/>
  <c r="F840" i="4" s="1"/>
  <c r="J841" i="4"/>
  <c r="F841" i="4" s="1"/>
  <c r="J842" i="4"/>
  <c r="F842" i="4" s="1"/>
  <c r="J843" i="4"/>
  <c r="F843" i="4" s="1"/>
  <c r="J844" i="4"/>
  <c r="F844" i="4" s="1"/>
  <c r="J845" i="4"/>
  <c r="F845" i="4" s="1"/>
  <c r="J846" i="4"/>
  <c r="F846" i="4" s="1"/>
  <c r="J847" i="4"/>
  <c r="F847" i="4" s="1"/>
  <c r="J848" i="4"/>
  <c r="F848" i="4" s="1"/>
  <c r="J849" i="4"/>
  <c r="F849" i="4" s="1"/>
  <c r="J850" i="4"/>
  <c r="F850" i="4" s="1"/>
  <c r="J851" i="4"/>
  <c r="F851" i="4" s="1"/>
  <c r="J852" i="4"/>
  <c r="F852" i="4" s="1"/>
  <c r="J853" i="4"/>
  <c r="F853" i="4" s="1"/>
  <c r="J854" i="4"/>
  <c r="F854" i="4" s="1"/>
  <c r="J855" i="4"/>
  <c r="F855" i="4" s="1"/>
  <c r="J856" i="4"/>
  <c r="F856" i="4" s="1"/>
  <c r="J857" i="4"/>
  <c r="F857" i="4" s="1"/>
  <c r="J858" i="4"/>
  <c r="F858" i="4" s="1"/>
  <c r="J859" i="4"/>
  <c r="F859" i="4" s="1"/>
  <c r="J860" i="4"/>
  <c r="F860" i="4" s="1"/>
  <c r="J861" i="4"/>
  <c r="F861" i="4" s="1"/>
  <c r="J862" i="4"/>
  <c r="F862" i="4" s="1"/>
  <c r="J863" i="4"/>
  <c r="F863" i="4" s="1"/>
  <c r="J864" i="4"/>
  <c r="F864" i="4" s="1"/>
  <c r="J865" i="4"/>
  <c r="F865" i="4" s="1"/>
  <c r="J866" i="4"/>
  <c r="F866" i="4" s="1"/>
  <c r="J867" i="4"/>
  <c r="F867" i="4" s="1"/>
  <c r="J868" i="4"/>
  <c r="F868" i="4" s="1"/>
  <c r="J869" i="4"/>
  <c r="F869" i="4" s="1"/>
  <c r="J870" i="4"/>
  <c r="F870" i="4" s="1"/>
  <c r="J871" i="4"/>
  <c r="F871" i="4" s="1"/>
  <c r="J872" i="4"/>
  <c r="F872" i="4" s="1"/>
  <c r="J873" i="4"/>
  <c r="F873" i="4" s="1"/>
  <c r="J874" i="4"/>
  <c r="F874" i="4" s="1"/>
  <c r="J875" i="4"/>
  <c r="F875" i="4" s="1"/>
  <c r="J876" i="4"/>
  <c r="F876" i="4" s="1"/>
  <c r="J877" i="4"/>
  <c r="F877" i="4" s="1"/>
  <c r="J878" i="4"/>
  <c r="F878" i="4" s="1"/>
  <c r="J879" i="4"/>
  <c r="F879" i="4" s="1"/>
  <c r="J880" i="4"/>
  <c r="F880" i="4" s="1"/>
  <c r="J881" i="4"/>
  <c r="F881" i="4" s="1"/>
  <c r="J882" i="4"/>
  <c r="F882" i="4" s="1"/>
  <c r="J883" i="4"/>
  <c r="F883" i="4" s="1"/>
  <c r="J884" i="4"/>
  <c r="F884" i="4" s="1"/>
  <c r="J885" i="4"/>
  <c r="F885" i="4" s="1"/>
  <c r="J886" i="4"/>
  <c r="F886" i="4" s="1"/>
  <c r="J887" i="4"/>
  <c r="F887" i="4" s="1"/>
  <c r="J888" i="4"/>
  <c r="F888" i="4" s="1"/>
  <c r="J889" i="4"/>
  <c r="F889" i="4" s="1"/>
  <c r="J890" i="4"/>
  <c r="F890" i="4" s="1"/>
  <c r="J891" i="4"/>
  <c r="F891" i="4" s="1"/>
  <c r="J892" i="4"/>
  <c r="F892" i="4" s="1"/>
  <c r="J893" i="4"/>
  <c r="F893" i="4" s="1"/>
  <c r="J894" i="4"/>
  <c r="F894" i="4" s="1"/>
  <c r="J895" i="4"/>
  <c r="F895" i="4" s="1"/>
  <c r="J896" i="4"/>
  <c r="F896" i="4" s="1"/>
  <c r="J897" i="4"/>
  <c r="F897" i="4" s="1"/>
  <c r="J898" i="4"/>
  <c r="F898" i="4" s="1"/>
  <c r="J899" i="4"/>
  <c r="F899" i="4" s="1"/>
  <c r="J900" i="4"/>
  <c r="F900" i="4" s="1"/>
  <c r="J901" i="4"/>
  <c r="F901" i="4" s="1"/>
  <c r="J902" i="4"/>
  <c r="F902" i="4" s="1"/>
  <c r="J903" i="4"/>
  <c r="F903" i="4" s="1"/>
  <c r="J904" i="4"/>
  <c r="F904" i="4" s="1"/>
  <c r="J905" i="4"/>
  <c r="F905" i="4" s="1"/>
  <c r="J906" i="4"/>
  <c r="F906" i="4" s="1"/>
  <c r="J907" i="4"/>
  <c r="F907" i="4" s="1"/>
  <c r="J908" i="4"/>
  <c r="F908" i="4" s="1"/>
  <c r="J909" i="4"/>
  <c r="F909" i="4" s="1"/>
  <c r="J910" i="4"/>
  <c r="F910" i="4" s="1"/>
  <c r="J911" i="4"/>
  <c r="F911" i="4" s="1"/>
  <c r="J912" i="4"/>
  <c r="F912" i="4" s="1"/>
  <c r="J913" i="4"/>
  <c r="F913" i="4" s="1"/>
  <c r="J914" i="4"/>
  <c r="F914" i="4" s="1"/>
  <c r="J915" i="4"/>
  <c r="F915" i="4" s="1"/>
  <c r="J916" i="4"/>
  <c r="F916" i="4" s="1"/>
  <c r="J917" i="4"/>
  <c r="F917" i="4" s="1"/>
  <c r="J918" i="4"/>
  <c r="F918" i="4" s="1"/>
  <c r="J919" i="4"/>
  <c r="F919" i="4" s="1"/>
  <c r="J920" i="4"/>
  <c r="F920" i="4" s="1"/>
  <c r="J921" i="4"/>
  <c r="F921" i="4" s="1"/>
  <c r="J922" i="4"/>
  <c r="F922" i="4" s="1"/>
  <c r="J923" i="4"/>
  <c r="F923" i="4" s="1"/>
  <c r="J924" i="4"/>
  <c r="F924" i="4" s="1"/>
  <c r="J925" i="4"/>
  <c r="F925" i="4" s="1"/>
  <c r="J926" i="4"/>
  <c r="F926" i="4" s="1"/>
  <c r="J927" i="4"/>
  <c r="F927" i="4" s="1"/>
  <c r="J928" i="4"/>
  <c r="F928" i="4" s="1"/>
  <c r="J929" i="4"/>
  <c r="F929" i="4" s="1"/>
  <c r="J930" i="4"/>
  <c r="F930" i="4" s="1"/>
  <c r="J931" i="4"/>
  <c r="F931" i="4" s="1"/>
  <c r="J932" i="4"/>
  <c r="F932" i="4" s="1"/>
  <c r="J933" i="4"/>
  <c r="F933" i="4" s="1"/>
  <c r="J934" i="4"/>
  <c r="F934" i="4" s="1"/>
  <c r="J935" i="4"/>
  <c r="F935" i="4" s="1"/>
  <c r="J936" i="4"/>
  <c r="F936" i="4" s="1"/>
  <c r="J937" i="4"/>
  <c r="F937" i="4" s="1"/>
  <c r="J938" i="4"/>
  <c r="F938" i="4" s="1"/>
  <c r="J939" i="4"/>
  <c r="F939" i="4" s="1"/>
  <c r="J940" i="4"/>
  <c r="F940" i="4" s="1"/>
  <c r="J941" i="4"/>
  <c r="F941" i="4" s="1"/>
  <c r="J942" i="4"/>
  <c r="F942" i="4" s="1"/>
  <c r="J943" i="4"/>
  <c r="F943" i="4" s="1"/>
  <c r="J944" i="4"/>
  <c r="F944" i="4" s="1"/>
  <c r="J945" i="4"/>
  <c r="F945" i="4" s="1"/>
  <c r="J946" i="4"/>
  <c r="F946" i="4" s="1"/>
  <c r="J947" i="4"/>
  <c r="F947" i="4" s="1"/>
  <c r="J948" i="4"/>
  <c r="F948" i="4" s="1"/>
  <c r="J949" i="4"/>
  <c r="F949" i="4" s="1"/>
  <c r="J950" i="4"/>
  <c r="F950" i="4" s="1"/>
  <c r="J951" i="4"/>
  <c r="F951" i="4" s="1"/>
  <c r="J952" i="4"/>
  <c r="F952" i="4" s="1"/>
  <c r="J953" i="4"/>
  <c r="F953" i="4" s="1"/>
  <c r="J954" i="4"/>
  <c r="F954" i="4" s="1"/>
  <c r="J955" i="4"/>
  <c r="F955" i="4" s="1"/>
  <c r="J956" i="4"/>
  <c r="F956" i="4" s="1"/>
  <c r="J957" i="4"/>
  <c r="F957" i="4" s="1"/>
  <c r="J958" i="4"/>
  <c r="F958" i="4" s="1"/>
  <c r="J959" i="4"/>
  <c r="F959" i="4" s="1"/>
  <c r="J960" i="4"/>
  <c r="F960" i="4" s="1"/>
  <c r="J961" i="4"/>
  <c r="F961" i="4" s="1"/>
  <c r="J962" i="4"/>
  <c r="F962" i="4" s="1"/>
  <c r="J963" i="4"/>
  <c r="F963" i="4" s="1"/>
  <c r="J964" i="4"/>
  <c r="F964" i="4" s="1"/>
  <c r="J965" i="4"/>
  <c r="F965" i="4" s="1"/>
  <c r="J966" i="4"/>
  <c r="F966" i="4" s="1"/>
  <c r="J967" i="4"/>
  <c r="F967" i="4" s="1"/>
  <c r="J968" i="4"/>
  <c r="F968" i="4" s="1"/>
  <c r="J969" i="4"/>
  <c r="F969" i="4" s="1"/>
  <c r="J970" i="4"/>
  <c r="F970" i="4" s="1"/>
  <c r="J971" i="4"/>
  <c r="F971" i="4" s="1"/>
  <c r="J972" i="4"/>
  <c r="F972" i="4" s="1"/>
  <c r="J973" i="4"/>
  <c r="F973" i="4" s="1"/>
  <c r="J974" i="4"/>
  <c r="F974" i="4" s="1"/>
  <c r="J975" i="4"/>
  <c r="F975" i="4" s="1"/>
  <c r="J976" i="4"/>
  <c r="F976" i="4" s="1"/>
  <c r="J977" i="4"/>
  <c r="F977" i="4" s="1"/>
  <c r="J978" i="4"/>
  <c r="F978" i="4" s="1"/>
  <c r="J979" i="4"/>
  <c r="F979" i="4" s="1"/>
  <c r="J980" i="4"/>
  <c r="F980" i="4" s="1"/>
  <c r="J981" i="4"/>
  <c r="F981" i="4" s="1"/>
  <c r="J982" i="4"/>
  <c r="F982" i="4" s="1"/>
  <c r="J983" i="4"/>
  <c r="F983" i="4" s="1"/>
  <c r="J984" i="4"/>
  <c r="F984" i="4" s="1"/>
  <c r="J985" i="4"/>
  <c r="F985" i="4" s="1"/>
  <c r="J986" i="4"/>
  <c r="F986" i="4" s="1"/>
  <c r="J987" i="4"/>
  <c r="F987" i="4" s="1"/>
  <c r="J988" i="4"/>
  <c r="F988" i="4" s="1"/>
  <c r="J989" i="4"/>
  <c r="F989" i="4" s="1"/>
  <c r="J990" i="4"/>
  <c r="F990" i="4" s="1"/>
  <c r="J991" i="4"/>
  <c r="F991" i="4" s="1"/>
  <c r="J992" i="4"/>
  <c r="F992" i="4" s="1"/>
  <c r="J993" i="4"/>
  <c r="F993" i="4" s="1"/>
  <c r="J994" i="4"/>
  <c r="F994" i="4" s="1"/>
  <c r="J995" i="4"/>
  <c r="F995" i="4" s="1"/>
  <c r="J996" i="4"/>
  <c r="F996" i="4" s="1"/>
  <c r="J997" i="4"/>
  <c r="F997" i="4" s="1"/>
  <c r="J998" i="4"/>
  <c r="F998" i="4" s="1"/>
  <c r="J999" i="4"/>
  <c r="F999" i="4" s="1"/>
  <c r="J1000" i="4"/>
  <c r="F1000" i="4" s="1"/>
  <c r="J1001" i="4"/>
  <c r="F1001" i="4" s="1"/>
  <c r="J1002" i="4"/>
  <c r="F1002" i="4" s="1"/>
  <c r="J1003" i="4"/>
  <c r="F1003" i="4" s="1"/>
  <c r="J1004" i="4"/>
  <c r="F1004" i="4" s="1"/>
  <c r="J1005" i="4"/>
  <c r="F1005" i="4" s="1"/>
  <c r="J1006" i="4"/>
  <c r="F1006" i="4" s="1"/>
  <c r="J1007" i="4"/>
  <c r="F1007" i="4" s="1"/>
  <c r="J1008" i="4"/>
  <c r="F1008" i="4" s="1"/>
  <c r="J1009" i="4"/>
  <c r="F1009" i="4" s="1"/>
  <c r="J1010" i="4"/>
  <c r="F1010" i="4" s="1"/>
  <c r="J1011" i="4"/>
  <c r="F1011" i="4" s="1"/>
  <c r="J1012" i="4"/>
  <c r="F1012" i="4" s="1"/>
  <c r="J1013" i="4"/>
  <c r="F1013" i="4" s="1"/>
  <c r="J1014" i="4"/>
  <c r="F1014" i="4" s="1"/>
  <c r="J1015" i="4"/>
  <c r="F1015" i="4" s="1"/>
  <c r="J1016" i="4"/>
  <c r="F1016" i="4" s="1"/>
  <c r="J1017" i="4"/>
  <c r="F1017" i="4" s="1"/>
  <c r="J1018" i="4"/>
  <c r="F1018" i="4" s="1"/>
  <c r="J1019" i="4"/>
  <c r="F1019" i="4" s="1"/>
  <c r="J1020" i="4"/>
  <c r="F1020" i="4" s="1"/>
  <c r="J1021" i="4"/>
  <c r="F1021" i="4" s="1"/>
  <c r="J1022" i="4"/>
  <c r="F1022" i="4" s="1"/>
  <c r="J1023" i="4"/>
  <c r="F1023" i="4" s="1"/>
  <c r="J1024" i="4"/>
  <c r="F1024" i="4" s="1"/>
  <c r="J1025" i="4"/>
  <c r="F1025" i="4" s="1"/>
  <c r="J1026" i="4"/>
  <c r="F1026" i="4" s="1"/>
  <c r="J1027" i="4"/>
  <c r="F1027" i="4" s="1"/>
  <c r="J1028" i="4"/>
  <c r="F1028" i="4" s="1"/>
  <c r="J1029" i="4"/>
  <c r="F1029" i="4" s="1"/>
  <c r="J1030" i="4"/>
  <c r="F1030" i="4" s="1"/>
  <c r="J1031" i="4"/>
  <c r="F1031" i="4" s="1"/>
  <c r="J1032" i="4"/>
  <c r="F1032" i="4" s="1"/>
  <c r="J1033" i="4"/>
  <c r="F1033" i="4" s="1"/>
  <c r="J1034" i="4"/>
  <c r="F1034" i="4" s="1"/>
  <c r="J1035" i="4"/>
  <c r="F1035" i="4" s="1"/>
  <c r="J1036" i="4"/>
  <c r="F1036" i="4" s="1"/>
  <c r="J1037" i="4"/>
  <c r="F1037" i="4" s="1"/>
  <c r="J1038" i="4"/>
  <c r="F1038" i="4" s="1"/>
  <c r="J1039" i="4"/>
  <c r="F1039" i="4" s="1"/>
  <c r="J1040" i="4"/>
  <c r="F1040" i="4" s="1"/>
  <c r="J1041" i="4"/>
  <c r="F1041" i="4" s="1"/>
  <c r="J1042" i="4"/>
  <c r="F1042" i="4" s="1"/>
  <c r="J1043" i="4"/>
  <c r="F1043" i="4" s="1"/>
  <c r="J1044" i="4"/>
  <c r="F1044" i="4" s="1"/>
  <c r="J1045" i="4"/>
  <c r="F1045" i="4" s="1"/>
  <c r="J1046" i="4"/>
  <c r="F1046" i="4" s="1"/>
  <c r="J1047" i="4"/>
  <c r="F1047" i="4" s="1"/>
  <c r="J1048" i="4"/>
  <c r="F1048" i="4" s="1"/>
  <c r="J1049" i="4"/>
  <c r="F1049" i="4" s="1"/>
  <c r="J1050" i="4"/>
  <c r="F1050" i="4" s="1"/>
  <c r="J1051" i="4"/>
  <c r="F1051" i="4" s="1"/>
  <c r="J1052" i="4"/>
  <c r="F1052" i="4" s="1"/>
  <c r="J1053" i="4"/>
  <c r="F1053" i="4" s="1"/>
  <c r="J1054" i="4"/>
  <c r="F1054" i="4" s="1"/>
  <c r="J1055" i="4"/>
  <c r="F1055" i="4" s="1"/>
  <c r="J1056" i="4"/>
  <c r="F1056" i="4" s="1"/>
  <c r="J1057" i="4"/>
  <c r="F1057" i="4" s="1"/>
  <c r="J1058" i="4"/>
  <c r="F1058" i="4" s="1"/>
  <c r="J1059" i="4"/>
  <c r="F1059" i="4" s="1"/>
  <c r="J1060" i="4"/>
  <c r="F1060" i="4" s="1"/>
  <c r="J1061" i="4"/>
  <c r="F1061" i="4" s="1"/>
  <c r="J1062" i="4"/>
  <c r="F1062" i="4" s="1"/>
  <c r="J1063" i="4"/>
  <c r="F1063" i="4" s="1"/>
  <c r="J1064" i="4"/>
  <c r="F1064" i="4" s="1"/>
  <c r="J1065" i="4"/>
  <c r="F1065" i="4" s="1"/>
  <c r="J1066" i="4"/>
  <c r="F1066" i="4" s="1"/>
  <c r="J1067" i="4"/>
  <c r="F1067" i="4" s="1"/>
  <c r="J1068" i="4"/>
  <c r="F1068" i="4" s="1"/>
  <c r="J1069" i="4"/>
  <c r="F1069" i="4" s="1"/>
  <c r="J1070" i="4"/>
  <c r="F1070" i="4" s="1"/>
  <c r="J1071" i="4"/>
  <c r="F1071" i="4" s="1"/>
  <c r="J1072" i="4"/>
  <c r="F1072" i="4" s="1"/>
  <c r="J1073" i="4"/>
  <c r="F1073" i="4" s="1"/>
  <c r="J1074" i="4"/>
  <c r="F1074" i="4" s="1"/>
  <c r="J1075" i="4"/>
  <c r="F1075" i="4" s="1"/>
  <c r="J1076" i="4"/>
  <c r="F1076" i="4" s="1"/>
  <c r="J1077" i="4"/>
  <c r="F1077" i="4" s="1"/>
  <c r="J1078" i="4"/>
  <c r="F1078" i="4" s="1"/>
  <c r="J1079" i="4"/>
  <c r="F1079" i="4" s="1"/>
  <c r="J1080" i="4"/>
  <c r="F1080" i="4" s="1"/>
  <c r="J1081" i="4"/>
  <c r="F1081" i="4" s="1"/>
  <c r="J1082" i="4"/>
  <c r="F1082" i="4" s="1"/>
  <c r="J1083" i="4"/>
  <c r="F1083" i="4" s="1"/>
  <c r="J1084" i="4"/>
  <c r="F1084" i="4" s="1"/>
  <c r="J1085" i="4"/>
  <c r="F1085" i="4" s="1"/>
  <c r="J1086" i="4"/>
  <c r="F1086" i="4" s="1"/>
  <c r="J1087" i="4"/>
  <c r="F1087" i="4" s="1"/>
  <c r="J1088" i="4"/>
  <c r="F1088" i="4" s="1"/>
  <c r="J1089" i="4"/>
  <c r="F1089" i="4" s="1"/>
  <c r="J1090" i="4"/>
  <c r="F1090" i="4" s="1"/>
  <c r="J1091" i="4"/>
  <c r="F1091" i="4" s="1"/>
  <c r="J1092" i="4"/>
  <c r="F1092" i="4" s="1"/>
  <c r="J1093" i="4"/>
  <c r="F1093" i="4" s="1"/>
  <c r="J1094" i="4"/>
  <c r="F1094" i="4" s="1"/>
  <c r="J1095" i="4"/>
  <c r="F1095" i="4" s="1"/>
  <c r="J1096" i="4"/>
  <c r="F1096" i="4" s="1"/>
  <c r="J1097" i="4"/>
  <c r="F1097" i="4" s="1"/>
  <c r="J1098" i="4"/>
  <c r="F1098" i="4" s="1"/>
  <c r="J1099" i="4"/>
  <c r="F1099" i="4" s="1"/>
  <c r="J1100" i="4"/>
  <c r="F1100" i="4" s="1"/>
  <c r="J1101" i="4"/>
  <c r="F1101" i="4" s="1"/>
  <c r="J1102" i="4"/>
  <c r="F1102" i="4" s="1"/>
  <c r="J1103" i="4"/>
  <c r="F1103" i="4" s="1"/>
  <c r="J1104" i="4"/>
  <c r="F1104" i="4" s="1"/>
  <c r="J1105" i="4"/>
  <c r="F1105" i="4" s="1"/>
  <c r="J1106" i="4"/>
  <c r="F1106" i="4" s="1"/>
  <c r="J1107" i="4"/>
  <c r="F1107" i="4" s="1"/>
  <c r="J1108" i="4"/>
  <c r="F1108" i="4" s="1"/>
  <c r="J1109" i="4"/>
  <c r="F1109" i="4" s="1"/>
  <c r="J1110" i="4"/>
  <c r="F1110" i="4" s="1"/>
  <c r="J1111" i="4"/>
  <c r="F1111" i="4" s="1"/>
  <c r="J1112" i="4"/>
  <c r="F1112" i="4" s="1"/>
  <c r="J1113" i="4"/>
  <c r="F1113" i="4" s="1"/>
  <c r="J1114" i="4"/>
  <c r="F1114" i="4" s="1"/>
  <c r="J1115" i="4"/>
  <c r="F1115" i="4" s="1"/>
  <c r="J1116" i="4"/>
  <c r="F1116" i="4" s="1"/>
  <c r="J1117" i="4"/>
  <c r="F1117" i="4" s="1"/>
  <c r="J1118" i="4"/>
  <c r="F1118" i="4" s="1"/>
  <c r="J1119" i="4"/>
  <c r="F1119" i="4" s="1"/>
  <c r="J1120" i="4"/>
  <c r="F1120" i="4" s="1"/>
  <c r="J1121" i="4"/>
  <c r="F1121" i="4" s="1"/>
  <c r="J1122" i="4"/>
  <c r="F1122" i="4" s="1"/>
  <c r="J1123" i="4"/>
  <c r="F1123" i="4" s="1"/>
  <c r="J1124" i="4"/>
  <c r="F1124" i="4" s="1"/>
  <c r="J1125" i="4"/>
  <c r="F1125" i="4" s="1"/>
  <c r="J1126" i="4"/>
  <c r="F1126" i="4" s="1"/>
  <c r="J1127" i="4"/>
  <c r="F1127" i="4" s="1"/>
  <c r="J1128" i="4"/>
  <c r="F1128" i="4" s="1"/>
  <c r="J1129" i="4"/>
  <c r="F1129" i="4" s="1"/>
  <c r="J1130" i="4"/>
  <c r="F1130" i="4" s="1"/>
  <c r="J1131" i="4"/>
  <c r="F1131" i="4" s="1"/>
  <c r="J1132" i="4"/>
  <c r="F1132" i="4" s="1"/>
  <c r="J1133" i="4"/>
  <c r="F1133" i="4" s="1"/>
  <c r="J1134" i="4"/>
  <c r="F1134" i="4" s="1"/>
  <c r="J1135" i="4"/>
  <c r="F1135" i="4" s="1"/>
  <c r="J1136" i="4"/>
  <c r="F1136" i="4" s="1"/>
  <c r="J1137" i="4"/>
  <c r="F1137" i="4" s="1"/>
  <c r="J1138" i="4"/>
  <c r="F1138" i="4" s="1"/>
  <c r="J1139" i="4"/>
  <c r="F1139" i="4" s="1"/>
  <c r="J1140" i="4"/>
  <c r="F1140" i="4" s="1"/>
  <c r="J1141" i="4"/>
  <c r="F1141" i="4" s="1"/>
  <c r="J1142" i="4"/>
  <c r="F1142" i="4" s="1"/>
  <c r="J1143" i="4"/>
  <c r="F1143" i="4" s="1"/>
  <c r="J1144" i="4"/>
  <c r="F1144" i="4" s="1"/>
  <c r="J1145" i="4"/>
  <c r="F1145" i="4" s="1"/>
  <c r="J1146" i="4"/>
  <c r="F1146" i="4" s="1"/>
  <c r="J1147" i="4"/>
  <c r="F1147" i="4" s="1"/>
  <c r="J1148" i="4"/>
  <c r="F1148" i="4" s="1"/>
  <c r="J1149" i="4"/>
  <c r="F1149" i="4" s="1"/>
  <c r="J1150" i="4"/>
  <c r="F1150" i="4" s="1"/>
  <c r="J1151" i="4"/>
  <c r="F1151" i="4" s="1"/>
  <c r="J1152" i="4"/>
  <c r="F1152" i="4" s="1"/>
  <c r="J1153" i="4"/>
  <c r="F1153" i="4" s="1"/>
  <c r="J1154" i="4"/>
  <c r="F1154" i="4" s="1"/>
  <c r="J1155" i="4"/>
  <c r="F1155" i="4" s="1"/>
  <c r="J1156" i="4"/>
  <c r="F1156" i="4" s="1"/>
  <c r="J1157" i="4"/>
  <c r="F1157" i="4" s="1"/>
  <c r="J1158" i="4"/>
  <c r="F1158" i="4" s="1"/>
  <c r="J1159" i="4"/>
  <c r="F1159" i="4" s="1"/>
  <c r="J1160" i="4"/>
  <c r="F1160" i="4" s="1"/>
  <c r="J1161" i="4"/>
  <c r="F1161" i="4" s="1"/>
  <c r="J1162" i="4"/>
  <c r="F1162" i="4" s="1"/>
  <c r="J1163" i="4"/>
  <c r="F1163" i="4" s="1"/>
  <c r="J1164" i="4"/>
  <c r="F1164" i="4" s="1"/>
  <c r="J1165" i="4"/>
  <c r="F1165" i="4" s="1"/>
  <c r="J1166" i="4"/>
  <c r="F1166" i="4" s="1"/>
  <c r="J1167" i="4"/>
  <c r="F1167" i="4" s="1"/>
  <c r="J1168" i="4"/>
  <c r="F1168" i="4" s="1"/>
  <c r="J1169" i="4"/>
  <c r="F1169" i="4" s="1"/>
  <c r="J1170" i="4"/>
  <c r="F1170" i="4" s="1"/>
  <c r="J1171" i="4"/>
  <c r="F1171" i="4" s="1"/>
  <c r="J1172" i="4"/>
  <c r="F1172" i="4" s="1"/>
  <c r="J1173" i="4"/>
  <c r="F1173" i="4" s="1"/>
  <c r="J1174" i="4"/>
  <c r="F1174" i="4" s="1"/>
  <c r="J1175" i="4"/>
  <c r="F1175" i="4" s="1"/>
  <c r="J1176" i="4"/>
  <c r="F1176" i="4" s="1"/>
  <c r="J1177" i="4"/>
  <c r="F1177" i="4" s="1"/>
  <c r="J1178" i="4"/>
  <c r="F1178" i="4" s="1"/>
  <c r="J1179" i="4"/>
  <c r="F1179" i="4" s="1"/>
  <c r="J1180" i="4"/>
  <c r="F1180" i="4" s="1"/>
  <c r="J1181" i="4"/>
  <c r="F1181" i="4" s="1"/>
  <c r="J1182" i="4"/>
  <c r="F1182" i="4" s="1"/>
  <c r="J1183" i="4"/>
  <c r="F1183" i="4" s="1"/>
  <c r="J1184" i="4"/>
  <c r="F1184" i="4" s="1"/>
  <c r="J1185" i="4"/>
  <c r="F1185" i="4" s="1"/>
  <c r="J1186" i="4"/>
  <c r="F1186" i="4" s="1"/>
  <c r="J1187" i="4"/>
  <c r="F1187" i="4" s="1"/>
  <c r="J1188" i="4"/>
  <c r="F1188" i="4" s="1"/>
  <c r="J1189" i="4"/>
  <c r="F1189" i="4" s="1"/>
  <c r="J1190" i="4"/>
  <c r="F1190" i="4" s="1"/>
  <c r="J1191" i="4"/>
  <c r="F1191" i="4" s="1"/>
  <c r="J1192" i="4"/>
  <c r="F1192" i="4" s="1"/>
  <c r="J1193" i="4"/>
  <c r="F1193" i="4" s="1"/>
  <c r="J1194" i="4"/>
  <c r="F1194" i="4" s="1"/>
  <c r="J1195" i="4"/>
  <c r="F1195" i="4" s="1"/>
  <c r="J1196" i="4"/>
  <c r="F1196" i="4" s="1"/>
  <c r="J1197" i="4"/>
  <c r="F1197" i="4" s="1"/>
  <c r="J1198" i="4"/>
  <c r="F1198" i="4" s="1"/>
  <c r="J1199" i="4"/>
  <c r="F1199" i="4" s="1"/>
  <c r="J1200" i="4"/>
  <c r="F1200" i="4" s="1"/>
  <c r="J1201" i="4"/>
  <c r="F1201" i="4" s="1"/>
  <c r="J1202" i="4"/>
  <c r="F1202" i="4" s="1"/>
  <c r="J1203" i="4"/>
  <c r="F1203" i="4" s="1"/>
  <c r="J1204" i="4"/>
  <c r="F1204" i="4" s="1"/>
  <c r="J1205" i="4"/>
  <c r="F1205" i="4" s="1"/>
  <c r="J1206" i="4"/>
  <c r="F1206" i="4" s="1"/>
  <c r="J1207" i="4"/>
  <c r="F1207" i="4" s="1"/>
  <c r="J1208" i="4"/>
  <c r="F1208" i="4" s="1"/>
  <c r="J1209" i="4"/>
  <c r="F1209" i="4" s="1"/>
  <c r="J1210" i="4"/>
  <c r="F1210" i="4" s="1"/>
  <c r="J1211" i="4"/>
  <c r="F1211" i="4" s="1"/>
  <c r="J1212" i="4"/>
  <c r="F1212" i="4" s="1"/>
  <c r="J1213" i="4"/>
  <c r="F1213" i="4" s="1"/>
  <c r="J1214" i="4"/>
  <c r="F1214" i="4" s="1"/>
  <c r="J1215" i="4"/>
  <c r="F1215" i="4" s="1"/>
  <c r="J1216" i="4"/>
  <c r="F1216" i="4" s="1"/>
  <c r="J1217" i="4"/>
  <c r="F1217" i="4" s="1"/>
  <c r="J1218" i="4"/>
  <c r="F1218" i="4" s="1"/>
  <c r="J1219" i="4"/>
  <c r="F1219" i="4" s="1"/>
  <c r="J1220" i="4"/>
  <c r="F1220" i="4" s="1"/>
  <c r="J1221" i="4"/>
  <c r="F1221" i="4" s="1"/>
  <c r="J1222" i="4"/>
  <c r="F1222" i="4" s="1"/>
  <c r="J1223" i="4"/>
  <c r="F1223" i="4" s="1"/>
  <c r="J1224" i="4"/>
  <c r="F1224" i="4" s="1"/>
  <c r="J1225" i="4"/>
  <c r="F1225" i="4" s="1"/>
  <c r="J1226" i="4"/>
  <c r="F1226" i="4" s="1"/>
  <c r="J1227" i="4"/>
  <c r="F1227" i="4" s="1"/>
  <c r="J1228" i="4"/>
  <c r="F1228" i="4" s="1"/>
  <c r="J1229" i="4"/>
  <c r="F1229" i="4" s="1"/>
  <c r="J1230" i="4"/>
  <c r="F1230" i="4" s="1"/>
  <c r="J1231" i="4"/>
  <c r="F1231" i="4" s="1"/>
  <c r="J1232" i="4"/>
  <c r="F1232" i="4" s="1"/>
  <c r="J1233" i="4"/>
  <c r="F1233" i="4" s="1"/>
  <c r="J1234" i="4"/>
  <c r="F1234" i="4" s="1"/>
  <c r="J1235" i="4"/>
  <c r="F1235" i="4" s="1"/>
  <c r="J1236" i="4"/>
  <c r="F1236" i="4" s="1"/>
  <c r="J1237" i="4"/>
  <c r="F1237" i="4" s="1"/>
  <c r="J1238" i="4"/>
  <c r="F1238" i="4" s="1"/>
  <c r="J1239" i="4"/>
  <c r="F1239" i="4" s="1"/>
  <c r="J1240" i="4"/>
  <c r="F1240" i="4" s="1"/>
  <c r="J1241" i="4"/>
  <c r="F1241" i="4" s="1"/>
  <c r="J1242" i="4"/>
  <c r="F1242" i="4" s="1"/>
  <c r="J1243" i="4"/>
  <c r="F1243" i="4" s="1"/>
  <c r="J1244" i="4"/>
  <c r="F1244" i="4" s="1"/>
  <c r="J1245" i="4"/>
  <c r="F1245" i="4" s="1"/>
  <c r="J1246" i="4"/>
  <c r="F1246" i="4" s="1"/>
  <c r="J1247" i="4"/>
  <c r="F1247" i="4" s="1"/>
  <c r="J1248" i="4"/>
  <c r="F1248" i="4" s="1"/>
  <c r="J1249" i="4"/>
  <c r="F1249" i="4" s="1"/>
  <c r="J1250" i="4"/>
  <c r="F1250" i="4" s="1"/>
  <c r="J1251" i="4"/>
  <c r="F1251" i="4" s="1"/>
  <c r="J1252" i="4"/>
  <c r="F1252" i="4" s="1"/>
  <c r="J1253" i="4"/>
  <c r="F1253" i="4" s="1"/>
  <c r="J1254" i="4"/>
  <c r="F1254" i="4" s="1"/>
  <c r="J1255" i="4"/>
  <c r="F1255" i="4" s="1"/>
  <c r="J1256" i="4"/>
  <c r="F1256" i="4" s="1"/>
  <c r="J1257" i="4"/>
  <c r="F1257" i="4" s="1"/>
  <c r="J1258" i="4"/>
  <c r="F1258" i="4" s="1"/>
  <c r="J1259" i="4"/>
  <c r="F1259" i="4" s="1"/>
  <c r="J1260" i="4"/>
  <c r="F1260" i="4" s="1"/>
  <c r="J1261" i="4"/>
  <c r="F1261" i="4" s="1"/>
  <c r="J1262" i="4"/>
  <c r="F1262" i="4" s="1"/>
  <c r="J1263" i="4"/>
  <c r="F1263" i="4" s="1"/>
  <c r="J1264" i="4"/>
  <c r="F1264" i="4" s="1"/>
  <c r="J1265" i="4"/>
  <c r="F1265" i="4" s="1"/>
  <c r="J1266" i="4"/>
  <c r="F1266" i="4" s="1"/>
  <c r="J1267" i="4"/>
  <c r="F1267" i="4" s="1"/>
  <c r="J1268" i="4"/>
  <c r="F1268" i="4" s="1"/>
  <c r="J1269" i="4"/>
  <c r="F1269" i="4" s="1"/>
  <c r="J1270" i="4"/>
  <c r="F1270" i="4" s="1"/>
  <c r="J1271" i="4"/>
  <c r="F1271" i="4" s="1"/>
  <c r="J1272" i="4"/>
  <c r="F1272" i="4" s="1"/>
  <c r="J1273" i="4"/>
  <c r="F1273" i="4" s="1"/>
  <c r="J1274" i="4"/>
  <c r="F1274" i="4" s="1"/>
  <c r="J1275" i="4"/>
  <c r="F1275" i="4" s="1"/>
  <c r="J1276" i="4"/>
  <c r="F1276" i="4" s="1"/>
  <c r="J1277" i="4"/>
  <c r="F1277" i="4" s="1"/>
  <c r="J1278" i="4"/>
  <c r="F1278" i="4" s="1"/>
  <c r="J1279" i="4"/>
  <c r="F1279" i="4" s="1"/>
  <c r="J1280" i="4"/>
  <c r="F1280" i="4" s="1"/>
  <c r="J1281" i="4"/>
  <c r="F1281" i="4" s="1"/>
  <c r="J1282" i="4"/>
  <c r="F1282" i="4" s="1"/>
  <c r="J1283" i="4"/>
  <c r="F1283" i="4" s="1"/>
  <c r="J1284" i="4"/>
  <c r="F1284" i="4" s="1"/>
  <c r="J1285" i="4"/>
  <c r="F1285" i="4" s="1"/>
  <c r="J1286" i="4"/>
  <c r="F1286" i="4" s="1"/>
  <c r="J1287" i="4"/>
  <c r="F1287" i="4" s="1"/>
  <c r="J1288" i="4"/>
  <c r="F1288" i="4" s="1"/>
  <c r="J1289" i="4"/>
  <c r="F1289" i="4" s="1"/>
  <c r="J1290" i="4"/>
  <c r="F1290" i="4" s="1"/>
  <c r="J1291" i="4"/>
  <c r="F1291" i="4" s="1"/>
  <c r="J1292" i="4"/>
  <c r="F1292" i="4" s="1"/>
  <c r="J1293" i="4"/>
  <c r="F1293" i="4" s="1"/>
  <c r="J1294" i="4"/>
  <c r="F1294" i="4" s="1"/>
  <c r="J1295" i="4"/>
  <c r="F1295" i="4" s="1"/>
  <c r="J1296" i="4"/>
  <c r="F1296" i="4" s="1"/>
  <c r="J1297" i="4"/>
  <c r="F1297" i="4" s="1"/>
  <c r="J1298" i="4"/>
  <c r="F1298" i="4" s="1"/>
  <c r="J1299" i="4"/>
  <c r="F1299" i="4" s="1"/>
  <c r="J1300" i="4"/>
  <c r="F1300" i="4" s="1"/>
  <c r="J1301" i="4"/>
  <c r="F1301" i="4" s="1"/>
  <c r="J1302" i="4"/>
  <c r="F1302" i="4" s="1"/>
  <c r="J1303" i="4"/>
  <c r="F1303" i="4" s="1"/>
  <c r="J1304" i="4"/>
  <c r="F1304" i="4" s="1"/>
  <c r="J1305" i="4"/>
  <c r="F1305" i="4" s="1"/>
  <c r="J1306" i="4"/>
  <c r="F1306" i="4" s="1"/>
  <c r="J1307" i="4"/>
  <c r="F1307" i="4" s="1"/>
  <c r="J1308" i="4"/>
  <c r="F1308" i="4" s="1"/>
  <c r="J1309" i="4"/>
  <c r="F1309" i="4" s="1"/>
  <c r="J1310" i="4"/>
  <c r="F1310" i="4" s="1"/>
  <c r="J1311" i="4"/>
  <c r="F1311" i="4" s="1"/>
  <c r="J1312" i="4"/>
  <c r="F1312" i="4" s="1"/>
  <c r="J1313" i="4"/>
  <c r="F1313" i="4" s="1"/>
  <c r="J1314" i="4"/>
  <c r="F1314" i="4" s="1"/>
  <c r="J1315" i="4"/>
  <c r="F1315" i="4" s="1"/>
  <c r="J1316" i="4"/>
  <c r="F1316" i="4" s="1"/>
  <c r="J1317" i="4"/>
  <c r="F1317" i="4" s="1"/>
  <c r="J1318" i="4"/>
  <c r="F1318" i="4" s="1"/>
  <c r="J1319" i="4"/>
  <c r="F1319" i="4" s="1"/>
  <c r="J1320" i="4"/>
  <c r="F1320" i="4" s="1"/>
  <c r="J1321" i="4"/>
  <c r="F1321" i="4" s="1"/>
  <c r="J1322" i="4"/>
  <c r="F1322" i="4" s="1"/>
  <c r="J1323" i="4"/>
  <c r="F1323" i="4" s="1"/>
  <c r="J1324" i="4"/>
  <c r="F1324" i="4" s="1"/>
  <c r="J1325" i="4"/>
  <c r="F1325" i="4" s="1"/>
  <c r="J1326" i="4"/>
  <c r="F1326" i="4" s="1"/>
  <c r="J1327" i="4"/>
  <c r="F1327" i="4" s="1"/>
  <c r="J1328" i="4"/>
  <c r="F1328" i="4" s="1"/>
  <c r="J1329" i="4"/>
  <c r="F1329" i="4" s="1"/>
  <c r="J1330" i="4"/>
  <c r="F1330" i="4" s="1"/>
  <c r="J1331" i="4"/>
  <c r="F1331" i="4" s="1"/>
  <c r="J1332" i="4"/>
  <c r="F1332" i="4" s="1"/>
  <c r="J1333" i="4"/>
  <c r="F1333" i="4" s="1"/>
  <c r="J1334" i="4"/>
  <c r="F1334" i="4" s="1"/>
  <c r="J1335" i="4"/>
  <c r="F1335" i="4" s="1"/>
  <c r="J1336" i="4"/>
  <c r="F1336" i="4" s="1"/>
  <c r="J1337" i="4"/>
  <c r="F1337" i="4" s="1"/>
  <c r="J1338" i="4"/>
  <c r="F1338" i="4" s="1"/>
  <c r="J1339" i="4"/>
  <c r="F1339" i="4" s="1"/>
  <c r="J1340" i="4"/>
  <c r="F1340" i="4" s="1"/>
  <c r="J1341" i="4"/>
  <c r="F1341" i="4" s="1"/>
  <c r="J1342" i="4"/>
  <c r="F1342" i="4" s="1"/>
  <c r="J1343" i="4"/>
  <c r="F1343" i="4" s="1"/>
  <c r="J1344" i="4"/>
  <c r="F1344" i="4" s="1"/>
  <c r="J1345" i="4"/>
  <c r="F1345" i="4" s="1"/>
  <c r="J1346" i="4"/>
  <c r="F1346" i="4" s="1"/>
  <c r="J1347" i="4"/>
  <c r="F1347" i="4" s="1"/>
  <c r="J1348" i="4"/>
  <c r="F1348" i="4" s="1"/>
  <c r="J1349" i="4"/>
  <c r="F1349" i="4" s="1"/>
  <c r="J1350" i="4"/>
  <c r="F1350" i="4" s="1"/>
  <c r="J1351" i="4"/>
  <c r="F1351" i="4" s="1"/>
  <c r="J1352" i="4"/>
  <c r="F1352" i="4" s="1"/>
  <c r="J1353" i="4"/>
  <c r="F1353" i="4" s="1"/>
  <c r="J1354" i="4"/>
  <c r="F1354" i="4" s="1"/>
  <c r="J1355" i="4"/>
  <c r="F1355" i="4" s="1"/>
  <c r="J1356" i="4"/>
  <c r="F1356" i="4" s="1"/>
  <c r="J1357" i="4"/>
  <c r="F1357" i="4" s="1"/>
  <c r="J1358" i="4"/>
  <c r="F1358" i="4" s="1"/>
  <c r="J1359" i="4"/>
  <c r="F1359" i="4" s="1"/>
  <c r="J1360" i="4"/>
  <c r="F1360" i="4" s="1"/>
  <c r="J1361" i="4"/>
  <c r="F1361" i="4" s="1"/>
  <c r="J1362" i="4"/>
  <c r="F1362" i="4" s="1"/>
  <c r="J1363" i="4"/>
  <c r="F1363" i="4" s="1"/>
  <c r="J1364" i="4"/>
  <c r="F1364" i="4" s="1"/>
  <c r="J1365" i="4"/>
  <c r="F1365" i="4" s="1"/>
  <c r="J1366" i="4"/>
  <c r="F1366" i="4" s="1"/>
  <c r="J1367" i="4"/>
  <c r="F1367" i="4" s="1"/>
  <c r="J1368" i="4"/>
  <c r="F1368" i="4" s="1"/>
  <c r="J1369" i="4"/>
  <c r="F1369" i="4" s="1"/>
  <c r="J1370" i="4"/>
  <c r="F1370" i="4" s="1"/>
  <c r="J1371" i="4"/>
  <c r="F1371" i="4" s="1"/>
  <c r="J1372" i="4"/>
  <c r="F1372" i="4" s="1"/>
  <c r="J1373" i="4"/>
  <c r="F1373" i="4" s="1"/>
  <c r="J1374" i="4"/>
  <c r="F1374" i="4" s="1"/>
  <c r="J1375" i="4"/>
  <c r="F1375" i="4" s="1"/>
  <c r="J1376" i="4"/>
  <c r="F1376" i="4" s="1"/>
  <c r="J1377" i="4"/>
  <c r="F1377" i="4" s="1"/>
  <c r="J1378" i="4"/>
  <c r="F1378" i="4" s="1"/>
  <c r="J1379" i="4"/>
  <c r="F1379" i="4" s="1"/>
  <c r="J1380" i="4"/>
  <c r="F1380" i="4" s="1"/>
  <c r="J1381" i="4"/>
  <c r="F1381" i="4" s="1"/>
  <c r="J1382" i="4"/>
  <c r="F1382" i="4" s="1"/>
  <c r="J1383" i="4"/>
  <c r="F1383" i="4" s="1"/>
  <c r="J1384" i="4"/>
  <c r="F1384" i="4" s="1"/>
  <c r="J1385" i="4"/>
  <c r="F1385" i="4" s="1"/>
  <c r="J1386" i="4"/>
  <c r="F1386" i="4" s="1"/>
  <c r="J1387" i="4"/>
  <c r="F1387" i="4" s="1"/>
  <c r="J1388" i="4"/>
  <c r="F1388" i="4" s="1"/>
  <c r="J1389" i="4"/>
  <c r="F1389" i="4" s="1"/>
  <c r="J1390" i="4"/>
  <c r="F1390" i="4" s="1"/>
  <c r="J1391" i="4"/>
  <c r="F1391" i="4" s="1"/>
  <c r="J1392" i="4"/>
  <c r="F1392" i="4" s="1"/>
  <c r="J1393" i="4"/>
  <c r="F1393" i="4" s="1"/>
  <c r="J1394" i="4"/>
  <c r="F1394" i="4" s="1"/>
  <c r="J1395" i="4"/>
  <c r="F1395" i="4" s="1"/>
  <c r="J1396" i="4"/>
  <c r="F1396" i="4" s="1"/>
  <c r="J1397" i="4"/>
  <c r="F1397" i="4" s="1"/>
  <c r="J1398" i="4"/>
  <c r="F1398" i="4" s="1"/>
  <c r="J1399" i="4"/>
  <c r="F1399" i="4" s="1"/>
  <c r="J1400" i="4"/>
  <c r="F1400" i="4" s="1"/>
  <c r="J1401" i="4"/>
  <c r="F1401" i="4" s="1"/>
  <c r="J1402" i="4"/>
  <c r="F1402" i="4" s="1"/>
  <c r="J1403" i="4"/>
  <c r="F1403" i="4" s="1"/>
  <c r="J1404" i="4"/>
  <c r="F1404" i="4" s="1"/>
  <c r="J1405" i="4"/>
  <c r="F1405" i="4" s="1"/>
  <c r="J1406" i="4"/>
  <c r="F1406" i="4" s="1"/>
  <c r="J1407" i="4"/>
  <c r="F1407" i="4" s="1"/>
  <c r="J1408" i="4"/>
  <c r="F1408" i="4" s="1"/>
  <c r="J1409" i="4"/>
  <c r="F1409" i="4" s="1"/>
  <c r="J1410" i="4"/>
  <c r="F1410" i="4" s="1"/>
  <c r="J1411" i="4"/>
  <c r="F1411" i="4" s="1"/>
  <c r="J1412" i="4"/>
  <c r="F1412" i="4" s="1"/>
  <c r="J1413" i="4"/>
  <c r="F1413" i="4" s="1"/>
  <c r="J1414" i="4"/>
  <c r="F1414" i="4" s="1"/>
  <c r="J1415" i="4"/>
  <c r="F1415" i="4" s="1"/>
  <c r="J1416" i="4"/>
  <c r="F1416" i="4" s="1"/>
  <c r="J1417" i="4"/>
  <c r="F1417" i="4" s="1"/>
  <c r="J1418" i="4"/>
  <c r="F1418" i="4" s="1"/>
  <c r="J1419" i="4"/>
  <c r="F1419" i="4" s="1"/>
  <c r="J1420" i="4"/>
  <c r="F1420" i="4" s="1"/>
  <c r="J1421" i="4"/>
  <c r="F1421" i="4" s="1"/>
  <c r="J1422" i="4"/>
  <c r="F1422" i="4" s="1"/>
  <c r="J1423" i="4"/>
  <c r="F1423" i="4" s="1"/>
  <c r="J1424" i="4"/>
  <c r="F1424" i="4" s="1"/>
  <c r="J1425" i="4"/>
  <c r="F1425" i="4" s="1"/>
  <c r="J1426" i="4"/>
  <c r="F1426" i="4" s="1"/>
  <c r="J1427" i="4"/>
  <c r="F1427" i="4" s="1"/>
  <c r="J1428" i="4"/>
  <c r="F1428" i="4" s="1"/>
  <c r="J1429" i="4"/>
  <c r="F1429" i="4" s="1"/>
  <c r="J1430" i="4"/>
  <c r="F1430" i="4" s="1"/>
  <c r="J1431" i="4"/>
  <c r="F1431" i="4" s="1"/>
  <c r="J1432" i="4"/>
  <c r="F1432" i="4" s="1"/>
  <c r="J1433" i="4"/>
  <c r="F1433" i="4" s="1"/>
  <c r="J1434" i="4"/>
  <c r="F1434" i="4" s="1"/>
  <c r="J1435" i="4"/>
  <c r="F1435" i="4" s="1"/>
  <c r="J1436" i="4"/>
  <c r="F1436" i="4" s="1"/>
  <c r="J1437" i="4"/>
  <c r="F1437" i="4" s="1"/>
  <c r="J1438" i="4"/>
  <c r="F1438" i="4" s="1"/>
  <c r="J1439" i="4"/>
  <c r="F1439" i="4" s="1"/>
  <c r="J1440" i="4"/>
  <c r="F1440" i="4" s="1"/>
  <c r="J1441" i="4"/>
  <c r="F1441" i="4" s="1"/>
  <c r="J1442" i="4"/>
  <c r="F1442" i="4" s="1"/>
  <c r="J1443" i="4"/>
  <c r="F1443" i="4" s="1"/>
  <c r="J1444" i="4"/>
  <c r="F1444" i="4" s="1"/>
  <c r="J1445" i="4"/>
  <c r="F1445" i="4" s="1"/>
  <c r="J1446" i="4"/>
  <c r="F1446" i="4" s="1"/>
  <c r="J1447" i="4"/>
  <c r="F1447" i="4" s="1"/>
  <c r="J1448" i="4"/>
  <c r="F1448" i="4" s="1"/>
  <c r="J1449" i="4"/>
  <c r="F1449" i="4" s="1"/>
  <c r="J1450" i="4"/>
  <c r="F1450" i="4" s="1"/>
  <c r="J1451" i="4"/>
  <c r="F1451" i="4" s="1"/>
  <c r="J1452" i="4"/>
  <c r="F1452" i="4" s="1"/>
  <c r="J1453" i="4"/>
  <c r="F1453" i="4" s="1"/>
  <c r="J1454" i="4"/>
  <c r="F1454" i="4" s="1"/>
  <c r="J1455" i="4"/>
  <c r="F1455" i="4" s="1"/>
  <c r="J1456" i="4"/>
  <c r="F1456" i="4" s="1"/>
  <c r="J1457" i="4"/>
  <c r="F1457" i="4" s="1"/>
  <c r="J1458" i="4"/>
  <c r="F1458" i="4" s="1"/>
  <c r="J1459" i="4"/>
  <c r="F1459" i="4" s="1"/>
  <c r="J1460" i="4"/>
  <c r="F1460" i="4" s="1"/>
  <c r="J1461" i="4"/>
  <c r="F1461" i="4" s="1"/>
  <c r="J1462" i="4"/>
  <c r="F1462" i="4" s="1"/>
  <c r="J1463" i="4"/>
  <c r="F1463" i="4" s="1"/>
  <c r="J1464" i="4"/>
  <c r="F1464" i="4" s="1"/>
  <c r="J1465" i="4"/>
  <c r="F1465" i="4" s="1"/>
  <c r="J1466" i="4"/>
  <c r="F1466" i="4" s="1"/>
  <c r="J1467" i="4"/>
  <c r="F1467" i="4" s="1"/>
  <c r="J1468" i="4"/>
  <c r="F1468" i="4" s="1"/>
  <c r="J1469" i="4"/>
  <c r="F1469" i="4" s="1"/>
  <c r="J1470" i="4"/>
  <c r="F1470" i="4" s="1"/>
  <c r="J1471" i="4"/>
  <c r="F1471" i="4" s="1"/>
  <c r="J1472" i="4"/>
  <c r="F1472" i="4" s="1"/>
  <c r="J1473" i="4"/>
  <c r="F1473" i="4" s="1"/>
  <c r="J1474" i="4"/>
  <c r="F1474" i="4" s="1"/>
  <c r="J1475" i="4"/>
  <c r="F1475" i="4" s="1"/>
  <c r="J1476" i="4"/>
  <c r="F1476" i="4" s="1"/>
  <c r="J1477" i="4"/>
  <c r="F1477" i="4" s="1"/>
  <c r="J1478" i="4"/>
  <c r="F1478" i="4" s="1"/>
  <c r="J1479" i="4"/>
  <c r="F1479" i="4" s="1"/>
  <c r="J1480" i="4"/>
  <c r="F1480" i="4" s="1"/>
  <c r="J1481" i="4"/>
  <c r="F1481" i="4" s="1"/>
  <c r="J1482" i="4"/>
  <c r="F1482" i="4" s="1"/>
  <c r="J1483" i="4"/>
  <c r="F1483" i="4" s="1"/>
  <c r="J1484" i="4"/>
  <c r="F1484" i="4" s="1"/>
  <c r="J1485" i="4"/>
  <c r="F1485" i="4" s="1"/>
  <c r="J1486" i="4"/>
  <c r="F1486" i="4" s="1"/>
  <c r="J1487" i="4"/>
  <c r="F1487" i="4" s="1"/>
  <c r="J1488" i="4"/>
  <c r="F1488" i="4" s="1"/>
  <c r="J1489" i="4"/>
  <c r="F1489" i="4" s="1"/>
  <c r="J1490" i="4"/>
  <c r="F1490" i="4" s="1"/>
  <c r="J1491" i="4"/>
  <c r="F1491" i="4" s="1"/>
  <c r="J1492" i="4"/>
  <c r="F1492" i="4" s="1"/>
  <c r="J1493" i="4"/>
  <c r="F1493" i="4" s="1"/>
  <c r="J1494" i="4"/>
  <c r="F1494" i="4" s="1"/>
  <c r="J1495" i="4"/>
  <c r="F1495" i="4" s="1"/>
  <c r="J1496" i="4"/>
  <c r="F1496" i="4" s="1"/>
  <c r="J1497" i="4"/>
  <c r="F1497" i="4" s="1"/>
  <c r="J1498" i="4"/>
  <c r="F1498" i="4" s="1"/>
  <c r="J1499" i="4"/>
  <c r="F1499" i="4" s="1"/>
  <c r="J1500" i="4"/>
  <c r="F1500" i="4" s="1"/>
  <c r="J1501" i="4"/>
  <c r="F1501" i="4" s="1"/>
  <c r="J1502" i="4"/>
  <c r="F1502" i="4" s="1"/>
  <c r="J1503" i="4"/>
  <c r="F1503" i="4" s="1"/>
  <c r="J1504" i="4"/>
  <c r="F1504" i="4" s="1"/>
  <c r="J1505" i="4"/>
  <c r="F1505" i="4" s="1"/>
  <c r="J1506" i="4"/>
  <c r="F1506" i="4" s="1"/>
  <c r="J1507" i="4"/>
  <c r="F1507" i="4" s="1"/>
  <c r="J1508" i="4"/>
  <c r="F1508" i="4" s="1"/>
  <c r="J1509" i="4"/>
  <c r="F1509" i="4" s="1"/>
  <c r="J1510" i="4"/>
  <c r="F1510" i="4" s="1"/>
  <c r="J1511" i="4"/>
  <c r="F1511" i="4" s="1"/>
  <c r="J1512" i="4"/>
  <c r="F1512" i="4" s="1"/>
  <c r="J1513" i="4"/>
  <c r="F1513" i="4" s="1"/>
  <c r="J1514" i="4"/>
  <c r="F1514" i="4" s="1"/>
  <c r="J1515" i="4"/>
  <c r="F1515" i="4" s="1"/>
  <c r="J1516" i="4"/>
  <c r="F1516" i="4" s="1"/>
  <c r="J1517" i="4"/>
  <c r="F1517" i="4" s="1"/>
  <c r="J1518" i="4"/>
  <c r="F1518" i="4" s="1"/>
  <c r="J1519" i="4"/>
  <c r="F1519" i="4" s="1"/>
  <c r="J1520" i="4"/>
  <c r="F1520" i="4" s="1"/>
  <c r="J1521" i="4"/>
  <c r="F1521" i="4" s="1"/>
  <c r="J1522" i="4"/>
  <c r="F1522" i="4" s="1"/>
  <c r="J1523" i="4"/>
  <c r="F1523" i="4" s="1"/>
  <c r="J1524" i="4"/>
  <c r="F1524" i="4" s="1"/>
  <c r="J1525" i="4"/>
  <c r="F1525" i="4" s="1"/>
  <c r="J1526" i="4"/>
  <c r="F1526" i="4" s="1"/>
  <c r="J1527" i="4"/>
  <c r="F1527" i="4" s="1"/>
  <c r="J1528" i="4"/>
  <c r="F1528" i="4" s="1"/>
  <c r="J1529" i="4"/>
  <c r="F1529" i="4" s="1"/>
  <c r="J1530" i="4"/>
  <c r="F1530" i="4" s="1"/>
  <c r="J1531" i="4"/>
  <c r="F1531" i="4" s="1"/>
  <c r="J1532" i="4"/>
  <c r="F1532" i="4" s="1"/>
  <c r="J1533" i="4"/>
  <c r="F1533" i="4" s="1"/>
  <c r="J1534" i="4"/>
  <c r="F1534" i="4" s="1"/>
  <c r="J1535" i="4"/>
  <c r="F1535" i="4" s="1"/>
  <c r="J1536" i="4"/>
  <c r="F1536" i="4" s="1"/>
  <c r="J1537" i="4"/>
  <c r="F1537" i="4" s="1"/>
  <c r="J1538" i="4"/>
  <c r="F1538" i="4" s="1"/>
  <c r="J1539" i="4"/>
  <c r="F1539" i="4" s="1"/>
  <c r="J1540" i="4"/>
  <c r="F1540" i="4" s="1"/>
  <c r="J1541" i="4"/>
  <c r="F1541" i="4" s="1"/>
  <c r="J1542" i="4"/>
  <c r="F1542" i="4" s="1"/>
  <c r="J1543" i="4"/>
  <c r="F1543" i="4" s="1"/>
  <c r="J1544" i="4"/>
  <c r="F1544" i="4" s="1"/>
  <c r="J1545" i="4"/>
  <c r="F1545" i="4" s="1"/>
  <c r="J1546" i="4"/>
  <c r="F1546" i="4" s="1"/>
  <c r="J1547" i="4"/>
  <c r="F1547" i="4" s="1"/>
  <c r="J1548" i="4"/>
  <c r="F1548" i="4" s="1"/>
  <c r="J1549" i="4"/>
  <c r="F1549" i="4" s="1"/>
  <c r="J1550" i="4"/>
  <c r="F1550" i="4" s="1"/>
  <c r="J1551" i="4"/>
  <c r="F1551" i="4" s="1"/>
  <c r="J1552" i="4"/>
  <c r="F1552" i="4" s="1"/>
  <c r="J1553" i="4"/>
  <c r="F1553" i="4" s="1"/>
  <c r="J1554" i="4"/>
  <c r="F1554" i="4" s="1"/>
  <c r="J1555" i="4"/>
  <c r="F1555" i="4" s="1"/>
  <c r="J1556" i="4"/>
  <c r="F1556" i="4" s="1"/>
  <c r="J1557" i="4"/>
  <c r="F1557" i="4" s="1"/>
  <c r="J1558" i="4"/>
  <c r="F1558" i="4" s="1"/>
  <c r="J1559" i="4"/>
  <c r="F1559" i="4" s="1"/>
  <c r="J1560" i="4"/>
  <c r="F1560" i="4" s="1"/>
  <c r="J1561" i="4"/>
  <c r="F1561" i="4" s="1"/>
  <c r="J1562" i="4"/>
  <c r="F1562" i="4" s="1"/>
  <c r="J1563" i="4"/>
  <c r="F1563" i="4" s="1"/>
  <c r="J1564" i="4"/>
  <c r="F1564" i="4" s="1"/>
  <c r="J1565" i="4"/>
  <c r="F1565" i="4" s="1"/>
  <c r="J1566" i="4"/>
  <c r="F1566" i="4" s="1"/>
  <c r="J1567" i="4"/>
  <c r="F1567" i="4" s="1"/>
  <c r="J1568" i="4"/>
  <c r="F1568" i="4" s="1"/>
  <c r="J1569" i="4"/>
  <c r="F1569" i="4" s="1"/>
  <c r="J1570" i="4"/>
  <c r="F1570" i="4" s="1"/>
  <c r="J1571" i="4"/>
  <c r="F1571" i="4" s="1"/>
  <c r="J1572" i="4"/>
  <c r="F1572" i="4" s="1"/>
  <c r="J1573" i="4"/>
  <c r="F1573" i="4" s="1"/>
  <c r="J1574" i="4"/>
  <c r="F1574" i="4" s="1"/>
  <c r="J1575" i="4"/>
  <c r="F1575" i="4" s="1"/>
  <c r="J1576" i="4"/>
  <c r="F1576" i="4" s="1"/>
  <c r="J1577" i="4"/>
  <c r="F1577" i="4" s="1"/>
  <c r="J1578" i="4"/>
  <c r="F1578" i="4" s="1"/>
  <c r="J1579" i="4"/>
  <c r="F1579" i="4" s="1"/>
  <c r="J1580" i="4"/>
  <c r="F1580" i="4" s="1"/>
  <c r="J1581" i="4"/>
  <c r="F1581" i="4" s="1"/>
  <c r="J1582" i="4"/>
  <c r="F1582" i="4" s="1"/>
  <c r="J1583" i="4"/>
  <c r="F1583" i="4" s="1"/>
  <c r="J1584" i="4"/>
  <c r="F1584" i="4" s="1"/>
  <c r="J1585" i="4"/>
  <c r="F1585" i="4" s="1"/>
  <c r="J1586" i="4"/>
  <c r="F1586" i="4" s="1"/>
  <c r="J1587" i="4"/>
  <c r="F1587" i="4" s="1"/>
  <c r="J1588" i="4"/>
  <c r="F1588" i="4" s="1"/>
  <c r="J1589" i="4"/>
  <c r="F1589" i="4" s="1"/>
  <c r="J1590" i="4"/>
  <c r="F1590" i="4" s="1"/>
  <c r="J1591" i="4"/>
  <c r="F1591" i="4" s="1"/>
  <c r="J1592" i="4"/>
  <c r="F1592" i="4" s="1"/>
  <c r="J1593" i="4"/>
  <c r="F1593" i="4" s="1"/>
  <c r="J1594" i="4"/>
  <c r="F1594" i="4" s="1"/>
  <c r="J1595" i="4"/>
  <c r="F1595" i="4" s="1"/>
  <c r="J1596" i="4"/>
  <c r="F1596" i="4" s="1"/>
  <c r="J1597" i="4"/>
  <c r="F1597" i="4" s="1"/>
  <c r="J1598" i="4"/>
  <c r="F1598" i="4" s="1"/>
  <c r="J1599" i="4"/>
  <c r="F1599" i="4" s="1"/>
  <c r="J1600" i="4"/>
  <c r="F1600" i="4" s="1"/>
  <c r="J1601" i="4"/>
  <c r="F1601" i="4" s="1"/>
  <c r="J1602" i="4"/>
  <c r="F1602" i="4" s="1"/>
  <c r="J1603" i="4"/>
  <c r="F1603" i="4" s="1"/>
  <c r="J1604" i="4"/>
  <c r="F1604" i="4" s="1"/>
  <c r="J1605" i="4"/>
  <c r="F1605" i="4" s="1"/>
  <c r="J1606" i="4"/>
  <c r="F1606" i="4" s="1"/>
  <c r="J1607" i="4"/>
  <c r="F1607" i="4" s="1"/>
  <c r="J1608" i="4"/>
  <c r="F1608" i="4" s="1"/>
  <c r="J1609" i="4"/>
  <c r="F1609" i="4" s="1"/>
  <c r="J1610" i="4"/>
  <c r="F1610" i="4" s="1"/>
  <c r="J1611" i="4"/>
  <c r="F1611" i="4" s="1"/>
  <c r="J1612" i="4"/>
  <c r="F1612" i="4" s="1"/>
  <c r="J1613" i="4"/>
  <c r="F1613" i="4" s="1"/>
  <c r="J1614" i="4"/>
  <c r="F1614" i="4" s="1"/>
  <c r="J1615" i="4"/>
  <c r="F1615" i="4" s="1"/>
  <c r="J1616" i="4"/>
  <c r="F1616" i="4" s="1"/>
  <c r="J1617" i="4"/>
  <c r="F1617" i="4" s="1"/>
  <c r="J1618" i="4"/>
  <c r="F1618" i="4" s="1"/>
  <c r="J1619" i="4"/>
  <c r="F1619" i="4" s="1"/>
  <c r="J1620" i="4"/>
  <c r="F1620" i="4" s="1"/>
  <c r="J1621" i="4"/>
  <c r="F1621" i="4" s="1"/>
  <c r="J1622" i="4"/>
  <c r="F1622" i="4" s="1"/>
  <c r="J1623" i="4"/>
  <c r="F1623" i="4" s="1"/>
  <c r="J1624" i="4"/>
  <c r="F1624" i="4" s="1"/>
  <c r="J1625" i="4"/>
  <c r="F1625" i="4" s="1"/>
  <c r="J1626" i="4"/>
  <c r="F1626" i="4" s="1"/>
  <c r="I2" i="4"/>
  <c r="E2" i="4" s="1"/>
  <c r="I3" i="4"/>
  <c r="E3" i="4" s="1"/>
  <c r="I4" i="4"/>
  <c r="E4" i="4" s="1"/>
  <c r="I5" i="4"/>
  <c r="E5" i="4" s="1"/>
  <c r="I6" i="4"/>
  <c r="E6" i="4" s="1"/>
  <c r="I7" i="4"/>
  <c r="E7" i="4" s="1"/>
  <c r="I8" i="4"/>
  <c r="E8" i="4" s="1"/>
  <c r="I9" i="4"/>
  <c r="E9" i="4" s="1"/>
  <c r="I10" i="4"/>
  <c r="E10" i="4" s="1"/>
  <c r="I11" i="4"/>
  <c r="E11" i="4" s="1"/>
  <c r="I12" i="4"/>
  <c r="E12" i="4" s="1"/>
  <c r="I13" i="4"/>
  <c r="E13" i="4" s="1"/>
  <c r="I14" i="4"/>
  <c r="E14" i="4" s="1"/>
  <c r="I15" i="4"/>
  <c r="E15" i="4" s="1"/>
  <c r="I16" i="4"/>
  <c r="E16" i="4" s="1"/>
  <c r="I17" i="4"/>
  <c r="E17" i="4" s="1"/>
  <c r="I18" i="4"/>
  <c r="E18" i="4" s="1"/>
  <c r="I19" i="4"/>
  <c r="E19" i="4" s="1"/>
  <c r="I20" i="4"/>
  <c r="E20" i="4" s="1"/>
  <c r="I21" i="4"/>
  <c r="E21" i="4" s="1"/>
  <c r="I22" i="4"/>
  <c r="E22" i="4" s="1"/>
  <c r="I23" i="4"/>
  <c r="E23" i="4" s="1"/>
  <c r="I24" i="4"/>
  <c r="E24" i="4" s="1"/>
  <c r="I25" i="4"/>
  <c r="E25" i="4" s="1"/>
  <c r="I26" i="4"/>
  <c r="E26" i="4" s="1"/>
  <c r="I27" i="4"/>
  <c r="E27" i="4" s="1"/>
  <c r="I28" i="4"/>
  <c r="E28" i="4" s="1"/>
  <c r="I29" i="4"/>
  <c r="E29" i="4" s="1"/>
  <c r="I30" i="4"/>
  <c r="E30" i="4" s="1"/>
  <c r="I31" i="4"/>
  <c r="E31" i="4" s="1"/>
  <c r="I32" i="4"/>
  <c r="E32" i="4" s="1"/>
  <c r="I33" i="4"/>
  <c r="E33" i="4" s="1"/>
  <c r="I34" i="4"/>
  <c r="E34" i="4" s="1"/>
  <c r="I35" i="4"/>
  <c r="E35" i="4" s="1"/>
  <c r="I36" i="4"/>
  <c r="E36" i="4" s="1"/>
  <c r="I37" i="4"/>
  <c r="E37" i="4" s="1"/>
  <c r="I38" i="4"/>
  <c r="E38" i="4" s="1"/>
  <c r="I39" i="4"/>
  <c r="E39" i="4" s="1"/>
  <c r="I40" i="4"/>
  <c r="E40" i="4" s="1"/>
  <c r="I41" i="4"/>
  <c r="E41" i="4" s="1"/>
  <c r="I42" i="4"/>
  <c r="E42" i="4" s="1"/>
  <c r="I43" i="4"/>
  <c r="E43" i="4" s="1"/>
  <c r="I44" i="4"/>
  <c r="E44" i="4" s="1"/>
  <c r="I45" i="4"/>
  <c r="E45" i="4" s="1"/>
  <c r="I46" i="4"/>
  <c r="E46" i="4" s="1"/>
  <c r="I47" i="4"/>
  <c r="E47" i="4" s="1"/>
  <c r="I48" i="4"/>
  <c r="E48" i="4" s="1"/>
  <c r="I49" i="4"/>
  <c r="E49" i="4" s="1"/>
  <c r="I50" i="4"/>
  <c r="E50" i="4" s="1"/>
  <c r="I51" i="4"/>
  <c r="E51" i="4" s="1"/>
  <c r="I52" i="4"/>
  <c r="E52" i="4" s="1"/>
  <c r="I53" i="4"/>
  <c r="E53" i="4" s="1"/>
  <c r="I54" i="4"/>
  <c r="E54" i="4" s="1"/>
  <c r="I55" i="4"/>
  <c r="E55" i="4" s="1"/>
  <c r="I56" i="4"/>
  <c r="E56" i="4" s="1"/>
  <c r="I57" i="4"/>
  <c r="E57" i="4" s="1"/>
  <c r="I58" i="4"/>
  <c r="E58" i="4" s="1"/>
  <c r="I59" i="4"/>
  <c r="E59" i="4" s="1"/>
  <c r="I60" i="4"/>
  <c r="E60" i="4" s="1"/>
  <c r="I61" i="4"/>
  <c r="E61" i="4" s="1"/>
  <c r="I62" i="4"/>
  <c r="E62" i="4" s="1"/>
  <c r="I63" i="4"/>
  <c r="E63" i="4" s="1"/>
  <c r="I64" i="4"/>
  <c r="E64" i="4" s="1"/>
  <c r="I65" i="4"/>
  <c r="E65" i="4" s="1"/>
  <c r="I66" i="4"/>
  <c r="E66" i="4" s="1"/>
  <c r="I67" i="4"/>
  <c r="E67" i="4" s="1"/>
  <c r="I68" i="4"/>
  <c r="E68" i="4" s="1"/>
  <c r="I69" i="4"/>
  <c r="E69" i="4" s="1"/>
  <c r="I70" i="4"/>
  <c r="E70" i="4" s="1"/>
  <c r="I71" i="4"/>
  <c r="E71" i="4" s="1"/>
  <c r="I72" i="4"/>
  <c r="E72" i="4" s="1"/>
  <c r="I73" i="4"/>
  <c r="E73" i="4" s="1"/>
  <c r="I74" i="4"/>
  <c r="E74" i="4" s="1"/>
  <c r="I75" i="4"/>
  <c r="E75" i="4" s="1"/>
  <c r="I76" i="4"/>
  <c r="E76" i="4" s="1"/>
  <c r="I77" i="4"/>
  <c r="E77" i="4" s="1"/>
  <c r="I78" i="4"/>
  <c r="E78" i="4" s="1"/>
  <c r="I79" i="4"/>
  <c r="E79" i="4" s="1"/>
  <c r="I80" i="4"/>
  <c r="E80" i="4" s="1"/>
  <c r="I81" i="4"/>
  <c r="E81" i="4" s="1"/>
  <c r="I82" i="4"/>
  <c r="E82" i="4" s="1"/>
  <c r="I83" i="4"/>
  <c r="E83" i="4" s="1"/>
  <c r="I84" i="4"/>
  <c r="E84" i="4" s="1"/>
  <c r="I85" i="4"/>
  <c r="E85" i="4" s="1"/>
  <c r="I86" i="4"/>
  <c r="E86" i="4" s="1"/>
  <c r="I87" i="4"/>
  <c r="E87" i="4" s="1"/>
  <c r="I88" i="4"/>
  <c r="E88" i="4" s="1"/>
  <c r="I89" i="4"/>
  <c r="E89" i="4" s="1"/>
  <c r="I90" i="4"/>
  <c r="E90" i="4" s="1"/>
  <c r="I91" i="4"/>
  <c r="E91" i="4" s="1"/>
  <c r="I92" i="4"/>
  <c r="E92" i="4" s="1"/>
  <c r="I93" i="4"/>
  <c r="E93" i="4" s="1"/>
  <c r="I94" i="4"/>
  <c r="E94" i="4" s="1"/>
  <c r="I95" i="4"/>
  <c r="E95" i="4" s="1"/>
  <c r="I96" i="4"/>
  <c r="E96" i="4" s="1"/>
  <c r="I97" i="4"/>
  <c r="E97" i="4" s="1"/>
  <c r="I98" i="4"/>
  <c r="E98" i="4" s="1"/>
  <c r="I99" i="4"/>
  <c r="E99" i="4" s="1"/>
  <c r="I100" i="4"/>
  <c r="E100" i="4" s="1"/>
  <c r="I101" i="4"/>
  <c r="E101" i="4" s="1"/>
  <c r="I102" i="4"/>
  <c r="E102" i="4" s="1"/>
  <c r="I103" i="4"/>
  <c r="E103" i="4" s="1"/>
  <c r="I104" i="4"/>
  <c r="E104" i="4" s="1"/>
  <c r="I105" i="4"/>
  <c r="E105" i="4" s="1"/>
  <c r="I106" i="4"/>
  <c r="E106" i="4" s="1"/>
  <c r="I107" i="4"/>
  <c r="E107" i="4" s="1"/>
  <c r="I108" i="4"/>
  <c r="E108" i="4" s="1"/>
  <c r="I109" i="4"/>
  <c r="E109" i="4" s="1"/>
  <c r="I110" i="4"/>
  <c r="E110" i="4" s="1"/>
  <c r="I111" i="4"/>
  <c r="E111" i="4" s="1"/>
  <c r="I112" i="4"/>
  <c r="E112" i="4" s="1"/>
  <c r="I113" i="4"/>
  <c r="E113" i="4" s="1"/>
  <c r="I114" i="4"/>
  <c r="E114" i="4" s="1"/>
  <c r="I115" i="4"/>
  <c r="E115" i="4" s="1"/>
  <c r="I116" i="4"/>
  <c r="E116" i="4" s="1"/>
  <c r="I117" i="4"/>
  <c r="E117" i="4" s="1"/>
  <c r="I118" i="4"/>
  <c r="E118" i="4" s="1"/>
  <c r="I119" i="4"/>
  <c r="E119" i="4" s="1"/>
  <c r="I120" i="4"/>
  <c r="E120" i="4" s="1"/>
  <c r="I121" i="4"/>
  <c r="E121" i="4" s="1"/>
  <c r="I122" i="4"/>
  <c r="E122" i="4" s="1"/>
  <c r="I123" i="4"/>
  <c r="E123" i="4" s="1"/>
  <c r="I124" i="4"/>
  <c r="E124" i="4" s="1"/>
  <c r="I125" i="4"/>
  <c r="E125" i="4" s="1"/>
  <c r="I126" i="4"/>
  <c r="E126" i="4" s="1"/>
  <c r="I127" i="4"/>
  <c r="E127" i="4" s="1"/>
  <c r="I128" i="4"/>
  <c r="E128" i="4" s="1"/>
  <c r="I129" i="4"/>
  <c r="E129" i="4" s="1"/>
  <c r="I130" i="4"/>
  <c r="E130" i="4" s="1"/>
  <c r="I131" i="4"/>
  <c r="E131" i="4" s="1"/>
  <c r="I132" i="4"/>
  <c r="E132" i="4" s="1"/>
  <c r="I133" i="4"/>
  <c r="E133" i="4" s="1"/>
  <c r="I134" i="4"/>
  <c r="E134" i="4" s="1"/>
  <c r="I135" i="4"/>
  <c r="E135" i="4" s="1"/>
  <c r="I136" i="4"/>
  <c r="E136" i="4" s="1"/>
  <c r="I137" i="4"/>
  <c r="E137" i="4" s="1"/>
  <c r="I138" i="4"/>
  <c r="E138" i="4" s="1"/>
  <c r="I139" i="4"/>
  <c r="E139" i="4" s="1"/>
  <c r="I140" i="4"/>
  <c r="E140" i="4" s="1"/>
  <c r="I141" i="4"/>
  <c r="E141" i="4" s="1"/>
  <c r="I142" i="4"/>
  <c r="E142" i="4" s="1"/>
  <c r="I143" i="4"/>
  <c r="E143" i="4" s="1"/>
  <c r="I144" i="4"/>
  <c r="E144" i="4" s="1"/>
  <c r="I145" i="4"/>
  <c r="E145" i="4" s="1"/>
  <c r="I146" i="4"/>
  <c r="E146" i="4" s="1"/>
  <c r="I147" i="4"/>
  <c r="E147" i="4" s="1"/>
  <c r="I148" i="4"/>
  <c r="E148" i="4" s="1"/>
  <c r="I149" i="4"/>
  <c r="E149" i="4" s="1"/>
  <c r="I150" i="4"/>
  <c r="E150" i="4" s="1"/>
  <c r="I151" i="4"/>
  <c r="E151" i="4" s="1"/>
  <c r="I152" i="4"/>
  <c r="E152" i="4" s="1"/>
  <c r="I153" i="4"/>
  <c r="E153" i="4" s="1"/>
  <c r="I154" i="4"/>
  <c r="E154" i="4" s="1"/>
  <c r="I155" i="4"/>
  <c r="E155" i="4" s="1"/>
  <c r="I156" i="4"/>
  <c r="E156" i="4" s="1"/>
  <c r="I157" i="4"/>
  <c r="E157" i="4" s="1"/>
  <c r="I158" i="4"/>
  <c r="E158" i="4" s="1"/>
  <c r="I159" i="4"/>
  <c r="E159" i="4" s="1"/>
  <c r="I160" i="4"/>
  <c r="E160" i="4" s="1"/>
  <c r="I161" i="4"/>
  <c r="E161" i="4" s="1"/>
  <c r="I162" i="4"/>
  <c r="E162" i="4" s="1"/>
  <c r="I163" i="4"/>
  <c r="E163" i="4" s="1"/>
  <c r="I164" i="4"/>
  <c r="E164" i="4" s="1"/>
  <c r="I165" i="4"/>
  <c r="E165" i="4" s="1"/>
  <c r="I166" i="4"/>
  <c r="E166" i="4" s="1"/>
  <c r="I167" i="4"/>
  <c r="E167" i="4" s="1"/>
  <c r="I168" i="4"/>
  <c r="E168" i="4" s="1"/>
  <c r="I169" i="4"/>
  <c r="E169" i="4" s="1"/>
  <c r="I170" i="4"/>
  <c r="E170" i="4" s="1"/>
  <c r="I171" i="4"/>
  <c r="E171" i="4" s="1"/>
  <c r="I172" i="4"/>
  <c r="E172" i="4" s="1"/>
  <c r="I173" i="4"/>
  <c r="E173" i="4" s="1"/>
  <c r="I174" i="4"/>
  <c r="E174" i="4" s="1"/>
  <c r="I175" i="4"/>
  <c r="E175" i="4" s="1"/>
  <c r="I176" i="4"/>
  <c r="E176" i="4" s="1"/>
  <c r="I177" i="4"/>
  <c r="E177" i="4" s="1"/>
  <c r="I178" i="4"/>
  <c r="E178" i="4" s="1"/>
  <c r="I179" i="4"/>
  <c r="E179" i="4" s="1"/>
  <c r="I180" i="4"/>
  <c r="E180" i="4" s="1"/>
  <c r="I181" i="4"/>
  <c r="E181" i="4" s="1"/>
  <c r="I182" i="4"/>
  <c r="E182" i="4" s="1"/>
  <c r="I183" i="4"/>
  <c r="E183" i="4" s="1"/>
  <c r="I184" i="4"/>
  <c r="E184" i="4" s="1"/>
  <c r="I185" i="4"/>
  <c r="I186" i="4"/>
  <c r="I187" i="4"/>
  <c r="E187" i="4" s="1"/>
  <c r="I188" i="4"/>
  <c r="E188" i="4" s="1"/>
  <c r="I189" i="4"/>
  <c r="E189" i="4" s="1"/>
  <c r="I190" i="4"/>
  <c r="E190" i="4" s="1"/>
  <c r="I191" i="4"/>
  <c r="E191" i="4" s="1"/>
  <c r="I192" i="4"/>
  <c r="E192" i="4" s="1"/>
  <c r="I193" i="4"/>
  <c r="E193" i="4" s="1"/>
  <c r="I194" i="4"/>
  <c r="E194" i="4" s="1"/>
  <c r="I195" i="4"/>
  <c r="E195" i="4" s="1"/>
  <c r="I196" i="4"/>
  <c r="E196" i="4" s="1"/>
  <c r="I197" i="4"/>
  <c r="E197" i="4" s="1"/>
  <c r="I198" i="4"/>
  <c r="E198" i="4" s="1"/>
  <c r="I199" i="4"/>
  <c r="E199" i="4" s="1"/>
  <c r="I200" i="4"/>
  <c r="E200" i="4" s="1"/>
  <c r="I201" i="4"/>
  <c r="E201" i="4" s="1"/>
  <c r="I202" i="4"/>
  <c r="E202" i="4" s="1"/>
  <c r="I203" i="4"/>
  <c r="E203" i="4" s="1"/>
  <c r="I204" i="4"/>
  <c r="E204" i="4" s="1"/>
  <c r="I205" i="4"/>
  <c r="E205" i="4" s="1"/>
  <c r="I206" i="4"/>
  <c r="E206" i="4" s="1"/>
  <c r="I207" i="4"/>
  <c r="E207" i="4" s="1"/>
  <c r="I208" i="4"/>
  <c r="E208" i="4" s="1"/>
  <c r="I209" i="4"/>
  <c r="E209" i="4" s="1"/>
  <c r="I210" i="4"/>
  <c r="E210" i="4" s="1"/>
  <c r="I211" i="4"/>
  <c r="E211" i="4" s="1"/>
  <c r="I212" i="4"/>
  <c r="E212" i="4" s="1"/>
  <c r="I213" i="4"/>
  <c r="E213" i="4" s="1"/>
  <c r="I214" i="4"/>
  <c r="E214" i="4" s="1"/>
  <c r="I215" i="4"/>
  <c r="E215" i="4" s="1"/>
  <c r="I216" i="4"/>
  <c r="E216" i="4" s="1"/>
  <c r="I217" i="4"/>
  <c r="E217" i="4" s="1"/>
  <c r="I218" i="4"/>
  <c r="E218" i="4" s="1"/>
  <c r="I219" i="4"/>
  <c r="E219" i="4" s="1"/>
  <c r="I220" i="4"/>
  <c r="E220" i="4" s="1"/>
  <c r="I221" i="4"/>
  <c r="E221" i="4" s="1"/>
  <c r="I222" i="4"/>
  <c r="E222" i="4" s="1"/>
  <c r="I223" i="4"/>
  <c r="E223" i="4" s="1"/>
  <c r="I224" i="4"/>
  <c r="E224" i="4" s="1"/>
  <c r="I225" i="4"/>
  <c r="E225" i="4" s="1"/>
  <c r="I226" i="4"/>
  <c r="E226" i="4" s="1"/>
  <c r="I227" i="4"/>
  <c r="E227" i="4" s="1"/>
  <c r="I228" i="4"/>
  <c r="E228" i="4" s="1"/>
  <c r="I229" i="4"/>
  <c r="E229" i="4" s="1"/>
  <c r="I230" i="4"/>
  <c r="E230" i="4" s="1"/>
  <c r="I231" i="4"/>
  <c r="E231" i="4" s="1"/>
  <c r="I232" i="4"/>
  <c r="E232" i="4" s="1"/>
  <c r="I233" i="4"/>
  <c r="E233" i="4" s="1"/>
  <c r="I234" i="4"/>
  <c r="E234" i="4" s="1"/>
  <c r="I235" i="4"/>
  <c r="E235" i="4" s="1"/>
  <c r="I236" i="4"/>
  <c r="E236" i="4" s="1"/>
  <c r="I237" i="4"/>
  <c r="E237" i="4" s="1"/>
  <c r="I238" i="4"/>
  <c r="E238" i="4" s="1"/>
  <c r="I239" i="4"/>
  <c r="E239" i="4" s="1"/>
  <c r="I240" i="4"/>
  <c r="E240" i="4" s="1"/>
  <c r="I241" i="4"/>
  <c r="E241" i="4" s="1"/>
  <c r="I242" i="4"/>
  <c r="E242" i="4" s="1"/>
  <c r="I243" i="4"/>
  <c r="E243" i="4" s="1"/>
  <c r="I244" i="4"/>
  <c r="E244" i="4" s="1"/>
  <c r="I245" i="4"/>
  <c r="E245" i="4" s="1"/>
  <c r="I246" i="4"/>
  <c r="E246" i="4" s="1"/>
  <c r="I247" i="4"/>
  <c r="E247" i="4" s="1"/>
  <c r="I248" i="4"/>
  <c r="E248" i="4" s="1"/>
  <c r="I249" i="4"/>
  <c r="E249" i="4" s="1"/>
  <c r="I250" i="4"/>
  <c r="E250" i="4" s="1"/>
  <c r="I251" i="4"/>
  <c r="E251" i="4" s="1"/>
  <c r="I252" i="4"/>
  <c r="E252" i="4" s="1"/>
  <c r="I253" i="4"/>
  <c r="E253" i="4" s="1"/>
  <c r="I254" i="4"/>
  <c r="E254" i="4" s="1"/>
  <c r="I255" i="4"/>
  <c r="E255" i="4" s="1"/>
  <c r="I256" i="4"/>
  <c r="E256" i="4" s="1"/>
  <c r="I257" i="4"/>
  <c r="E257" i="4" s="1"/>
  <c r="I258" i="4"/>
  <c r="E258" i="4" s="1"/>
  <c r="I259" i="4"/>
  <c r="E259" i="4" s="1"/>
  <c r="I260" i="4"/>
  <c r="E260" i="4" s="1"/>
  <c r="I261" i="4"/>
  <c r="E261" i="4" s="1"/>
  <c r="I262" i="4"/>
  <c r="E262" i="4" s="1"/>
  <c r="I263" i="4"/>
  <c r="E263" i="4" s="1"/>
  <c r="I264" i="4"/>
  <c r="E264" i="4" s="1"/>
  <c r="I265" i="4"/>
  <c r="E265" i="4" s="1"/>
  <c r="I266" i="4"/>
  <c r="E266" i="4" s="1"/>
  <c r="I267" i="4"/>
  <c r="E267" i="4" s="1"/>
  <c r="I268" i="4"/>
  <c r="E268" i="4" s="1"/>
  <c r="I269" i="4"/>
  <c r="E269" i="4" s="1"/>
  <c r="I270" i="4"/>
  <c r="E270" i="4" s="1"/>
  <c r="I271" i="4"/>
  <c r="E271" i="4" s="1"/>
  <c r="I272" i="4"/>
  <c r="E272" i="4" s="1"/>
  <c r="I273" i="4"/>
  <c r="E273" i="4" s="1"/>
  <c r="I274" i="4"/>
  <c r="E274" i="4" s="1"/>
  <c r="I275" i="4"/>
  <c r="E275" i="4" s="1"/>
  <c r="I276" i="4"/>
  <c r="E276" i="4" s="1"/>
  <c r="I277" i="4"/>
  <c r="E277" i="4" s="1"/>
  <c r="I278" i="4"/>
  <c r="E278" i="4" s="1"/>
  <c r="I279" i="4"/>
  <c r="E279" i="4" s="1"/>
  <c r="I280" i="4"/>
  <c r="E280" i="4" s="1"/>
  <c r="I281" i="4"/>
  <c r="E281" i="4" s="1"/>
  <c r="I282" i="4"/>
  <c r="E282" i="4" s="1"/>
  <c r="I283" i="4"/>
  <c r="E283" i="4" s="1"/>
  <c r="I284" i="4"/>
  <c r="E284" i="4" s="1"/>
  <c r="I285" i="4"/>
  <c r="E285" i="4" s="1"/>
  <c r="I286" i="4"/>
  <c r="E286" i="4" s="1"/>
  <c r="I287" i="4"/>
  <c r="E287" i="4" s="1"/>
  <c r="I288" i="4"/>
  <c r="E288" i="4" s="1"/>
  <c r="I289" i="4"/>
  <c r="E289" i="4" s="1"/>
  <c r="I290" i="4"/>
  <c r="E290" i="4" s="1"/>
  <c r="I291" i="4"/>
  <c r="E291" i="4" s="1"/>
  <c r="I292" i="4"/>
  <c r="E292" i="4" s="1"/>
  <c r="I293" i="4"/>
  <c r="E293" i="4" s="1"/>
  <c r="I294" i="4"/>
  <c r="E294" i="4" s="1"/>
  <c r="I295" i="4"/>
  <c r="E295" i="4" s="1"/>
  <c r="I296" i="4"/>
  <c r="E296" i="4" s="1"/>
  <c r="I297" i="4"/>
  <c r="E297" i="4" s="1"/>
  <c r="I298" i="4"/>
  <c r="E298" i="4" s="1"/>
  <c r="I299" i="4"/>
  <c r="E299" i="4" s="1"/>
  <c r="I300" i="4"/>
  <c r="E300" i="4" s="1"/>
  <c r="I301" i="4"/>
  <c r="E301" i="4" s="1"/>
  <c r="I302" i="4"/>
  <c r="E302" i="4" s="1"/>
  <c r="I303" i="4"/>
  <c r="E303" i="4" s="1"/>
  <c r="I304" i="4"/>
  <c r="E304" i="4" s="1"/>
  <c r="I305" i="4"/>
  <c r="E305" i="4" s="1"/>
  <c r="I306" i="4"/>
  <c r="E306" i="4" s="1"/>
  <c r="I307" i="4"/>
  <c r="E307" i="4" s="1"/>
  <c r="I308" i="4"/>
  <c r="E308" i="4" s="1"/>
  <c r="I309" i="4"/>
  <c r="E309" i="4" s="1"/>
  <c r="I310" i="4"/>
  <c r="E310" i="4" s="1"/>
  <c r="I311" i="4"/>
  <c r="E311" i="4" s="1"/>
  <c r="I312" i="4"/>
  <c r="E312" i="4" s="1"/>
  <c r="I313" i="4"/>
  <c r="E313" i="4" s="1"/>
  <c r="I314" i="4"/>
  <c r="E314" i="4" s="1"/>
  <c r="I315" i="4"/>
  <c r="E315" i="4" s="1"/>
  <c r="I316" i="4"/>
  <c r="E316" i="4" s="1"/>
  <c r="I317" i="4"/>
  <c r="E317" i="4" s="1"/>
  <c r="I318" i="4"/>
  <c r="E318" i="4" s="1"/>
  <c r="I319" i="4"/>
  <c r="E319" i="4" s="1"/>
  <c r="I320" i="4"/>
  <c r="E320" i="4" s="1"/>
  <c r="I321" i="4"/>
  <c r="E321" i="4" s="1"/>
  <c r="I322" i="4"/>
  <c r="E322" i="4" s="1"/>
  <c r="I323" i="4"/>
  <c r="E323" i="4" s="1"/>
  <c r="I324" i="4"/>
  <c r="E324" i="4" s="1"/>
  <c r="I325" i="4"/>
  <c r="E325" i="4" s="1"/>
  <c r="I326" i="4"/>
  <c r="E326" i="4" s="1"/>
  <c r="I327" i="4"/>
  <c r="E327" i="4" s="1"/>
  <c r="I328" i="4"/>
  <c r="E328" i="4" s="1"/>
  <c r="I329" i="4"/>
  <c r="E329" i="4" s="1"/>
  <c r="I330" i="4"/>
  <c r="E330" i="4" s="1"/>
  <c r="I331" i="4"/>
  <c r="E331" i="4" s="1"/>
  <c r="I332" i="4"/>
  <c r="E332" i="4" s="1"/>
  <c r="I333" i="4"/>
  <c r="E333" i="4" s="1"/>
  <c r="I334" i="4"/>
  <c r="E334" i="4" s="1"/>
  <c r="I335" i="4"/>
  <c r="E335" i="4" s="1"/>
  <c r="I336" i="4"/>
  <c r="E336" i="4" s="1"/>
  <c r="I337" i="4"/>
  <c r="E337" i="4" s="1"/>
  <c r="I338" i="4"/>
  <c r="E338" i="4" s="1"/>
  <c r="I339" i="4"/>
  <c r="E339" i="4" s="1"/>
  <c r="I340" i="4"/>
  <c r="E340" i="4" s="1"/>
  <c r="I341" i="4"/>
  <c r="E341" i="4" s="1"/>
  <c r="I342" i="4"/>
  <c r="E342" i="4" s="1"/>
  <c r="I343" i="4"/>
  <c r="E343" i="4" s="1"/>
  <c r="I344" i="4"/>
  <c r="E344" i="4" s="1"/>
  <c r="I345" i="4"/>
  <c r="E345" i="4" s="1"/>
  <c r="I346" i="4"/>
  <c r="E346" i="4" s="1"/>
  <c r="I347" i="4"/>
  <c r="E347" i="4" s="1"/>
  <c r="I348" i="4"/>
  <c r="E348" i="4" s="1"/>
  <c r="I349" i="4"/>
  <c r="E349" i="4" s="1"/>
  <c r="I350" i="4"/>
  <c r="E350" i="4" s="1"/>
  <c r="I351" i="4"/>
  <c r="E351" i="4" s="1"/>
  <c r="I352" i="4"/>
  <c r="E352" i="4" s="1"/>
  <c r="I353" i="4"/>
  <c r="E353" i="4" s="1"/>
  <c r="I354" i="4"/>
  <c r="E354" i="4" s="1"/>
  <c r="I355" i="4"/>
  <c r="E355" i="4" s="1"/>
  <c r="I356" i="4"/>
  <c r="E356" i="4" s="1"/>
  <c r="I357" i="4"/>
  <c r="E357" i="4" s="1"/>
  <c r="I358" i="4"/>
  <c r="E358" i="4" s="1"/>
  <c r="I359" i="4"/>
  <c r="E359" i="4" s="1"/>
  <c r="I360" i="4"/>
  <c r="E360" i="4" s="1"/>
  <c r="I361" i="4"/>
  <c r="E361" i="4" s="1"/>
  <c r="I362" i="4"/>
  <c r="E362" i="4" s="1"/>
  <c r="I363" i="4"/>
  <c r="E363" i="4" s="1"/>
  <c r="I364" i="4"/>
  <c r="E364" i="4" s="1"/>
  <c r="I365" i="4"/>
  <c r="E365" i="4" s="1"/>
  <c r="I366" i="4"/>
  <c r="E366" i="4" s="1"/>
  <c r="I367" i="4"/>
  <c r="E367" i="4" s="1"/>
  <c r="I368" i="4"/>
  <c r="E368" i="4" s="1"/>
  <c r="I369" i="4"/>
  <c r="E369" i="4" s="1"/>
  <c r="I370" i="4"/>
  <c r="E370" i="4" s="1"/>
  <c r="I371" i="4"/>
  <c r="E371" i="4" s="1"/>
  <c r="I372" i="4"/>
  <c r="E372" i="4" s="1"/>
  <c r="I373" i="4"/>
  <c r="E373" i="4" s="1"/>
  <c r="I374" i="4"/>
  <c r="E374" i="4" s="1"/>
  <c r="I375" i="4"/>
  <c r="E375" i="4" s="1"/>
  <c r="I376" i="4"/>
  <c r="E376" i="4" s="1"/>
  <c r="I377" i="4"/>
  <c r="E377" i="4" s="1"/>
  <c r="I378" i="4"/>
  <c r="E378" i="4" s="1"/>
  <c r="I379" i="4"/>
  <c r="E379" i="4" s="1"/>
  <c r="I380" i="4"/>
  <c r="E380" i="4" s="1"/>
  <c r="I381" i="4"/>
  <c r="E381" i="4" s="1"/>
  <c r="I382" i="4"/>
  <c r="E382" i="4" s="1"/>
  <c r="I383" i="4"/>
  <c r="E383" i="4" s="1"/>
  <c r="I384" i="4"/>
  <c r="E384" i="4" s="1"/>
  <c r="I385" i="4"/>
  <c r="E385" i="4" s="1"/>
  <c r="I386" i="4"/>
  <c r="E386" i="4" s="1"/>
  <c r="I387" i="4"/>
  <c r="E387" i="4" s="1"/>
  <c r="I388" i="4"/>
  <c r="E388" i="4" s="1"/>
  <c r="I389" i="4"/>
  <c r="E389" i="4" s="1"/>
  <c r="I390" i="4"/>
  <c r="E390" i="4" s="1"/>
  <c r="I391" i="4"/>
  <c r="E391" i="4" s="1"/>
  <c r="I392" i="4"/>
  <c r="E392" i="4" s="1"/>
  <c r="I393" i="4"/>
  <c r="E393" i="4" s="1"/>
  <c r="I394" i="4"/>
  <c r="E394" i="4" s="1"/>
  <c r="I395" i="4"/>
  <c r="E395" i="4" s="1"/>
  <c r="I396" i="4"/>
  <c r="E396" i="4" s="1"/>
  <c r="I397" i="4"/>
  <c r="E397" i="4" s="1"/>
  <c r="I398" i="4"/>
  <c r="E398" i="4" s="1"/>
  <c r="I399" i="4"/>
  <c r="E399" i="4" s="1"/>
  <c r="I400" i="4"/>
  <c r="E400" i="4" s="1"/>
  <c r="I401" i="4"/>
  <c r="E401" i="4" s="1"/>
  <c r="I402" i="4"/>
  <c r="E402" i="4" s="1"/>
  <c r="I403" i="4"/>
  <c r="E403" i="4" s="1"/>
  <c r="I404" i="4"/>
  <c r="E404" i="4" s="1"/>
  <c r="I405" i="4"/>
  <c r="E405" i="4" s="1"/>
  <c r="I406" i="4"/>
  <c r="E406" i="4" s="1"/>
  <c r="I407" i="4"/>
  <c r="E407" i="4" s="1"/>
  <c r="I408" i="4"/>
  <c r="E408" i="4" s="1"/>
  <c r="I409" i="4"/>
  <c r="E409" i="4" s="1"/>
  <c r="I410" i="4"/>
  <c r="E410" i="4" s="1"/>
  <c r="I411" i="4"/>
  <c r="E411" i="4" s="1"/>
  <c r="I412" i="4"/>
  <c r="E412" i="4" s="1"/>
  <c r="I413" i="4"/>
  <c r="E413" i="4" s="1"/>
  <c r="I414" i="4"/>
  <c r="E414" i="4" s="1"/>
  <c r="I415" i="4"/>
  <c r="E415" i="4" s="1"/>
  <c r="I416" i="4"/>
  <c r="E416" i="4" s="1"/>
  <c r="I417" i="4"/>
  <c r="E417" i="4" s="1"/>
  <c r="I418" i="4"/>
  <c r="E418" i="4" s="1"/>
  <c r="I419" i="4"/>
  <c r="E419" i="4" s="1"/>
  <c r="I420" i="4"/>
  <c r="E420" i="4" s="1"/>
  <c r="I421" i="4"/>
  <c r="E421" i="4" s="1"/>
  <c r="I422" i="4"/>
  <c r="E422" i="4" s="1"/>
  <c r="I423" i="4"/>
  <c r="E423" i="4" s="1"/>
  <c r="I424" i="4"/>
  <c r="E424" i="4" s="1"/>
  <c r="I425" i="4"/>
  <c r="E425" i="4" s="1"/>
  <c r="I426" i="4"/>
  <c r="E426" i="4" s="1"/>
  <c r="I427" i="4"/>
  <c r="E427" i="4" s="1"/>
  <c r="I428" i="4"/>
  <c r="E428" i="4" s="1"/>
  <c r="I429" i="4"/>
  <c r="E429" i="4" s="1"/>
  <c r="I430" i="4"/>
  <c r="E430" i="4" s="1"/>
  <c r="I431" i="4"/>
  <c r="E431" i="4" s="1"/>
  <c r="I432" i="4"/>
  <c r="E432" i="4" s="1"/>
  <c r="I433" i="4"/>
  <c r="E433" i="4" s="1"/>
  <c r="I434" i="4"/>
  <c r="E434" i="4" s="1"/>
  <c r="I435" i="4"/>
  <c r="E435" i="4" s="1"/>
  <c r="I436" i="4"/>
  <c r="E436" i="4" s="1"/>
  <c r="I437" i="4"/>
  <c r="E437" i="4" s="1"/>
  <c r="I438" i="4"/>
  <c r="E438" i="4" s="1"/>
  <c r="I439" i="4"/>
  <c r="E439" i="4" s="1"/>
  <c r="I440" i="4"/>
  <c r="E440" i="4" s="1"/>
  <c r="I441" i="4"/>
  <c r="E441" i="4" s="1"/>
  <c r="I442" i="4"/>
  <c r="E442" i="4" s="1"/>
  <c r="I443" i="4"/>
  <c r="E443" i="4" s="1"/>
  <c r="I444" i="4"/>
  <c r="E444" i="4" s="1"/>
  <c r="I445" i="4"/>
  <c r="E445" i="4" s="1"/>
  <c r="I446" i="4"/>
  <c r="E446" i="4" s="1"/>
  <c r="I447" i="4"/>
  <c r="E447" i="4" s="1"/>
  <c r="I448" i="4"/>
  <c r="E448" i="4" s="1"/>
  <c r="I449" i="4"/>
  <c r="E449" i="4" s="1"/>
  <c r="I450" i="4"/>
  <c r="E450" i="4" s="1"/>
  <c r="I451" i="4"/>
  <c r="E451" i="4" s="1"/>
  <c r="I452" i="4"/>
  <c r="E452" i="4" s="1"/>
  <c r="I453" i="4"/>
  <c r="E453" i="4" s="1"/>
  <c r="I454" i="4"/>
  <c r="E454" i="4" s="1"/>
  <c r="I455" i="4"/>
  <c r="E455" i="4" s="1"/>
  <c r="I456" i="4"/>
  <c r="E456" i="4" s="1"/>
  <c r="I457" i="4"/>
  <c r="E457" i="4" s="1"/>
  <c r="I458" i="4"/>
  <c r="E458" i="4" s="1"/>
  <c r="I459" i="4"/>
  <c r="E459" i="4" s="1"/>
  <c r="I460" i="4"/>
  <c r="E460" i="4" s="1"/>
  <c r="I461" i="4"/>
  <c r="E461" i="4" s="1"/>
  <c r="I462" i="4"/>
  <c r="E462" i="4" s="1"/>
  <c r="I463" i="4"/>
  <c r="E463" i="4" s="1"/>
  <c r="I464" i="4"/>
  <c r="E464" i="4" s="1"/>
  <c r="I465" i="4"/>
  <c r="E465" i="4" s="1"/>
  <c r="I466" i="4"/>
  <c r="E466" i="4" s="1"/>
  <c r="I467" i="4"/>
  <c r="E467" i="4" s="1"/>
  <c r="I468" i="4"/>
  <c r="E468" i="4" s="1"/>
  <c r="I469" i="4"/>
  <c r="E469" i="4" s="1"/>
  <c r="I470" i="4"/>
  <c r="E470" i="4" s="1"/>
  <c r="I471" i="4"/>
  <c r="E471" i="4" s="1"/>
  <c r="I472" i="4"/>
  <c r="E472" i="4" s="1"/>
  <c r="I473" i="4"/>
  <c r="E473" i="4" s="1"/>
  <c r="I474" i="4"/>
  <c r="E474" i="4" s="1"/>
  <c r="I475" i="4"/>
  <c r="E475" i="4" s="1"/>
  <c r="I476" i="4"/>
  <c r="E476" i="4" s="1"/>
  <c r="I477" i="4"/>
  <c r="E477" i="4" s="1"/>
  <c r="I478" i="4"/>
  <c r="E478" i="4" s="1"/>
  <c r="I479" i="4"/>
  <c r="E479" i="4" s="1"/>
  <c r="I480" i="4"/>
  <c r="E480" i="4" s="1"/>
  <c r="I481" i="4"/>
  <c r="E481" i="4" s="1"/>
  <c r="I482" i="4"/>
  <c r="E482" i="4" s="1"/>
  <c r="I483" i="4"/>
  <c r="E483" i="4" s="1"/>
  <c r="I484" i="4"/>
  <c r="E484" i="4" s="1"/>
  <c r="I485" i="4"/>
  <c r="E485" i="4" s="1"/>
  <c r="I486" i="4"/>
  <c r="E486" i="4" s="1"/>
  <c r="I487" i="4"/>
  <c r="E487" i="4" s="1"/>
  <c r="I488" i="4"/>
  <c r="E488" i="4" s="1"/>
  <c r="I489" i="4"/>
  <c r="E489" i="4" s="1"/>
  <c r="I490" i="4"/>
  <c r="E490" i="4" s="1"/>
  <c r="I491" i="4"/>
  <c r="E491" i="4" s="1"/>
  <c r="I492" i="4"/>
  <c r="E492" i="4" s="1"/>
  <c r="I493" i="4"/>
  <c r="E493" i="4" s="1"/>
  <c r="I494" i="4"/>
  <c r="E494" i="4" s="1"/>
  <c r="I495" i="4"/>
  <c r="E495" i="4" s="1"/>
  <c r="I496" i="4"/>
  <c r="E496" i="4" s="1"/>
  <c r="I497" i="4"/>
  <c r="E497" i="4" s="1"/>
  <c r="I498" i="4"/>
  <c r="E498" i="4" s="1"/>
  <c r="I499" i="4"/>
  <c r="E499" i="4" s="1"/>
  <c r="I500" i="4"/>
  <c r="E500" i="4" s="1"/>
  <c r="I501" i="4"/>
  <c r="E501" i="4" s="1"/>
  <c r="I502" i="4"/>
  <c r="E502" i="4" s="1"/>
  <c r="I503" i="4"/>
  <c r="E503" i="4" s="1"/>
  <c r="I504" i="4"/>
  <c r="E504" i="4" s="1"/>
  <c r="I505" i="4"/>
  <c r="E505" i="4" s="1"/>
  <c r="I506" i="4"/>
  <c r="E506" i="4" s="1"/>
  <c r="I507" i="4"/>
  <c r="E507" i="4" s="1"/>
  <c r="I508" i="4"/>
  <c r="E508" i="4" s="1"/>
  <c r="I509" i="4"/>
  <c r="E509" i="4" s="1"/>
  <c r="I510" i="4"/>
  <c r="E510" i="4" s="1"/>
  <c r="I511" i="4"/>
  <c r="E511" i="4" s="1"/>
  <c r="I512" i="4"/>
  <c r="E512" i="4" s="1"/>
  <c r="I513" i="4"/>
  <c r="E513" i="4" s="1"/>
  <c r="I514" i="4"/>
  <c r="E514" i="4" s="1"/>
  <c r="I515" i="4"/>
  <c r="E515" i="4" s="1"/>
  <c r="I516" i="4"/>
  <c r="E516" i="4" s="1"/>
  <c r="I517" i="4"/>
  <c r="E517" i="4" s="1"/>
  <c r="I518" i="4"/>
  <c r="E518" i="4" s="1"/>
  <c r="I519" i="4"/>
  <c r="E519" i="4" s="1"/>
  <c r="I520" i="4"/>
  <c r="E520" i="4" s="1"/>
  <c r="I521" i="4"/>
  <c r="E521" i="4" s="1"/>
  <c r="I522" i="4"/>
  <c r="E522" i="4" s="1"/>
  <c r="I523" i="4"/>
  <c r="E523" i="4" s="1"/>
  <c r="I524" i="4"/>
  <c r="E524" i="4" s="1"/>
  <c r="I525" i="4"/>
  <c r="E525" i="4" s="1"/>
  <c r="I526" i="4"/>
  <c r="E526" i="4" s="1"/>
  <c r="I527" i="4"/>
  <c r="E527" i="4" s="1"/>
  <c r="I528" i="4"/>
  <c r="E528" i="4" s="1"/>
  <c r="I529" i="4"/>
  <c r="E529" i="4" s="1"/>
  <c r="I530" i="4"/>
  <c r="E530" i="4" s="1"/>
  <c r="I531" i="4"/>
  <c r="E531" i="4" s="1"/>
  <c r="I532" i="4"/>
  <c r="E532" i="4" s="1"/>
  <c r="I533" i="4"/>
  <c r="E533" i="4" s="1"/>
  <c r="I534" i="4"/>
  <c r="E534" i="4" s="1"/>
  <c r="I535" i="4"/>
  <c r="E535" i="4" s="1"/>
  <c r="I536" i="4"/>
  <c r="E536" i="4" s="1"/>
  <c r="I537" i="4"/>
  <c r="E537" i="4" s="1"/>
  <c r="I538" i="4"/>
  <c r="E538" i="4" s="1"/>
  <c r="I539" i="4"/>
  <c r="E539" i="4" s="1"/>
  <c r="I540" i="4"/>
  <c r="E540" i="4" s="1"/>
  <c r="I541" i="4"/>
  <c r="E541" i="4" s="1"/>
  <c r="I542" i="4"/>
  <c r="E542" i="4" s="1"/>
  <c r="I543" i="4"/>
  <c r="E543" i="4" s="1"/>
  <c r="I544" i="4"/>
  <c r="E544" i="4" s="1"/>
  <c r="I545" i="4"/>
  <c r="E545" i="4" s="1"/>
  <c r="I546" i="4"/>
  <c r="E546" i="4" s="1"/>
  <c r="I547" i="4"/>
  <c r="E547" i="4" s="1"/>
  <c r="I548" i="4"/>
  <c r="E548" i="4" s="1"/>
  <c r="I549" i="4"/>
  <c r="E549" i="4" s="1"/>
  <c r="I550" i="4"/>
  <c r="E550" i="4" s="1"/>
  <c r="I551" i="4"/>
  <c r="E551" i="4" s="1"/>
  <c r="I552" i="4"/>
  <c r="E552" i="4" s="1"/>
  <c r="I553" i="4"/>
  <c r="E553" i="4" s="1"/>
  <c r="I554" i="4"/>
  <c r="E554" i="4" s="1"/>
  <c r="I555" i="4"/>
  <c r="E555" i="4" s="1"/>
  <c r="I556" i="4"/>
  <c r="E556" i="4" s="1"/>
  <c r="I557" i="4"/>
  <c r="E557" i="4" s="1"/>
  <c r="I558" i="4"/>
  <c r="E558" i="4" s="1"/>
  <c r="I559" i="4"/>
  <c r="E559" i="4" s="1"/>
  <c r="I560" i="4"/>
  <c r="E560" i="4" s="1"/>
  <c r="I561" i="4"/>
  <c r="E561" i="4" s="1"/>
  <c r="I562" i="4"/>
  <c r="E562" i="4" s="1"/>
  <c r="I563" i="4"/>
  <c r="E563" i="4" s="1"/>
  <c r="I564" i="4"/>
  <c r="E564" i="4" s="1"/>
  <c r="I565" i="4"/>
  <c r="E565" i="4" s="1"/>
  <c r="I566" i="4"/>
  <c r="E566" i="4" s="1"/>
  <c r="I567" i="4"/>
  <c r="E567" i="4" s="1"/>
  <c r="I568" i="4"/>
  <c r="E568" i="4" s="1"/>
  <c r="I569" i="4"/>
  <c r="E569" i="4" s="1"/>
  <c r="I570" i="4"/>
  <c r="E570" i="4" s="1"/>
  <c r="I571" i="4"/>
  <c r="E571" i="4" s="1"/>
  <c r="I572" i="4"/>
  <c r="E572" i="4" s="1"/>
  <c r="I573" i="4"/>
  <c r="E573" i="4" s="1"/>
  <c r="I574" i="4"/>
  <c r="E574" i="4" s="1"/>
  <c r="I575" i="4"/>
  <c r="E575" i="4" s="1"/>
  <c r="I576" i="4"/>
  <c r="E576" i="4" s="1"/>
  <c r="I577" i="4"/>
  <c r="E577" i="4" s="1"/>
  <c r="I578" i="4"/>
  <c r="E578" i="4" s="1"/>
  <c r="I579" i="4"/>
  <c r="E579" i="4" s="1"/>
  <c r="I580" i="4"/>
  <c r="E580" i="4" s="1"/>
  <c r="I581" i="4"/>
  <c r="E581" i="4" s="1"/>
  <c r="I582" i="4"/>
  <c r="E582" i="4" s="1"/>
  <c r="I583" i="4"/>
  <c r="E583" i="4" s="1"/>
  <c r="I584" i="4"/>
  <c r="E584" i="4" s="1"/>
  <c r="I585" i="4"/>
  <c r="E585" i="4" s="1"/>
  <c r="I586" i="4"/>
  <c r="E586" i="4" s="1"/>
  <c r="I587" i="4"/>
  <c r="E587" i="4" s="1"/>
  <c r="I588" i="4"/>
  <c r="E588" i="4" s="1"/>
  <c r="I589" i="4"/>
  <c r="E589" i="4" s="1"/>
  <c r="I590" i="4"/>
  <c r="E590" i="4" s="1"/>
  <c r="I591" i="4"/>
  <c r="E591" i="4" s="1"/>
  <c r="I592" i="4"/>
  <c r="E592" i="4" s="1"/>
  <c r="I593" i="4"/>
  <c r="E593" i="4" s="1"/>
  <c r="I594" i="4"/>
  <c r="E594" i="4" s="1"/>
  <c r="I595" i="4"/>
  <c r="E595" i="4" s="1"/>
  <c r="I596" i="4"/>
  <c r="E596" i="4" s="1"/>
  <c r="I597" i="4"/>
  <c r="E597" i="4" s="1"/>
  <c r="I598" i="4"/>
  <c r="E598" i="4" s="1"/>
  <c r="I599" i="4"/>
  <c r="E599" i="4" s="1"/>
  <c r="I600" i="4"/>
  <c r="E600" i="4" s="1"/>
  <c r="I601" i="4"/>
  <c r="E601" i="4" s="1"/>
  <c r="I602" i="4"/>
  <c r="E602" i="4" s="1"/>
  <c r="I603" i="4"/>
  <c r="E603" i="4" s="1"/>
  <c r="I604" i="4"/>
  <c r="E604" i="4" s="1"/>
  <c r="I605" i="4"/>
  <c r="E605" i="4" s="1"/>
  <c r="I606" i="4"/>
  <c r="E606" i="4" s="1"/>
  <c r="I607" i="4"/>
  <c r="E607" i="4" s="1"/>
  <c r="I608" i="4"/>
  <c r="E608" i="4" s="1"/>
  <c r="I609" i="4"/>
  <c r="E609" i="4" s="1"/>
  <c r="I610" i="4"/>
  <c r="E610" i="4" s="1"/>
  <c r="I611" i="4"/>
  <c r="E611" i="4" s="1"/>
  <c r="I612" i="4"/>
  <c r="E612" i="4" s="1"/>
  <c r="I613" i="4"/>
  <c r="E613" i="4" s="1"/>
  <c r="I614" i="4"/>
  <c r="E614" i="4" s="1"/>
  <c r="I615" i="4"/>
  <c r="E615" i="4" s="1"/>
  <c r="I616" i="4"/>
  <c r="E616" i="4" s="1"/>
  <c r="I617" i="4"/>
  <c r="E617" i="4" s="1"/>
  <c r="I618" i="4"/>
  <c r="E618" i="4" s="1"/>
  <c r="I619" i="4"/>
  <c r="E619" i="4" s="1"/>
  <c r="I620" i="4"/>
  <c r="E620" i="4" s="1"/>
  <c r="I621" i="4"/>
  <c r="E621" i="4" s="1"/>
  <c r="I622" i="4"/>
  <c r="E622" i="4" s="1"/>
  <c r="I623" i="4"/>
  <c r="E623" i="4" s="1"/>
  <c r="I624" i="4"/>
  <c r="E624" i="4" s="1"/>
  <c r="I625" i="4"/>
  <c r="E625" i="4" s="1"/>
  <c r="I626" i="4"/>
  <c r="E626" i="4" s="1"/>
  <c r="I627" i="4"/>
  <c r="E627" i="4" s="1"/>
  <c r="I628" i="4"/>
  <c r="E628" i="4" s="1"/>
  <c r="I629" i="4"/>
  <c r="E629" i="4" s="1"/>
  <c r="I630" i="4"/>
  <c r="E630" i="4" s="1"/>
  <c r="I631" i="4"/>
  <c r="E631" i="4" s="1"/>
  <c r="I632" i="4"/>
  <c r="E632" i="4" s="1"/>
  <c r="I633" i="4"/>
  <c r="E633" i="4" s="1"/>
  <c r="I634" i="4"/>
  <c r="E634" i="4" s="1"/>
  <c r="I635" i="4"/>
  <c r="E635" i="4" s="1"/>
  <c r="I636" i="4"/>
  <c r="E636" i="4" s="1"/>
  <c r="I637" i="4"/>
  <c r="E637" i="4" s="1"/>
  <c r="I638" i="4"/>
  <c r="E638" i="4" s="1"/>
  <c r="I639" i="4"/>
  <c r="E639" i="4" s="1"/>
  <c r="I640" i="4"/>
  <c r="E640" i="4" s="1"/>
  <c r="I641" i="4"/>
  <c r="E641" i="4" s="1"/>
  <c r="I642" i="4"/>
  <c r="E642" i="4" s="1"/>
  <c r="I643" i="4"/>
  <c r="E643" i="4" s="1"/>
  <c r="I644" i="4"/>
  <c r="E644" i="4" s="1"/>
  <c r="I645" i="4"/>
  <c r="E645" i="4" s="1"/>
  <c r="I646" i="4"/>
  <c r="E646" i="4" s="1"/>
  <c r="I647" i="4"/>
  <c r="E647" i="4" s="1"/>
  <c r="I648" i="4"/>
  <c r="E648" i="4" s="1"/>
  <c r="I649" i="4"/>
  <c r="E649" i="4" s="1"/>
  <c r="I650" i="4"/>
  <c r="E650" i="4" s="1"/>
  <c r="I651" i="4"/>
  <c r="E651" i="4" s="1"/>
  <c r="I652" i="4"/>
  <c r="E652" i="4" s="1"/>
  <c r="I653" i="4"/>
  <c r="E653" i="4" s="1"/>
  <c r="I654" i="4"/>
  <c r="E654" i="4" s="1"/>
  <c r="I655" i="4"/>
  <c r="E655" i="4" s="1"/>
  <c r="I656" i="4"/>
  <c r="E656" i="4" s="1"/>
  <c r="I657" i="4"/>
  <c r="E657" i="4" s="1"/>
  <c r="I658" i="4"/>
  <c r="E658" i="4" s="1"/>
  <c r="I659" i="4"/>
  <c r="E659" i="4" s="1"/>
  <c r="I660" i="4"/>
  <c r="E660" i="4" s="1"/>
  <c r="I661" i="4"/>
  <c r="E661" i="4" s="1"/>
  <c r="I662" i="4"/>
  <c r="E662" i="4" s="1"/>
  <c r="I663" i="4"/>
  <c r="E663" i="4" s="1"/>
  <c r="I664" i="4"/>
  <c r="E664" i="4" s="1"/>
  <c r="I665" i="4"/>
  <c r="E665" i="4" s="1"/>
  <c r="I666" i="4"/>
  <c r="E666" i="4" s="1"/>
  <c r="I667" i="4"/>
  <c r="E667" i="4" s="1"/>
  <c r="I668" i="4"/>
  <c r="E668" i="4" s="1"/>
  <c r="I669" i="4"/>
  <c r="E669" i="4" s="1"/>
  <c r="I670" i="4"/>
  <c r="E670" i="4" s="1"/>
  <c r="I671" i="4"/>
  <c r="E671" i="4" s="1"/>
  <c r="I672" i="4"/>
  <c r="E672" i="4" s="1"/>
  <c r="I673" i="4"/>
  <c r="E673" i="4" s="1"/>
  <c r="I674" i="4"/>
  <c r="E674" i="4" s="1"/>
  <c r="I675" i="4"/>
  <c r="E675" i="4" s="1"/>
  <c r="I676" i="4"/>
  <c r="E676" i="4" s="1"/>
  <c r="I677" i="4"/>
  <c r="E677" i="4" s="1"/>
  <c r="I678" i="4"/>
  <c r="E678" i="4" s="1"/>
  <c r="I679" i="4"/>
  <c r="E679" i="4" s="1"/>
  <c r="I680" i="4"/>
  <c r="E680" i="4" s="1"/>
  <c r="I681" i="4"/>
  <c r="E681" i="4" s="1"/>
  <c r="I682" i="4"/>
  <c r="E682" i="4" s="1"/>
  <c r="I683" i="4"/>
  <c r="E683" i="4" s="1"/>
  <c r="I684" i="4"/>
  <c r="E684" i="4" s="1"/>
  <c r="I685" i="4"/>
  <c r="E685" i="4" s="1"/>
  <c r="I686" i="4"/>
  <c r="E686" i="4" s="1"/>
  <c r="I687" i="4"/>
  <c r="E687" i="4" s="1"/>
  <c r="I688" i="4"/>
  <c r="E688" i="4" s="1"/>
  <c r="I689" i="4"/>
  <c r="E689" i="4" s="1"/>
  <c r="I690" i="4"/>
  <c r="E690" i="4" s="1"/>
  <c r="I691" i="4"/>
  <c r="E691" i="4" s="1"/>
  <c r="I692" i="4"/>
  <c r="E692" i="4" s="1"/>
  <c r="I693" i="4"/>
  <c r="E693" i="4" s="1"/>
  <c r="I694" i="4"/>
  <c r="E694" i="4" s="1"/>
  <c r="I695" i="4"/>
  <c r="E695" i="4" s="1"/>
  <c r="I696" i="4"/>
  <c r="I697" i="4"/>
  <c r="E697" i="4" s="1"/>
  <c r="I698" i="4"/>
  <c r="E698" i="4" s="1"/>
  <c r="I699" i="4"/>
  <c r="E699" i="4" s="1"/>
  <c r="I700" i="4"/>
  <c r="E700" i="4" s="1"/>
  <c r="I701" i="4"/>
  <c r="E701" i="4" s="1"/>
  <c r="I702" i="4"/>
  <c r="E702" i="4" s="1"/>
  <c r="I703" i="4"/>
  <c r="E703" i="4" s="1"/>
  <c r="I704" i="4"/>
  <c r="E704" i="4" s="1"/>
  <c r="I705" i="4"/>
  <c r="E705" i="4" s="1"/>
  <c r="I706" i="4"/>
  <c r="E706" i="4" s="1"/>
  <c r="I707" i="4"/>
  <c r="E707" i="4" s="1"/>
  <c r="I708" i="4"/>
  <c r="E708" i="4" s="1"/>
  <c r="I709" i="4"/>
  <c r="E709" i="4" s="1"/>
  <c r="I710" i="4"/>
  <c r="E710" i="4" s="1"/>
  <c r="I711" i="4"/>
  <c r="E711" i="4" s="1"/>
  <c r="I712" i="4"/>
  <c r="E712" i="4" s="1"/>
  <c r="I713" i="4"/>
  <c r="E713" i="4" s="1"/>
  <c r="I714" i="4"/>
  <c r="E714" i="4" s="1"/>
  <c r="I715" i="4"/>
  <c r="E715" i="4" s="1"/>
  <c r="I716" i="4"/>
  <c r="E716" i="4" s="1"/>
  <c r="I717" i="4"/>
  <c r="E717" i="4" s="1"/>
  <c r="I718" i="4"/>
  <c r="E718" i="4" s="1"/>
  <c r="I719" i="4"/>
  <c r="E719" i="4" s="1"/>
  <c r="I720" i="4"/>
  <c r="E720" i="4" s="1"/>
  <c r="I721" i="4"/>
  <c r="E721" i="4" s="1"/>
  <c r="I722" i="4"/>
  <c r="E722" i="4" s="1"/>
  <c r="I723" i="4"/>
  <c r="E723" i="4" s="1"/>
  <c r="I724" i="4"/>
  <c r="E724" i="4" s="1"/>
  <c r="I725" i="4"/>
  <c r="E725" i="4" s="1"/>
  <c r="I726" i="4"/>
  <c r="E726" i="4" s="1"/>
  <c r="I727" i="4"/>
  <c r="E727" i="4" s="1"/>
  <c r="I728" i="4"/>
  <c r="E728" i="4" s="1"/>
  <c r="I729" i="4"/>
  <c r="E729" i="4" s="1"/>
  <c r="I730" i="4"/>
  <c r="E730" i="4" s="1"/>
  <c r="I731" i="4"/>
  <c r="E731" i="4" s="1"/>
  <c r="I732" i="4"/>
  <c r="E732" i="4" s="1"/>
  <c r="I733" i="4"/>
  <c r="E733" i="4" s="1"/>
  <c r="I734" i="4"/>
  <c r="E734" i="4" s="1"/>
  <c r="I735" i="4"/>
  <c r="E735" i="4" s="1"/>
  <c r="I736" i="4"/>
  <c r="E736" i="4" s="1"/>
  <c r="I737" i="4"/>
  <c r="E737" i="4" s="1"/>
  <c r="I738" i="4"/>
  <c r="E738" i="4" s="1"/>
  <c r="I739" i="4"/>
  <c r="E739" i="4" s="1"/>
  <c r="I740" i="4"/>
  <c r="E740" i="4" s="1"/>
  <c r="I741" i="4"/>
  <c r="E741" i="4" s="1"/>
  <c r="I742" i="4"/>
  <c r="E742" i="4" s="1"/>
  <c r="I743" i="4"/>
  <c r="E743" i="4" s="1"/>
  <c r="I744" i="4"/>
  <c r="E744" i="4" s="1"/>
  <c r="I745" i="4"/>
  <c r="E745" i="4" s="1"/>
  <c r="I746" i="4"/>
  <c r="E746" i="4" s="1"/>
  <c r="I747" i="4"/>
  <c r="E747" i="4" s="1"/>
  <c r="I748" i="4"/>
  <c r="E748" i="4" s="1"/>
  <c r="I749" i="4"/>
  <c r="E749" i="4" s="1"/>
  <c r="I750" i="4"/>
  <c r="E750" i="4" s="1"/>
  <c r="I751" i="4"/>
  <c r="E751" i="4" s="1"/>
  <c r="I752" i="4"/>
  <c r="E752" i="4" s="1"/>
  <c r="I753" i="4"/>
  <c r="E753" i="4" s="1"/>
  <c r="I754" i="4"/>
  <c r="E754" i="4" s="1"/>
  <c r="I755" i="4"/>
  <c r="E755" i="4" s="1"/>
  <c r="I756" i="4"/>
  <c r="E756" i="4" s="1"/>
  <c r="I757" i="4"/>
  <c r="E757" i="4" s="1"/>
  <c r="I758" i="4"/>
  <c r="E758" i="4" s="1"/>
  <c r="I759" i="4"/>
  <c r="E759" i="4" s="1"/>
  <c r="I760" i="4"/>
  <c r="E760" i="4" s="1"/>
  <c r="I761" i="4"/>
  <c r="E761" i="4" s="1"/>
  <c r="I762" i="4"/>
  <c r="E762" i="4" s="1"/>
  <c r="I763" i="4"/>
  <c r="E763" i="4" s="1"/>
  <c r="I764" i="4"/>
  <c r="E764" i="4" s="1"/>
  <c r="I765" i="4"/>
  <c r="E765" i="4" s="1"/>
  <c r="I766" i="4"/>
  <c r="E766" i="4" s="1"/>
  <c r="I767" i="4"/>
  <c r="E767" i="4" s="1"/>
  <c r="I768" i="4"/>
  <c r="E768" i="4" s="1"/>
  <c r="I769" i="4"/>
  <c r="E769" i="4" s="1"/>
  <c r="I770" i="4"/>
  <c r="E770" i="4" s="1"/>
  <c r="I771" i="4"/>
  <c r="E771" i="4" s="1"/>
  <c r="I772" i="4"/>
  <c r="E772" i="4" s="1"/>
  <c r="I773" i="4"/>
  <c r="E773" i="4" s="1"/>
  <c r="I774" i="4"/>
  <c r="E774" i="4" s="1"/>
  <c r="I775" i="4"/>
  <c r="E775" i="4" s="1"/>
  <c r="I776" i="4"/>
  <c r="E776" i="4" s="1"/>
  <c r="I777" i="4"/>
  <c r="E777" i="4" s="1"/>
  <c r="I778" i="4"/>
  <c r="E778" i="4" s="1"/>
  <c r="I779" i="4"/>
  <c r="E779" i="4" s="1"/>
  <c r="I780" i="4"/>
  <c r="E780" i="4" s="1"/>
  <c r="I781" i="4"/>
  <c r="E781" i="4" s="1"/>
  <c r="I782" i="4"/>
  <c r="E782" i="4" s="1"/>
  <c r="I783" i="4"/>
  <c r="E783" i="4" s="1"/>
  <c r="I784" i="4"/>
  <c r="E784" i="4" s="1"/>
  <c r="I785" i="4"/>
  <c r="E785" i="4" s="1"/>
  <c r="I786" i="4"/>
  <c r="E786" i="4" s="1"/>
  <c r="I787" i="4"/>
  <c r="E787" i="4" s="1"/>
  <c r="I788" i="4"/>
  <c r="E788" i="4" s="1"/>
  <c r="I789" i="4"/>
  <c r="E789" i="4" s="1"/>
  <c r="I790" i="4"/>
  <c r="E790" i="4" s="1"/>
  <c r="I791" i="4"/>
  <c r="E791" i="4" s="1"/>
  <c r="I792" i="4"/>
  <c r="E792" i="4" s="1"/>
  <c r="I793" i="4"/>
  <c r="E793" i="4" s="1"/>
  <c r="I794" i="4"/>
  <c r="E794" i="4" s="1"/>
  <c r="I795" i="4"/>
  <c r="E795" i="4" s="1"/>
  <c r="I796" i="4"/>
  <c r="E796" i="4" s="1"/>
  <c r="I797" i="4"/>
  <c r="E797" i="4" s="1"/>
  <c r="I798" i="4"/>
  <c r="E798" i="4" s="1"/>
  <c r="I799" i="4"/>
  <c r="E799" i="4" s="1"/>
  <c r="I800" i="4"/>
  <c r="E800" i="4" s="1"/>
  <c r="I801" i="4"/>
  <c r="E801" i="4" s="1"/>
  <c r="I802" i="4"/>
  <c r="E802" i="4" s="1"/>
  <c r="I803" i="4"/>
  <c r="E803" i="4" s="1"/>
  <c r="I804" i="4"/>
  <c r="E804" i="4" s="1"/>
  <c r="I805" i="4"/>
  <c r="E805" i="4" s="1"/>
  <c r="I806" i="4"/>
  <c r="E806" i="4" s="1"/>
  <c r="I807" i="4"/>
  <c r="E807" i="4" s="1"/>
  <c r="I808" i="4"/>
  <c r="E808" i="4" s="1"/>
  <c r="I809" i="4"/>
  <c r="E809" i="4" s="1"/>
  <c r="I810" i="4"/>
  <c r="E810" i="4" s="1"/>
  <c r="I811" i="4"/>
  <c r="E811" i="4" s="1"/>
  <c r="I812" i="4"/>
  <c r="E812" i="4" s="1"/>
  <c r="I813" i="4"/>
  <c r="E813" i="4" s="1"/>
  <c r="I814" i="4"/>
  <c r="E814" i="4" s="1"/>
  <c r="I815" i="4"/>
  <c r="E815" i="4" s="1"/>
  <c r="I816" i="4"/>
  <c r="E816" i="4" s="1"/>
  <c r="I817" i="4"/>
  <c r="E817" i="4" s="1"/>
  <c r="I818" i="4"/>
  <c r="E818" i="4" s="1"/>
  <c r="I819" i="4"/>
  <c r="E819" i="4" s="1"/>
  <c r="I820" i="4"/>
  <c r="E820" i="4" s="1"/>
  <c r="I821" i="4"/>
  <c r="E821" i="4" s="1"/>
  <c r="I822" i="4"/>
  <c r="E822" i="4" s="1"/>
  <c r="I823" i="4"/>
  <c r="E823" i="4" s="1"/>
  <c r="I824" i="4"/>
  <c r="E824" i="4" s="1"/>
  <c r="I825" i="4"/>
  <c r="E825" i="4" s="1"/>
  <c r="I826" i="4"/>
  <c r="E826" i="4" s="1"/>
  <c r="I827" i="4"/>
  <c r="E827" i="4" s="1"/>
  <c r="I828" i="4"/>
  <c r="E828" i="4" s="1"/>
  <c r="I829" i="4"/>
  <c r="E829" i="4" s="1"/>
  <c r="I830" i="4"/>
  <c r="E830" i="4" s="1"/>
  <c r="I831" i="4"/>
  <c r="E831" i="4" s="1"/>
  <c r="I832" i="4"/>
  <c r="E832" i="4" s="1"/>
  <c r="I833" i="4"/>
  <c r="E833" i="4" s="1"/>
  <c r="I834" i="4"/>
  <c r="E834" i="4" s="1"/>
  <c r="I835" i="4"/>
  <c r="E835" i="4" s="1"/>
  <c r="I836" i="4"/>
  <c r="E836" i="4" s="1"/>
  <c r="I837" i="4"/>
  <c r="E837" i="4" s="1"/>
  <c r="I838" i="4"/>
  <c r="E838" i="4" s="1"/>
  <c r="I839" i="4"/>
  <c r="E839" i="4" s="1"/>
  <c r="I840" i="4"/>
  <c r="E840" i="4" s="1"/>
  <c r="I841" i="4"/>
  <c r="E841" i="4" s="1"/>
  <c r="I842" i="4"/>
  <c r="E842" i="4" s="1"/>
  <c r="I843" i="4"/>
  <c r="E843" i="4" s="1"/>
  <c r="I844" i="4"/>
  <c r="E844" i="4" s="1"/>
  <c r="I845" i="4"/>
  <c r="E845" i="4" s="1"/>
  <c r="I846" i="4"/>
  <c r="E846" i="4" s="1"/>
  <c r="I847" i="4"/>
  <c r="E847" i="4" s="1"/>
  <c r="I848" i="4"/>
  <c r="E848" i="4" s="1"/>
  <c r="I849" i="4"/>
  <c r="E849" i="4" s="1"/>
  <c r="I850" i="4"/>
  <c r="E850" i="4" s="1"/>
  <c r="I851" i="4"/>
  <c r="E851" i="4" s="1"/>
  <c r="I852" i="4"/>
  <c r="E852" i="4" s="1"/>
  <c r="I853" i="4"/>
  <c r="E853" i="4" s="1"/>
  <c r="I854" i="4"/>
  <c r="E854" i="4" s="1"/>
  <c r="I855" i="4"/>
  <c r="E855" i="4" s="1"/>
  <c r="I856" i="4"/>
  <c r="E856" i="4" s="1"/>
  <c r="I857" i="4"/>
  <c r="E857" i="4" s="1"/>
  <c r="I858" i="4"/>
  <c r="E858" i="4" s="1"/>
  <c r="I859" i="4"/>
  <c r="E859" i="4" s="1"/>
  <c r="I860" i="4"/>
  <c r="E860" i="4" s="1"/>
  <c r="I861" i="4"/>
  <c r="E861" i="4" s="1"/>
  <c r="I862" i="4"/>
  <c r="E862" i="4" s="1"/>
  <c r="I863" i="4"/>
  <c r="E863" i="4" s="1"/>
  <c r="I864" i="4"/>
  <c r="E864" i="4" s="1"/>
  <c r="I865" i="4"/>
  <c r="E865" i="4" s="1"/>
  <c r="I866" i="4"/>
  <c r="E866" i="4" s="1"/>
  <c r="I867" i="4"/>
  <c r="E867" i="4" s="1"/>
  <c r="I868" i="4"/>
  <c r="E868" i="4" s="1"/>
  <c r="I869" i="4"/>
  <c r="E869" i="4" s="1"/>
  <c r="I870" i="4"/>
  <c r="E870" i="4" s="1"/>
  <c r="I871" i="4"/>
  <c r="E871" i="4" s="1"/>
  <c r="I872" i="4"/>
  <c r="E872" i="4" s="1"/>
  <c r="I873" i="4"/>
  <c r="E873" i="4" s="1"/>
  <c r="I874" i="4"/>
  <c r="E874" i="4" s="1"/>
  <c r="I875" i="4"/>
  <c r="E875" i="4" s="1"/>
  <c r="I876" i="4"/>
  <c r="E876" i="4" s="1"/>
  <c r="I877" i="4"/>
  <c r="E877" i="4" s="1"/>
  <c r="I878" i="4"/>
  <c r="E878" i="4" s="1"/>
  <c r="I879" i="4"/>
  <c r="E879" i="4" s="1"/>
  <c r="I880" i="4"/>
  <c r="E880" i="4" s="1"/>
  <c r="I881" i="4"/>
  <c r="E881" i="4" s="1"/>
  <c r="I882" i="4"/>
  <c r="E882" i="4" s="1"/>
  <c r="I883" i="4"/>
  <c r="E883" i="4" s="1"/>
  <c r="I884" i="4"/>
  <c r="E884" i="4" s="1"/>
  <c r="I885" i="4"/>
  <c r="E885" i="4" s="1"/>
  <c r="I886" i="4"/>
  <c r="E886" i="4" s="1"/>
  <c r="I887" i="4"/>
  <c r="E887" i="4" s="1"/>
  <c r="I888" i="4"/>
  <c r="E888" i="4" s="1"/>
  <c r="I889" i="4"/>
  <c r="E889" i="4" s="1"/>
  <c r="I890" i="4"/>
  <c r="E890" i="4" s="1"/>
  <c r="I891" i="4"/>
  <c r="E891" i="4" s="1"/>
  <c r="I892" i="4"/>
  <c r="E892" i="4" s="1"/>
  <c r="I893" i="4"/>
  <c r="E893" i="4" s="1"/>
  <c r="I894" i="4"/>
  <c r="E894" i="4" s="1"/>
  <c r="I895" i="4"/>
  <c r="E895" i="4" s="1"/>
  <c r="I896" i="4"/>
  <c r="E896" i="4" s="1"/>
  <c r="I897" i="4"/>
  <c r="E897" i="4" s="1"/>
  <c r="I898" i="4"/>
  <c r="E898" i="4" s="1"/>
  <c r="I899" i="4"/>
  <c r="E899" i="4" s="1"/>
  <c r="I900" i="4"/>
  <c r="E900" i="4" s="1"/>
  <c r="I901" i="4"/>
  <c r="E901" i="4" s="1"/>
  <c r="I902" i="4"/>
  <c r="E902" i="4" s="1"/>
  <c r="I903" i="4"/>
  <c r="E903" i="4" s="1"/>
  <c r="I904" i="4"/>
  <c r="E904" i="4" s="1"/>
  <c r="I905" i="4"/>
  <c r="E905" i="4" s="1"/>
  <c r="I906" i="4"/>
  <c r="E906" i="4" s="1"/>
  <c r="I907" i="4"/>
  <c r="E907" i="4" s="1"/>
  <c r="I908" i="4"/>
  <c r="E908" i="4" s="1"/>
  <c r="I909" i="4"/>
  <c r="E909" i="4" s="1"/>
  <c r="I910" i="4"/>
  <c r="E910" i="4" s="1"/>
  <c r="I911" i="4"/>
  <c r="E911" i="4" s="1"/>
  <c r="I912" i="4"/>
  <c r="E912" i="4" s="1"/>
  <c r="I913" i="4"/>
  <c r="E913" i="4" s="1"/>
  <c r="I914" i="4"/>
  <c r="E914" i="4" s="1"/>
  <c r="I915" i="4"/>
  <c r="E915" i="4" s="1"/>
  <c r="I916" i="4"/>
  <c r="E916" i="4" s="1"/>
  <c r="I917" i="4"/>
  <c r="E917" i="4" s="1"/>
  <c r="I918" i="4"/>
  <c r="E918" i="4" s="1"/>
  <c r="I919" i="4"/>
  <c r="E919" i="4" s="1"/>
  <c r="I920" i="4"/>
  <c r="E920" i="4" s="1"/>
  <c r="I921" i="4"/>
  <c r="E921" i="4" s="1"/>
  <c r="I922" i="4"/>
  <c r="E922" i="4" s="1"/>
  <c r="I923" i="4"/>
  <c r="E923" i="4" s="1"/>
  <c r="I924" i="4"/>
  <c r="E924" i="4" s="1"/>
  <c r="I925" i="4"/>
  <c r="E925" i="4" s="1"/>
  <c r="I926" i="4"/>
  <c r="E926" i="4" s="1"/>
  <c r="I927" i="4"/>
  <c r="E927" i="4" s="1"/>
  <c r="I928" i="4"/>
  <c r="E928" i="4" s="1"/>
  <c r="I929" i="4"/>
  <c r="E929" i="4" s="1"/>
  <c r="I930" i="4"/>
  <c r="E930" i="4" s="1"/>
  <c r="I931" i="4"/>
  <c r="E931" i="4" s="1"/>
  <c r="I932" i="4"/>
  <c r="E932" i="4" s="1"/>
  <c r="I933" i="4"/>
  <c r="E933" i="4" s="1"/>
  <c r="I934" i="4"/>
  <c r="E934" i="4" s="1"/>
  <c r="I935" i="4"/>
  <c r="E935" i="4" s="1"/>
  <c r="I936" i="4"/>
  <c r="E936" i="4" s="1"/>
  <c r="I937" i="4"/>
  <c r="E937" i="4" s="1"/>
  <c r="I938" i="4"/>
  <c r="E938" i="4" s="1"/>
  <c r="I939" i="4"/>
  <c r="E939" i="4" s="1"/>
  <c r="I940" i="4"/>
  <c r="E940" i="4" s="1"/>
  <c r="I941" i="4"/>
  <c r="E941" i="4" s="1"/>
  <c r="I942" i="4"/>
  <c r="E942" i="4" s="1"/>
  <c r="I943" i="4"/>
  <c r="E943" i="4" s="1"/>
  <c r="I944" i="4"/>
  <c r="E944" i="4" s="1"/>
  <c r="I945" i="4"/>
  <c r="E945" i="4" s="1"/>
  <c r="I946" i="4"/>
  <c r="E946" i="4" s="1"/>
  <c r="I947" i="4"/>
  <c r="E947" i="4" s="1"/>
  <c r="I948" i="4"/>
  <c r="E948" i="4" s="1"/>
  <c r="I949" i="4"/>
  <c r="E949" i="4" s="1"/>
  <c r="I950" i="4"/>
  <c r="E950" i="4" s="1"/>
  <c r="I951" i="4"/>
  <c r="E951" i="4" s="1"/>
  <c r="I952" i="4"/>
  <c r="E952" i="4" s="1"/>
  <c r="I953" i="4"/>
  <c r="E953" i="4" s="1"/>
  <c r="I954" i="4"/>
  <c r="E954" i="4" s="1"/>
  <c r="I955" i="4"/>
  <c r="E955" i="4" s="1"/>
  <c r="I956" i="4"/>
  <c r="E956" i="4" s="1"/>
  <c r="I957" i="4"/>
  <c r="E957" i="4" s="1"/>
  <c r="I958" i="4"/>
  <c r="E958" i="4" s="1"/>
  <c r="I959" i="4"/>
  <c r="E959" i="4" s="1"/>
  <c r="I960" i="4"/>
  <c r="E960" i="4" s="1"/>
  <c r="I961" i="4"/>
  <c r="E961" i="4" s="1"/>
  <c r="I962" i="4"/>
  <c r="E962" i="4" s="1"/>
  <c r="I963" i="4"/>
  <c r="E963" i="4" s="1"/>
  <c r="I964" i="4"/>
  <c r="E964" i="4" s="1"/>
  <c r="I965" i="4"/>
  <c r="E965" i="4" s="1"/>
  <c r="I966" i="4"/>
  <c r="E966" i="4" s="1"/>
  <c r="I967" i="4"/>
  <c r="E967" i="4" s="1"/>
  <c r="I968" i="4"/>
  <c r="E968" i="4" s="1"/>
  <c r="I969" i="4"/>
  <c r="E969" i="4" s="1"/>
  <c r="I970" i="4"/>
  <c r="E970" i="4" s="1"/>
  <c r="I971" i="4"/>
  <c r="E971" i="4" s="1"/>
  <c r="I972" i="4"/>
  <c r="E972" i="4" s="1"/>
  <c r="I973" i="4"/>
  <c r="E973" i="4" s="1"/>
  <c r="I974" i="4"/>
  <c r="E974" i="4" s="1"/>
  <c r="I975" i="4"/>
  <c r="E975" i="4" s="1"/>
  <c r="I976" i="4"/>
  <c r="E976" i="4" s="1"/>
  <c r="I977" i="4"/>
  <c r="E977" i="4" s="1"/>
  <c r="I978" i="4"/>
  <c r="E978" i="4" s="1"/>
  <c r="I979" i="4"/>
  <c r="E979" i="4" s="1"/>
  <c r="I980" i="4"/>
  <c r="E980" i="4" s="1"/>
  <c r="I981" i="4"/>
  <c r="E981" i="4" s="1"/>
  <c r="I982" i="4"/>
  <c r="E982" i="4" s="1"/>
  <c r="I983" i="4"/>
  <c r="E983" i="4" s="1"/>
  <c r="I984" i="4"/>
  <c r="E984" i="4" s="1"/>
  <c r="I985" i="4"/>
  <c r="E985" i="4" s="1"/>
  <c r="I986" i="4"/>
  <c r="E986" i="4" s="1"/>
  <c r="I987" i="4"/>
  <c r="E987" i="4" s="1"/>
  <c r="I988" i="4"/>
  <c r="E988" i="4" s="1"/>
  <c r="I989" i="4"/>
  <c r="E989" i="4" s="1"/>
  <c r="I990" i="4"/>
  <c r="E990" i="4" s="1"/>
  <c r="I991" i="4"/>
  <c r="E991" i="4" s="1"/>
  <c r="I992" i="4"/>
  <c r="E992" i="4" s="1"/>
  <c r="I993" i="4"/>
  <c r="E993" i="4" s="1"/>
  <c r="I994" i="4"/>
  <c r="E994" i="4" s="1"/>
  <c r="I995" i="4"/>
  <c r="E995" i="4" s="1"/>
  <c r="I996" i="4"/>
  <c r="E996" i="4" s="1"/>
  <c r="I997" i="4"/>
  <c r="E997" i="4" s="1"/>
  <c r="I998" i="4"/>
  <c r="E998" i="4" s="1"/>
  <c r="I999" i="4"/>
  <c r="E999" i="4" s="1"/>
  <c r="I1000" i="4"/>
  <c r="E1000" i="4" s="1"/>
  <c r="I1001" i="4"/>
  <c r="E1001" i="4" s="1"/>
  <c r="I1002" i="4"/>
  <c r="E1002" i="4" s="1"/>
  <c r="I1003" i="4"/>
  <c r="E1003" i="4" s="1"/>
  <c r="I1004" i="4"/>
  <c r="E1004" i="4" s="1"/>
  <c r="I1005" i="4"/>
  <c r="E1005" i="4" s="1"/>
  <c r="I1006" i="4"/>
  <c r="E1006" i="4" s="1"/>
  <c r="I1007" i="4"/>
  <c r="E1007" i="4" s="1"/>
  <c r="I1008" i="4"/>
  <c r="E1008" i="4" s="1"/>
  <c r="I1009" i="4"/>
  <c r="E1009" i="4" s="1"/>
  <c r="I1010" i="4"/>
  <c r="E1010" i="4" s="1"/>
  <c r="I1011" i="4"/>
  <c r="E1011" i="4" s="1"/>
  <c r="I1012" i="4"/>
  <c r="E1012" i="4" s="1"/>
  <c r="I1013" i="4"/>
  <c r="E1013" i="4" s="1"/>
  <c r="I1014" i="4"/>
  <c r="E1014" i="4" s="1"/>
  <c r="I1015" i="4"/>
  <c r="E1015" i="4" s="1"/>
  <c r="I1016" i="4"/>
  <c r="E1016" i="4" s="1"/>
  <c r="I1017" i="4"/>
  <c r="E1017" i="4" s="1"/>
  <c r="I1018" i="4"/>
  <c r="E1018" i="4" s="1"/>
  <c r="I1019" i="4"/>
  <c r="E1019" i="4" s="1"/>
  <c r="I1020" i="4"/>
  <c r="E1020" i="4" s="1"/>
  <c r="I1021" i="4"/>
  <c r="E1021" i="4" s="1"/>
  <c r="I1022" i="4"/>
  <c r="E1022" i="4" s="1"/>
  <c r="I1023" i="4"/>
  <c r="E1023" i="4" s="1"/>
  <c r="I1024" i="4"/>
  <c r="E1024" i="4" s="1"/>
  <c r="I1025" i="4"/>
  <c r="E1025" i="4" s="1"/>
  <c r="I1026" i="4"/>
  <c r="E1026" i="4" s="1"/>
  <c r="I1027" i="4"/>
  <c r="E1027" i="4" s="1"/>
  <c r="I1028" i="4"/>
  <c r="E1028" i="4" s="1"/>
  <c r="I1029" i="4"/>
  <c r="E1029" i="4" s="1"/>
  <c r="I1030" i="4"/>
  <c r="E1030" i="4" s="1"/>
  <c r="I1031" i="4"/>
  <c r="E1031" i="4" s="1"/>
  <c r="I1032" i="4"/>
  <c r="E1032" i="4" s="1"/>
  <c r="I1033" i="4"/>
  <c r="I1034" i="4"/>
  <c r="E1034" i="4" s="1"/>
  <c r="I1035" i="4"/>
  <c r="E1035" i="4" s="1"/>
  <c r="I1036" i="4"/>
  <c r="E1036" i="4" s="1"/>
  <c r="I1037" i="4"/>
  <c r="E1037" i="4" s="1"/>
  <c r="I1038" i="4"/>
  <c r="E1038" i="4" s="1"/>
  <c r="I1039" i="4"/>
  <c r="E1039" i="4" s="1"/>
  <c r="I1040" i="4"/>
  <c r="E1040" i="4" s="1"/>
  <c r="I1041" i="4"/>
  <c r="E1041" i="4" s="1"/>
  <c r="I1042" i="4"/>
  <c r="E1042" i="4" s="1"/>
  <c r="I1043" i="4"/>
  <c r="E1043" i="4" s="1"/>
  <c r="I1044" i="4"/>
  <c r="E1044" i="4" s="1"/>
  <c r="I1045" i="4"/>
  <c r="E1045" i="4" s="1"/>
  <c r="I1046" i="4"/>
  <c r="E1046" i="4" s="1"/>
  <c r="I1047" i="4"/>
  <c r="E1047" i="4" s="1"/>
  <c r="I1048" i="4"/>
  <c r="E1048" i="4" s="1"/>
  <c r="I1049" i="4"/>
  <c r="E1049" i="4" s="1"/>
  <c r="I1050" i="4"/>
  <c r="E1050" i="4" s="1"/>
  <c r="I1051" i="4"/>
  <c r="E1051" i="4" s="1"/>
  <c r="I1052" i="4"/>
  <c r="E1052" i="4" s="1"/>
  <c r="I1053" i="4"/>
  <c r="E1053" i="4" s="1"/>
  <c r="I1054" i="4"/>
  <c r="E1054" i="4" s="1"/>
  <c r="I1055" i="4"/>
  <c r="E1055" i="4" s="1"/>
  <c r="I1056" i="4"/>
  <c r="E1056" i="4" s="1"/>
  <c r="I1057" i="4"/>
  <c r="E1057" i="4" s="1"/>
  <c r="I1058" i="4"/>
  <c r="E1058" i="4" s="1"/>
  <c r="I1059" i="4"/>
  <c r="E1059" i="4" s="1"/>
  <c r="I1060" i="4"/>
  <c r="E1060" i="4" s="1"/>
  <c r="I1061" i="4"/>
  <c r="E1061" i="4" s="1"/>
  <c r="I1062" i="4"/>
  <c r="E1062" i="4" s="1"/>
  <c r="I1063" i="4"/>
  <c r="E1063" i="4" s="1"/>
  <c r="I1064" i="4"/>
  <c r="E1064" i="4" s="1"/>
  <c r="I1065" i="4"/>
  <c r="E1065" i="4" s="1"/>
  <c r="I1066" i="4"/>
  <c r="E1066" i="4" s="1"/>
  <c r="I1067" i="4"/>
  <c r="E1067" i="4" s="1"/>
  <c r="I1068" i="4"/>
  <c r="E1068" i="4" s="1"/>
  <c r="I1069" i="4"/>
  <c r="E1069" i="4" s="1"/>
  <c r="I1070" i="4"/>
  <c r="E1070" i="4" s="1"/>
  <c r="I1071" i="4"/>
  <c r="E1071" i="4" s="1"/>
  <c r="I1072" i="4"/>
  <c r="E1072" i="4" s="1"/>
  <c r="I1073" i="4"/>
  <c r="E1073" i="4" s="1"/>
  <c r="I1074" i="4"/>
  <c r="E1074" i="4" s="1"/>
  <c r="I1075" i="4"/>
  <c r="E1075" i="4" s="1"/>
  <c r="I1076" i="4"/>
  <c r="E1076" i="4" s="1"/>
  <c r="I1077" i="4"/>
  <c r="E1077" i="4" s="1"/>
  <c r="I1078" i="4"/>
  <c r="E1078" i="4" s="1"/>
  <c r="I1079" i="4"/>
  <c r="E1079" i="4" s="1"/>
  <c r="I1080" i="4"/>
  <c r="E1080" i="4" s="1"/>
  <c r="I1081" i="4"/>
  <c r="E1081" i="4" s="1"/>
  <c r="I1082" i="4"/>
  <c r="E1082" i="4" s="1"/>
  <c r="I1083" i="4"/>
  <c r="E1083" i="4" s="1"/>
  <c r="I1084" i="4"/>
  <c r="E1084" i="4" s="1"/>
  <c r="I1085" i="4"/>
  <c r="E1085" i="4" s="1"/>
  <c r="I1086" i="4"/>
  <c r="E1086" i="4" s="1"/>
  <c r="I1087" i="4"/>
  <c r="E1087" i="4" s="1"/>
  <c r="I1088" i="4"/>
  <c r="E1088" i="4" s="1"/>
  <c r="I1089" i="4"/>
  <c r="E1089" i="4" s="1"/>
  <c r="I1090" i="4"/>
  <c r="E1090" i="4" s="1"/>
  <c r="I1091" i="4"/>
  <c r="E1091" i="4" s="1"/>
  <c r="I1092" i="4"/>
  <c r="E1092" i="4" s="1"/>
  <c r="I1093" i="4"/>
  <c r="E1093" i="4" s="1"/>
  <c r="I1094" i="4"/>
  <c r="E1094" i="4" s="1"/>
  <c r="I1095" i="4"/>
  <c r="E1095" i="4" s="1"/>
  <c r="I1096" i="4"/>
  <c r="E1096" i="4" s="1"/>
  <c r="I1097" i="4"/>
  <c r="E1097" i="4" s="1"/>
  <c r="I1098" i="4"/>
  <c r="E1098" i="4" s="1"/>
  <c r="I1099" i="4"/>
  <c r="E1099" i="4" s="1"/>
  <c r="I1100" i="4"/>
  <c r="E1100" i="4" s="1"/>
  <c r="I1101" i="4"/>
  <c r="E1101" i="4" s="1"/>
  <c r="I1102" i="4"/>
  <c r="E1102" i="4" s="1"/>
  <c r="I1103" i="4"/>
  <c r="E1103" i="4" s="1"/>
  <c r="I1104" i="4"/>
  <c r="E1104" i="4" s="1"/>
  <c r="I1105" i="4"/>
  <c r="E1105" i="4" s="1"/>
  <c r="I1106" i="4"/>
  <c r="E1106" i="4" s="1"/>
  <c r="I1107" i="4"/>
  <c r="E1107" i="4" s="1"/>
  <c r="I1108" i="4"/>
  <c r="E1108" i="4" s="1"/>
  <c r="I1109" i="4"/>
  <c r="E1109" i="4" s="1"/>
  <c r="I1110" i="4"/>
  <c r="E1110" i="4" s="1"/>
  <c r="I1111" i="4"/>
  <c r="E1111" i="4" s="1"/>
  <c r="I1112" i="4"/>
  <c r="E1112" i="4" s="1"/>
  <c r="I1113" i="4"/>
  <c r="E1113" i="4" s="1"/>
  <c r="I1114" i="4"/>
  <c r="E1114" i="4" s="1"/>
  <c r="I1115" i="4"/>
  <c r="E1115" i="4" s="1"/>
  <c r="I1116" i="4"/>
  <c r="E1116" i="4" s="1"/>
  <c r="I1117" i="4"/>
  <c r="E1117" i="4" s="1"/>
  <c r="I1118" i="4"/>
  <c r="E1118" i="4" s="1"/>
  <c r="I1119" i="4"/>
  <c r="E1119" i="4" s="1"/>
  <c r="I1120" i="4"/>
  <c r="E1120" i="4" s="1"/>
  <c r="I1121" i="4"/>
  <c r="E1121" i="4" s="1"/>
  <c r="I1122" i="4"/>
  <c r="E1122" i="4" s="1"/>
  <c r="I1123" i="4"/>
  <c r="E1123" i="4" s="1"/>
  <c r="I1124" i="4"/>
  <c r="E1124" i="4" s="1"/>
  <c r="I1125" i="4"/>
  <c r="E1125" i="4" s="1"/>
  <c r="I1126" i="4"/>
  <c r="E1126" i="4" s="1"/>
  <c r="I1127" i="4"/>
  <c r="E1127" i="4" s="1"/>
  <c r="I1128" i="4"/>
  <c r="E1128" i="4" s="1"/>
  <c r="I1129" i="4"/>
  <c r="E1129" i="4" s="1"/>
  <c r="I1130" i="4"/>
  <c r="E1130" i="4" s="1"/>
  <c r="I1131" i="4"/>
  <c r="E1131" i="4" s="1"/>
  <c r="I1132" i="4"/>
  <c r="E1132" i="4" s="1"/>
  <c r="I1133" i="4"/>
  <c r="E1133" i="4" s="1"/>
  <c r="I1134" i="4"/>
  <c r="E1134" i="4" s="1"/>
  <c r="I1135" i="4"/>
  <c r="E1135" i="4" s="1"/>
  <c r="I1136" i="4"/>
  <c r="E1136" i="4" s="1"/>
  <c r="I1137" i="4"/>
  <c r="E1137" i="4" s="1"/>
  <c r="I1138" i="4"/>
  <c r="E1138" i="4" s="1"/>
  <c r="I1139" i="4"/>
  <c r="E1139" i="4" s="1"/>
  <c r="I1140" i="4"/>
  <c r="E1140" i="4" s="1"/>
  <c r="I1141" i="4"/>
  <c r="E1141" i="4" s="1"/>
  <c r="I1142" i="4"/>
  <c r="E1142" i="4" s="1"/>
  <c r="I1143" i="4"/>
  <c r="E1143" i="4" s="1"/>
  <c r="I1144" i="4"/>
  <c r="E1144" i="4" s="1"/>
  <c r="I1145" i="4"/>
  <c r="E1145" i="4" s="1"/>
  <c r="I1146" i="4"/>
  <c r="E1146" i="4" s="1"/>
  <c r="I1147" i="4"/>
  <c r="E1147" i="4" s="1"/>
  <c r="I1148" i="4"/>
  <c r="E1148" i="4" s="1"/>
  <c r="I1149" i="4"/>
  <c r="E1149" i="4" s="1"/>
  <c r="I1150" i="4"/>
  <c r="E1150" i="4" s="1"/>
  <c r="I1151" i="4"/>
  <c r="E1151" i="4" s="1"/>
  <c r="I1152" i="4"/>
  <c r="E1152" i="4" s="1"/>
  <c r="I1153" i="4"/>
  <c r="E1153" i="4" s="1"/>
  <c r="I1154" i="4"/>
  <c r="E1154" i="4" s="1"/>
  <c r="I1155" i="4"/>
  <c r="E1155" i="4" s="1"/>
  <c r="I1156" i="4"/>
  <c r="E1156" i="4" s="1"/>
  <c r="I1157" i="4"/>
  <c r="E1157" i="4" s="1"/>
  <c r="I1158" i="4"/>
  <c r="E1158" i="4" s="1"/>
  <c r="I1159" i="4"/>
  <c r="E1159" i="4" s="1"/>
  <c r="I1160" i="4"/>
  <c r="E1160" i="4" s="1"/>
  <c r="I1161" i="4"/>
  <c r="E1161" i="4" s="1"/>
  <c r="I1162" i="4"/>
  <c r="E1162" i="4" s="1"/>
  <c r="I1163" i="4"/>
  <c r="E1163" i="4" s="1"/>
  <c r="I1164" i="4"/>
  <c r="E1164" i="4" s="1"/>
  <c r="I1165" i="4"/>
  <c r="E1165" i="4" s="1"/>
  <c r="I1166" i="4"/>
  <c r="E1166" i="4" s="1"/>
  <c r="I1167" i="4"/>
  <c r="E1167" i="4" s="1"/>
  <c r="I1168" i="4"/>
  <c r="E1168" i="4" s="1"/>
  <c r="I1169" i="4"/>
  <c r="E1169" i="4" s="1"/>
  <c r="I1170" i="4"/>
  <c r="E1170" i="4" s="1"/>
  <c r="I1171" i="4"/>
  <c r="E1171" i="4" s="1"/>
  <c r="I1172" i="4"/>
  <c r="E1172" i="4" s="1"/>
  <c r="I1173" i="4"/>
  <c r="E1173" i="4" s="1"/>
  <c r="I1174" i="4"/>
  <c r="E1174" i="4" s="1"/>
  <c r="I1175" i="4"/>
  <c r="E1175" i="4" s="1"/>
  <c r="I1176" i="4"/>
  <c r="E1176" i="4" s="1"/>
  <c r="I1177" i="4"/>
  <c r="E1177" i="4" s="1"/>
  <c r="I1178" i="4"/>
  <c r="E1178" i="4" s="1"/>
  <c r="I1179" i="4"/>
  <c r="E1179" i="4" s="1"/>
  <c r="I1180" i="4"/>
  <c r="E1180" i="4" s="1"/>
  <c r="I1181" i="4"/>
  <c r="E1181" i="4" s="1"/>
  <c r="I1182" i="4"/>
  <c r="E1182" i="4" s="1"/>
  <c r="I1183" i="4"/>
  <c r="E1183" i="4" s="1"/>
  <c r="I1184" i="4"/>
  <c r="E1184" i="4" s="1"/>
  <c r="I1185" i="4"/>
  <c r="E1185" i="4" s="1"/>
  <c r="I1186" i="4"/>
  <c r="E1186" i="4" s="1"/>
  <c r="I1187" i="4"/>
  <c r="E1187" i="4" s="1"/>
  <c r="I1188" i="4"/>
  <c r="E1188" i="4" s="1"/>
  <c r="I1189" i="4"/>
  <c r="E1189" i="4" s="1"/>
  <c r="I1190" i="4"/>
  <c r="E1190" i="4" s="1"/>
  <c r="I1191" i="4"/>
  <c r="E1191" i="4" s="1"/>
  <c r="I1192" i="4"/>
  <c r="E1192" i="4" s="1"/>
  <c r="I1193" i="4"/>
  <c r="E1193" i="4" s="1"/>
  <c r="I1194" i="4"/>
  <c r="E1194" i="4" s="1"/>
  <c r="I1195" i="4"/>
  <c r="E1195" i="4" s="1"/>
  <c r="I1196" i="4"/>
  <c r="E1196" i="4" s="1"/>
  <c r="I1197" i="4"/>
  <c r="E1197" i="4" s="1"/>
  <c r="I1198" i="4"/>
  <c r="E1198" i="4" s="1"/>
  <c r="I1199" i="4"/>
  <c r="E1199" i="4" s="1"/>
  <c r="I1200" i="4"/>
  <c r="E1200" i="4" s="1"/>
  <c r="I1201" i="4"/>
  <c r="E1201" i="4" s="1"/>
  <c r="I1202" i="4"/>
  <c r="E1202" i="4" s="1"/>
  <c r="I1203" i="4"/>
  <c r="E1203" i="4" s="1"/>
  <c r="I1204" i="4"/>
  <c r="E1204" i="4" s="1"/>
  <c r="I1205" i="4"/>
  <c r="E1205" i="4" s="1"/>
  <c r="I1206" i="4"/>
  <c r="E1206" i="4" s="1"/>
  <c r="I1207" i="4"/>
  <c r="E1207" i="4" s="1"/>
  <c r="I1208" i="4"/>
  <c r="E1208" i="4" s="1"/>
  <c r="I1209" i="4"/>
  <c r="E1209" i="4" s="1"/>
  <c r="I1210" i="4"/>
  <c r="E1210" i="4" s="1"/>
  <c r="I1211" i="4"/>
  <c r="E1211" i="4" s="1"/>
  <c r="I1212" i="4"/>
  <c r="E1212" i="4" s="1"/>
  <c r="I1213" i="4"/>
  <c r="E1213" i="4" s="1"/>
  <c r="I1214" i="4"/>
  <c r="E1214" i="4" s="1"/>
  <c r="I1215" i="4"/>
  <c r="E1215" i="4" s="1"/>
  <c r="I1216" i="4"/>
  <c r="E1216" i="4" s="1"/>
  <c r="I1217" i="4"/>
  <c r="E1217" i="4" s="1"/>
  <c r="I1218" i="4"/>
  <c r="E1218" i="4" s="1"/>
  <c r="I1219" i="4"/>
  <c r="E1219" i="4" s="1"/>
  <c r="I1220" i="4"/>
  <c r="E1220" i="4" s="1"/>
  <c r="I1221" i="4"/>
  <c r="E1221" i="4" s="1"/>
  <c r="I1222" i="4"/>
  <c r="E1222" i="4" s="1"/>
  <c r="I1223" i="4"/>
  <c r="E1223" i="4" s="1"/>
  <c r="I1224" i="4"/>
  <c r="E1224" i="4" s="1"/>
  <c r="I1225" i="4"/>
  <c r="E1225" i="4" s="1"/>
  <c r="I1226" i="4"/>
  <c r="E1226" i="4" s="1"/>
  <c r="I1227" i="4"/>
  <c r="E1227" i="4" s="1"/>
  <c r="I1228" i="4"/>
  <c r="E1228" i="4" s="1"/>
  <c r="I1229" i="4"/>
  <c r="E1229" i="4" s="1"/>
  <c r="I1230" i="4"/>
  <c r="E1230" i="4" s="1"/>
  <c r="I1231" i="4"/>
  <c r="E1231" i="4" s="1"/>
  <c r="I1232" i="4"/>
  <c r="E1232" i="4" s="1"/>
  <c r="I1233" i="4"/>
  <c r="E1233" i="4" s="1"/>
  <c r="I1234" i="4"/>
  <c r="E1234" i="4" s="1"/>
  <c r="I1235" i="4"/>
  <c r="E1235" i="4" s="1"/>
  <c r="I1236" i="4"/>
  <c r="E1236" i="4" s="1"/>
  <c r="I1237" i="4"/>
  <c r="E1237" i="4" s="1"/>
  <c r="I1238" i="4"/>
  <c r="E1238" i="4" s="1"/>
  <c r="I1239" i="4"/>
  <c r="E1239" i="4" s="1"/>
  <c r="I1240" i="4"/>
  <c r="E1240" i="4" s="1"/>
  <c r="I1241" i="4"/>
  <c r="E1241" i="4" s="1"/>
  <c r="I1242" i="4"/>
  <c r="E1242" i="4" s="1"/>
  <c r="I1243" i="4"/>
  <c r="E1243" i="4" s="1"/>
  <c r="I1244" i="4"/>
  <c r="E1244" i="4" s="1"/>
  <c r="I1245" i="4"/>
  <c r="E1245" i="4" s="1"/>
  <c r="I1246" i="4"/>
  <c r="E1246" i="4" s="1"/>
  <c r="I1247" i="4"/>
  <c r="E1247" i="4" s="1"/>
  <c r="I1248" i="4"/>
  <c r="E1248" i="4" s="1"/>
  <c r="I1249" i="4"/>
  <c r="E1249" i="4" s="1"/>
  <c r="I1250" i="4"/>
  <c r="E1250" i="4" s="1"/>
  <c r="I1251" i="4"/>
  <c r="E1251" i="4" s="1"/>
  <c r="I1252" i="4"/>
  <c r="E1252" i="4" s="1"/>
  <c r="I1253" i="4"/>
  <c r="E1253" i="4" s="1"/>
  <c r="I1254" i="4"/>
  <c r="E1254" i="4" s="1"/>
  <c r="I1255" i="4"/>
  <c r="E1255" i="4" s="1"/>
  <c r="I1256" i="4"/>
  <c r="E1256" i="4" s="1"/>
  <c r="I1257" i="4"/>
  <c r="E1257" i="4" s="1"/>
  <c r="I1258" i="4"/>
  <c r="E1258" i="4" s="1"/>
  <c r="I1259" i="4"/>
  <c r="E1259" i="4" s="1"/>
  <c r="I1260" i="4"/>
  <c r="E1260" i="4" s="1"/>
  <c r="I1261" i="4"/>
  <c r="E1261" i="4" s="1"/>
  <c r="I1262" i="4"/>
  <c r="E1262" i="4" s="1"/>
  <c r="I1263" i="4"/>
  <c r="E1263" i="4" s="1"/>
  <c r="I1264" i="4"/>
  <c r="E1264" i="4" s="1"/>
  <c r="I1265" i="4"/>
  <c r="E1265" i="4" s="1"/>
  <c r="I1266" i="4"/>
  <c r="E1266" i="4" s="1"/>
  <c r="I1267" i="4"/>
  <c r="E1267" i="4" s="1"/>
  <c r="I1268" i="4"/>
  <c r="E1268" i="4" s="1"/>
  <c r="I1269" i="4"/>
  <c r="E1269" i="4" s="1"/>
  <c r="I1270" i="4"/>
  <c r="E1270" i="4" s="1"/>
  <c r="I1271" i="4"/>
  <c r="E1271" i="4" s="1"/>
  <c r="I1272" i="4"/>
  <c r="E1272" i="4" s="1"/>
  <c r="I1273" i="4"/>
  <c r="E1273" i="4" s="1"/>
  <c r="I1274" i="4"/>
  <c r="E1274" i="4" s="1"/>
  <c r="I1275" i="4"/>
  <c r="E1275" i="4" s="1"/>
  <c r="I1276" i="4"/>
  <c r="E1276" i="4" s="1"/>
  <c r="I1277" i="4"/>
  <c r="E1277" i="4" s="1"/>
  <c r="I1278" i="4"/>
  <c r="E1278" i="4" s="1"/>
  <c r="I1279" i="4"/>
  <c r="E1279" i="4" s="1"/>
  <c r="I1280" i="4"/>
  <c r="E1280" i="4" s="1"/>
  <c r="I1281" i="4"/>
  <c r="E1281" i="4" s="1"/>
  <c r="I1282" i="4"/>
  <c r="E1282" i="4" s="1"/>
  <c r="I1283" i="4"/>
  <c r="E1283" i="4" s="1"/>
  <c r="I1284" i="4"/>
  <c r="E1284" i="4" s="1"/>
  <c r="I1285" i="4"/>
  <c r="E1285" i="4" s="1"/>
  <c r="I1286" i="4"/>
  <c r="E1286" i="4" s="1"/>
  <c r="I1287" i="4"/>
  <c r="E1287" i="4" s="1"/>
  <c r="I1288" i="4"/>
  <c r="E1288" i="4" s="1"/>
  <c r="I1289" i="4"/>
  <c r="E1289" i="4" s="1"/>
  <c r="I1290" i="4"/>
  <c r="E1290" i="4" s="1"/>
  <c r="I1291" i="4"/>
  <c r="E1291" i="4" s="1"/>
  <c r="I1292" i="4"/>
  <c r="E1292" i="4" s="1"/>
  <c r="I1293" i="4"/>
  <c r="E1293" i="4" s="1"/>
  <c r="I1294" i="4"/>
  <c r="E1294" i="4" s="1"/>
  <c r="I1295" i="4"/>
  <c r="E1295" i="4" s="1"/>
  <c r="I1296" i="4"/>
  <c r="E1296" i="4" s="1"/>
  <c r="I1297" i="4"/>
  <c r="E1297" i="4" s="1"/>
  <c r="I1298" i="4"/>
  <c r="E1298" i="4" s="1"/>
  <c r="I1299" i="4"/>
  <c r="E1299" i="4" s="1"/>
  <c r="I1300" i="4"/>
  <c r="E1300" i="4" s="1"/>
  <c r="I1301" i="4"/>
  <c r="E1301" i="4" s="1"/>
  <c r="I1302" i="4"/>
  <c r="E1302" i="4" s="1"/>
  <c r="I1303" i="4"/>
  <c r="E1303" i="4" s="1"/>
  <c r="I1304" i="4"/>
  <c r="E1304" i="4" s="1"/>
  <c r="I1305" i="4"/>
  <c r="E1305" i="4" s="1"/>
  <c r="I1306" i="4"/>
  <c r="E1306" i="4" s="1"/>
  <c r="I1307" i="4"/>
  <c r="E1307" i="4" s="1"/>
  <c r="I1308" i="4"/>
  <c r="E1308" i="4" s="1"/>
  <c r="I1309" i="4"/>
  <c r="E1309" i="4" s="1"/>
  <c r="I1310" i="4"/>
  <c r="E1310" i="4" s="1"/>
  <c r="I1311" i="4"/>
  <c r="E1311" i="4" s="1"/>
  <c r="I1312" i="4"/>
  <c r="E1312" i="4" s="1"/>
  <c r="I1313" i="4"/>
  <c r="E1313" i="4" s="1"/>
  <c r="I1314" i="4"/>
  <c r="E1314" i="4" s="1"/>
  <c r="I1315" i="4"/>
  <c r="E1315" i="4" s="1"/>
  <c r="I1316" i="4"/>
  <c r="E1316" i="4" s="1"/>
  <c r="I1317" i="4"/>
  <c r="E1317" i="4" s="1"/>
  <c r="I1318" i="4"/>
  <c r="E1318" i="4" s="1"/>
  <c r="I1319" i="4"/>
  <c r="E1319" i="4" s="1"/>
  <c r="I1320" i="4"/>
  <c r="E1320" i="4" s="1"/>
  <c r="I1321" i="4"/>
  <c r="E1321" i="4" s="1"/>
  <c r="I1322" i="4"/>
  <c r="E1322" i="4" s="1"/>
  <c r="I1323" i="4"/>
  <c r="E1323" i="4" s="1"/>
  <c r="I1324" i="4"/>
  <c r="E1324" i="4" s="1"/>
  <c r="I1325" i="4"/>
  <c r="E1325" i="4" s="1"/>
  <c r="I1326" i="4"/>
  <c r="E1326" i="4" s="1"/>
  <c r="I1327" i="4"/>
  <c r="E1327" i="4" s="1"/>
  <c r="I1328" i="4"/>
  <c r="E1328" i="4" s="1"/>
  <c r="I1329" i="4"/>
  <c r="E1329" i="4" s="1"/>
  <c r="I1330" i="4"/>
  <c r="E1330" i="4" s="1"/>
  <c r="I1331" i="4"/>
  <c r="E1331" i="4" s="1"/>
  <c r="I1332" i="4"/>
  <c r="E1332" i="4" s="1"/>
  <c r="I1333" i="4"/>
  <c r="E1333" i="4" s="1"/>
  <c r="I1334" i="4"/>
  <c r="E1334" i="4" s="1"/>
  <c r="I1335" i="4"/>
  <c r="E1335" i="4" s="1"/>
  <c r="I1336" i="4"/>
  <c r="E1336" i="4" s="1"/>
  <c r="I1337" i="4"/>
  <c r="E1337" i="4" s="1"/>
  <c r="I1338" i="4"/>
  <c r="E1338" i="4" s="1"/>
  <c r="I1339" i="4"/>
  <c r="E1339" i="4" s="1"/>
  <c r="I1340" i="4"/>
  <c r="E1340" i="4" s="1"/>
  <c r="I1341" i="4"/>
  <c r="E1341" i="4" s="1"/>
  <c r="I1342" i="4"/>
  <c r="E1342" i="4" s="1"/>
  <c r="I1343" i="4"/>
  <c r="E1343" i="4" s="1"/>
  <c r="I1344" i="4"/>
  <c r="E1344" i="4" s="1"/>
  <c r="I1345" i="4"/>
  <c r="E1345" i="4" s="1"/>
  <c r="I1346" i="4"/>
  <c r="E1346" i="4" s="1"/>
  <c r="I1347" i="4"/>
  <c r="E1347" i="4" s="1"/>
  <c r="I1348" i="4"/>
  <c r="E1348" i="4" s="1"/>
  <c r="I1349" i="4"/>
  <c r="E1349" i="4" s="1"/>
  <c r="I1350" i="4"/>
  <c r="E1350" i="4" s="1"/>
  <c r="I1351" i="4"/>
  <c r="E1351" i="4" s="1"/>
  <c r="I1352" i="4"/>
  <c r="E1352" i="4" s="1"/>
  <c r="I1353" i="4"/>
  <c r="E1353" i="4" s="1"/>
  <c r="I1354" i="4"/>
  <c r="E1354" i="4" s="1"/>
  <c r="I1355" i="4"/>
  <c r="E1355" i="4" s="1"/>
  <c r="I1356" i="4"/>
  <c r="E1356" i="4" s="1"/>
  <c r="I1357" i="4"/>
  <c r="E1357" i="4" s="1"/>
  <c r="I1358" i="4"/>
  <c r="E1358" i="4" s="1"/>
  <c r="I1359" i="4"/>
  <c r="E1359" i="4" s="1"/>
  <c r="I1360" i="4"/>
  <c r="E1360" i="4" s="1"/>
  <c r="I1361" i="4"/>
  <c r="E1361" i="4" s="1"/>
  <c r="I1362" i="4"/>
  <c r="E1362" i="4" s="1"/>
  <c r="I1363" i="4"/>
  <c r="E1363" i="4" s="1"/>
  <c r="I1364" i="4"/>
  <c r="E1364" i="4" s="1"/>
  <c r="I1365" i="4"/>
  <c r="E1365" i="4" s="1"/>
  <c r="I1366" i="4"/>
  <c r="E1366" i="4" s="1"/>
  <c r="I1367" i="4"/>
  <c r="E1367" i="4" s="1"/>
  <c r="I1368" i="4"/>
  <c r="E1368" i="4" s="1"/>
  <c r="I1369" i="4"/>
  <c r="E1369" i="4" s="1"/>
  <c r="I1370" i="4"/>
  <c r="E1370" i="4" s="1"/>
  <c r="I1371" i="4"/>
  <c r="E1371" i="4" s="1"/>
  <c r="I1372" i="4"/>
  <c r="E1372" i="4" s="1"/>
  <c r="I1373" i="4"/>
  <c r="E1373" i="4" s="1"/>
  <c r="I1374" i="4"/>
  <c r="E1374" i="4" s="1"/>
  <c r="I1375" i="4"/>
  <c r="E1375" i="4" s="1"/>
  <c r="I1376" i="4"/>
  <c r="E1376" i="4" s="1"/>
  <c r="I1377" i="4"/>
  <c r="E1377" i="4" s="1"/>
  <c r="I1378" i="4"/>
  <c r="E1378" i="4" s="1"/>
  <c r="I1379" i="4"/>
  <c r="E1379" i="4" s="1"/>
  <c r="I1380" i="4"/>
  <c r="E1380" i="4" s="1"/>
  <c r="I1381" i="4"/>
  <c r="E1381" i="4" s="1"/>
  <c r="I1382" i="4"/>
  <c r="E1382" i="4" s="1"/>
  <c r="I1383" i="4"/>
  <c r="E1383" i="4" s="1"/>
  <c r="I1384" i="4"/>
  <c r="E1384" i="4" s="1"/>
  <c r="I1385" i="4"/>
  <c r="E1385" i="4" s="1"/>
  <c r="I1386" i="4"/>
  <c r="E1386" i="4" s="1"/>
  <c r="I1387" i="4"/>
  <c r="E1387" i="4" s="1"/>
  <c r="I1388" i="4"/>
  <c r="E1388" i="4" s="1"/>
  <c r="I1389" i="4"/>
  <c r="E1389" i="4" s="1"/>
  <c r="I1390" i="4"/>
  <c r="E1390" i="4" s="1"/>
  <c r="I1391" i="4"/>
  <c r="E1391" i="4" s="1"/>
  <c r="I1392" i="4"/>
  <c r="E1392" i="4" s="1"/>
  <c r="I1393" i="4"/>
  <c r="E1393" i="4" s="1"/>
  <c r="I1394" i="4"/>
  <c r="E1394" i="4" s="1"/>
  <c r="I1395" i="4"/>
  <c r="E1395" i="4" s="1"/>
  <c r="I1396" i="4"/>
  <c r="E1396" i="4" s="1"/>
  <c r="I1397" i="4"/>
  <c r="E1397" i="4" s="1"/>
  <c r="I1398" i="4"/>
  <c r="E1398" i="4" s="1"/>
  <c r="I1399" i="4"/>
  <c r="E1399" i="4" s="1"/>
  <c r="I1400" i="4"/>
  <c r="E1400" i="4" s="1"/>
  <c r="I1401" i="4"/>
  <c r="E1401" i="4" s="1"/>
  <c r="I1402" i="4"/>
  <c r="E1402" i="4" s="1"/>
  <c r="I1403" i="4"/>
  <c r="E1403" i="4" s="1"/>
  <c r="I1404" i="4"/>
  <c r="E1404" i="4" s="1"/>
  <c r="I1405" i="4"/>
  <c r="E1405" i="4" s="1"/>
  <c r="I1406" i="4"/>
  <c r="E1406" i="4" s="1"/>
  <c r="I1407" i="4"/>
  <c r="E1407" i="4" s="1"/>
  <c r="I1408" i="4"/>
  <c r="E1408" i="4" s="1"/>
  <c r="I1409" i="4"/>
  <c r="E1409" i="4" s="1"/>
  <c r="I1410" i="4"/>
  <c r="E1410" i="4" s="1"/>
  <c r="I1411" i="4"/>
  <c r="E1411" i="4" s="1"/>
  <c r="I1412" i="4"/>
  <c r="E1412" i="4" s="1"/>
  <c r="I1413" i="4"/>
  <c r="E1413" i="4" s="1"/>
  <c r="I1414" i="4"/>
  <c r="E1414" i="4" s="1"/>
  <c r="I1415" i="4"/>
  <c r="E1415" i="4" s="1"/>
  <c r="I1416" i="4"/>
  <c r="E1416" i="4" s="1"/>
  <c r="I1417" i="4"/>
  <c r="E1417" i="4" s="1"/>
  <c r="I1418" i="4"/>
  <c r="E1418" i="4" s="1"/>
  <c r="I1419" i="4"/>
  <c r="E1419" i="4" s="1"/>
  <c r="I1420" i="4"/>
  <c r="E1420" i="4" s="1"/>
  <c r="I1421" i="4"/>
  <c r="E1421" i="4" s="1"/>
  <c r="I1422" i="4"/>
  <c r="E1422" i="4" s="1"/>
  <c r="I1423" i="4"/>
  <c r="E1423" i="4" s="1"/>
  <c r="I1424" i="4"/>
  <c r="E1424" i="4" s="1"/>
  <c r="I1425" i="4"/>
  <c r="E1425" i="4" s="1"/>
  <c r="I1426" i="4"/>
  <c r="E1426" i="4" s="1"/>
  <c r="I1427" i="4"/>
  <c r="E1427" i="4" s="1"/>
  <c r="I1428" i="4"/>
  <c r="E1428" i="4" s="1"/>
  <c r="I1429" i="4"/>
  <c r="E1429" i="4" s="1"/>
  <c r="I1430" i="4"/>
  <c r="E1430" i="4" s="1"/>
  <c r="I1431" i="4"/>
  <c r="E1431" i="4" s="1"/>
  <c r="I1432" i="4"/>
  <c r="E1432" i="4" s="1"/>
  <c r="I1433" i="4"/>
  <c r="E1433" i="4" s="1"/>
  <c r="I1434" i="4"/>
  <c r="E1434" i="4" s="1"/>
  <c r="I1435" i="4"/>
  <c r="E1435" i="4" s="1"/>
  <c r="I1436" i="4"/>
  <c r="E1436" i="4" s="1"/>
  <c r="I1437" i="4"/>
  <c r="E1437" i="4" s="1"/>
  <c r="I1438" i="4"/>
  <c r="E1438" i="4" s="1"/>
  <c r="I1439" i="4"/>
  <c r="E1439" i="4" s="1"/>
  <c r="I1440" i="4"/>
  <c r="E1440" i="4" s="1"/>
  <c r="I1441" i="4"/>
  <c r="E1441" i="4" s="1"/>
  <c r="I1442" i="4"/>
  <c r="E1442" i="4" s="1"/>
  <c r="I1443" i="4"/>
  <c r="E1443" i="4" s="1"/>
  <c r="I1444" i="4"/>
  <c r="E1444" i="4" s="1"/>
  <c r="I1445" i="4"/>
  <c r="E1445" i="4" s="1"/>
  <c r="I1446" i="4"/>
  <c r="E1446" i="4" s="1"/>
  <c r="I1447" i="4"/>
  <c r="E1447" i="4" s="1"/>
  <c r="I1448" i="4"/>
  <c r="E1448" i="4" s="1"/>
  <c r="I1449" i="4"/>
  <c r="E1449" i="4" s="1"/>
  <c r="I1450" i="4"/>
  <c r="E1450" i="4" s="1"/>
  <c r="I1451" i="4"/>
  <c r="E1451" i="4" s="1"/>
  <c r="I1452" i="4"/>
  <c r="E1452" i="4" s="1"/>
  <c r="I1453" i="4"/>
  <c r="E1453" i="4" s="1"/>
  <c r="I1454" i="4"/>
  <c r="E1454" i="4" s="1"/>
  <c r="I1455" i="4"/>
  <c r="E1455" i="4" s="1"/>
  <c r="I1456" i="4"/>
  <c r="E1456" i="4" s="1"/>
  <c r="I1457" i="4"/>
  <c r="E1457" i="4" s="1"/>
  <c r="I1458" i="4"/>
  <c r="E1458" i="4" s="1"/>
  <c r="I1459" i="4"/>
  <c r="E1459" i="4" s="1"/>
  <c r="I1460" i="4"/>
  <c r="E1460" i="4" s="1"/>
  <c r="I1461" i="4"/>
  <c r="E1461" i="4" s="1"/>
  <c r="I1462" i="4"/>
  <c r="E1462" i="4" s="1"/>
  <c r="I1463" i="4"/>
  <c r="E1463" i="4" s="1"/>
  <c r="I1464" i="4"/>
  <c r="E1464" i="4" s="1"/>
  <c r="I1465" i="4"/>
  <c r="E1465" i="4" s="1"/>
  <c r="I1466" i="4"/>
  <c r="E1466" i="4" s="1"/>
  <c r="I1467" i="4"/>
  <c r="E1467" i="4" s="1"/>
  <c r="I1468" i="4"/>
  <c r="E1468" i="4" s="1"/>
  <c r="I1469" i="4"/>
  <c r="E1469" i="4" s="1"/>
  <c r="I1470" i="4"/>
  <c r="E1470" i="4" s="1"/>
  <c r="I1471" i="4"/>
  <c r="E1471" i="4" s="1"/>
  <c r="I1472" i="4"/>
  <c r="E1472" i="4" s="1"/>
  <c r="I1473" i="4"/>
  <c r="E1473" i="4" s="1"/>
  <c r="I1474" i="4"/>
  <c r="E1474" i="4" s="1"/>
  <c r="I1475" i="4"/>
  <c r="E1475" i="4" s="1"/>
  <c r="I1476" i="4"/>
  <c r="E1476" i="4" s="1"/>
  <c r="I1477" i="4"/>
  <c r="E1477" i="4" s="1"/>
  <c r="I1478" i="4"/>
  <c r="E1478" i="4" s="1"/>
  <c r="I1479" i="4"/>
  <c r="E1479" i="4" s="1"/>
  <c r="I1480" i="4"/>
  <c r="E1480" i="4" s="1"/>
  <c r="I1481" i="4"/>
  <c r="E1481" i="4" s="1"/>
  <c r="I1482" i="4"/>
  <c r="E1482" i="4" s="1"/>
  <c r="I1483" i="4"/>
  <c r="E1483" i="4" s="1"/>
  <c r="I1484" i="4"/>
  <c r="E1484" i="4" s="1"/>
  <c r="I1485" i="4"/>
  <c r="E1485" i="4" s="1"/>
  <c r="I1486" i="4"/>
  <c r="E1486" i="4" s="1"/>
  <c r="I1487" i="4"/>
  <c r="E1487" i="4" s="1"/>
  <c r="I1488" i="4"/>
  <c r="E1488" i="4" s="1"/>
  <c r="I1489" i="4"/>
  <c r="E1489" i="4" s="1"/>
  <c r="I1490" i="4"/>
  <c r="E1490" i="4" s="1"/>
  <c r="I1491" i="4"/>
  <c r="E1491" i="4" s="1"/>
  <c r="I1492" i="4"/>
  <c r="E1492" i="4" s="1"/>
  <c r="I1493" i="4"/>
  <c r="E1493" i="4" s="1"/>
  <c r="I1494" i="4"/>
  <c r="E1494" i="4" s="1"/>
  <c r="I1495" i="4"/>
  <c r="E1495" i="4" s="1"/>
  <c r="I1496" i="4"/>
  <c r="E1496" i="4" s="1"/>
  <c r="I1497" i="4"/>
  <c r="E1497" i="4" s="1"/>
  <c r="I1498" i="4"/>
  <c r="E1498" i="4" s="1"/>
  <c r="I1499" i="4"/>
  <c r="E1499" i="4" s="1"/>
  <c r="I1500" i="4"/>
  <c r="E1500" i="4" s="1"/>
  <c r="I1501" i="4"/>
  <c r="E1501" i="4" s="1"/>
  <c r="I1502" i="4"/>
  <c r="E1502" i="4" s="1"/>
  <c r="I1503" i="4"/>
  <c r="E1503" i="4" s="1"/>
  <c r="I1504" i="4"/>
  <c r="E1504" i="4" s="1"/>
  <c r="I1505" i="4"/>
  <c r="E1505" i="4" s="1"/>
  <c r="I1506" i="4"/>
  <c r="E1506" i="4" s="1"/>
  <c r="I1507" i="4"/>
  <c r="E1507" i="4" s="1"/>
  <c r="I1508" i="4"/>
  <c r="E1508" i="4" s="1"/>
  <c r="I1509" i="4"/>
  <c r="E1509" i="4" s="1"/>
  <c r="I1510" i="4"/>
  <c r="E1510" i="4" s="1"/>
  <c r="I1511" i="4"/>
  <c r="E1511" i="4" s="1"/>
  <c r="I1512" i="4"/>
  <c r="E1512" i="4" s="1"/>
  <c r="I1513" i="4"/>
  <c r="E1513" i="4" s="1"/>
  <c r="I1514" i="4"/>
  <c r="E1514" i="4" s="1"/>
  <c r="I1515" i="4"/>
  <c r="E1515" i="4" s="1"/>
  <c r="I1516" i="4"/>
  <c r="E1516" i="4" s="1"/>
  <c r="I1517" i="4"/>
  <c r="E1517" i="4" s="1"/>
  <c r="I1518" i="4"/>
  <c r="E1518" i="4" s="1"/>
  <c r="I1519" i="4"/>
  <c r="E1519" i="4" s="1"/>
  <c r="I1520" i="4"/>
  <c r="E1520" i="4" s="1"/>
  <c r="I1521" i="4"/>
  <c r="E1521" i="4" s="1"/>
  <c r="I1522" i="4"/>
  <c r="E1522" i="4" s="1"/>
  <c r="I1523" i="4"/>
  <c r="E1523" i="4" s="1"/>
  <c r="I1524" i="4"/>
  <c r="E1524" i="4" s="1"/>
  <c r="I1525" i="4"/>
  <c r="E1525" i="4" s="1"/>
  <c r="I1526" i="4"/>
  <c r="E1526" i="4" s="1"/>
  <c r="I1527" i="4"/>
  <c r="E1527" i="4" s="1"/>
  <c r="I1528" i="4"/>
  <c r="E1528" i="4" s="1"/>
  <c r="I1529" i="4"/>
  <c r="E1529" i="4" s="1"/>
  <c r="I1530" i="4"/>
  <c r="E1530" i="4" s="1"/>
  <c r="I1531" i="4"/>
  <c r="E1531" i="4" s="1"/>
  <c r="I1532" i="4"/>
  <c r="E1532" i="4" s="1"/>
  <c r="I1533" i="4"/>
  <c r="E1533" i="4" s="1"/>
  <c r="I1534" i="4"/>
  <c r="E1534" i="4" s="1"/>
  <c r="I1535" i="4"/>
  <c r="E1535" i="4" s="1"/>
  <c r="I1536" i="4"/>
  <c r="E1536" i="4" s="1"/>
  <c r="I1537" i="4"/>
  <c r="E1537" i="4" s="1"/>
  <c r="I1538" i="4"/>
  <c r="E1538" i="4" s="1"/>
  <c r="I1539" i="4"/>
  <c r="E1539" i="4" s="1"/>
  <c r="I1540" i="4"/>
  <c r="E1540" i="4" s="1"/>
  <c r="I1541" i="4"/>
  <c r="E1541" i="4" s="1"/>
  <c r="I1542" i="4"/>
  <c r="E1542" i="4" s="1"/>
  <c r="I1543" i="4"/>
  <c r="E1543" i="4" s="1"/>
  <c r="I1544" i="4"/>
  <c r="E1544" i="4" s="1"/>
  <c r="I1545" i="4"/>
  <c r="E1545" i="4" s="1"/>
  <c r="I1546" i="4"/>
  <c r="E1546" i="4" s="1"/>
  <c r="I1547" i="4"/>
  <c r="E1547" i="4" s="1"/>
  <c r="I1548" i="4"/>
  <c r="E1548" i="4" s="1"/>
  <c r="I1549" i="4"/>
  <c r="E1549" i="4" s="1"/>
  <c r="I1550" i="4"/>
  <c r="E1550" i="4" s="1"/>
  <c r="I1551" i="4"/>
  <c r="E1551" i="4" s="1"/>
  <c r="I1552" i="4"/>
  <c r="E1552" i="4" s="1"/>
  <c r="I1553" i="4"/>
  <c r="E1553" i="4" s="1"/>
  <c r="I1554" i="4"/>
  <c r="E1554" i="4" s="1"/>
  <c r="I1555" i="4"/>
  <c r="E1555" i="4" s="1"/>
  <c r="I1556" i="4"/>
  <c r="E1556" i="4" s="1"/>
  <c r="I1557" i="4"/>
  <c r="E1557" i="4" s="1"/>
  <c r="I1558" i="4"/>
  <c r="E1558" i="4" s="1"/>
  <c r="I1559" i="4"/>
  <c r="E1559" i="4" s="1"/>
  <c r="I1560" i="4"/>
  <c r="E1560" i="4" s="1"/>
  <c r="I1561" i="4"/>
  <c r="E1561" i="4" s="1"/>
  <c r="I1562" i="4"/>
  <c r="E1562" i="4" s="1"/>
  <c r="I1563" i="4"/>
  <c r="E1563" i="4" s="1"/>
  <c r="I1564" i="4"/>
  <c r="E1564" i="4" s="1"/>
  <c r="I1565" i="4"/>
  <c r="E1565" i="4" s="1"/>
  <c r="I1566" i="4"/>
  <c r="E1566" i="4" s="1"/>
  <c r="I1567" i="4"/>
  <c r="E1567" i="4" s="1"/>
  <c r="I1568" i="4"/>
  <c r="E1568" i="4" s="1"/>
  <c r="I1569" i="4"/>
  <c r="E1569" i="4" s="1"/>
  <c r="I1570" i="4"/>
  <c r="E1570" i="4" s="1"/>
  <c r="I1571" i="4"/>
  <c r="E1571" i="4" s="1"/>
  <c r="I1572" i="4"/>
  <c r="E1572" i="4" s="1"/>
  <c r="I1573" i="4"/>
  <c r="E1573" i="4" s="1"/>
  <c r="I1574" i="4"/>
  <c r="E1574" i="4" s="1"/>
  <c r="I1575" i="4"/>
  <c r="E1575" i="4" s="1"/>
  <c r="I1576" i="4"/>
  <c r="E1576" i="4" s="1"/>
  <c r="I1577" i="4"/>
  <c r="E1577" i="4" s="1"/>
  <c r="I1578" i="4"/>
  <c r="E1578" i="4" s="1"/>
  <c r="I1579" i="4"/>
  <c r="E1579" i="4" s="1"/>
  <c r="I1580" i="4"/>
  <c r="E1580" i="4" s="1"/>
  <c r="I1581" i="4"/>
  <c r="E1581" i="4" s="1"/>
  <c r="I1582" i="4"/>
  <c r="E1582" i="4" s="1"/>
  <c r="I1583" i="4"/>
  <c r="E1583" i="4" s="1"/>
  <c r="I1584" i="4"/>
  <c r="E1584" i="4" s="1"/>
  <c r="I1585" i="4"/>
  <c r="E1585" i="4" s="1"/>
  <c r="I1586" i="4"/>
  <c r="E1586" i="4" s="1"/>
  <c r="I1587" i="4"/>
  <c r="E1587" i="4" s="1"/>
  <c r="I1588" i="4"/>
  <c r="E1588" i="4" s="1"/>
  <c r="I1589" i="4"/>
  <c r="E1589" i="4" s="1"/>
  <c r="I1590" i="4"/>
  <c r="E1590" i="4" s="1"/>
  <c r="I1591" i="4"/>
  <c r="E1591" i="4" s="1"/>
  <c r="I1592" i="4"/>
  <c r="E1592" i="4" s="1"/>
  <c r="I1593" i="4"/>
  <c r="E1593" i="4" s="1"/>
  <c r="I1594" i="4"/>
  <c r="E1594" i="4" s="1"/>
  <c r="I1595" i="4"/>
  <c r="E1595" i="4" s="1"/>
  <c r="I1596" i="4"/>
  <c r="E1596" i="4" s="1"/>
  <c r="I1597" i="4"/>
  <c r="E1597" i="4" s="1"/>
  <c r="I1598" i="4"/>
  <c r="E1598" i="4" s="1"/>
  <c r="I1599" i="4"/>
  <c r="E1599" i="4" s="1"/>
  <c r="I1600" i="4"/>
  <c r="E1600" i="4" s="1"/>
  <c r="I1601" i="4"/>
  <c r="E1601" i="4" s="1"/>
  <c r="I1602" i="4"/>
  <c r="E1602" i="4" s="1"/>
  <c r="I1603" i="4"/>
  <c r="E1603" i="4" s="1"/>
  <c r="I1604" i="4"/>
  <c r="E1604" i="4" s="1"/>
  <c r="I1605" i="4"/>
  <c r="E1605" i="4" s="1"/>
  <c r="I1606" i="4"/>
  <c r="E1606" i="4" s="1"/>
  <c r="I1607" i="4"/>
  <c r="E1607" i="4" s="1"/>
  <c r="I1608" i="4"/>
  <c r="E1608" i="4" s="1"/>
  <c r="I1609" i="4"/>
  <c r="E1609" i="4" s="1"/>
  <c r="I1610" i="4"/>
  <c r="E1610" i="4" s="1"/>
  <c r="I1611" i="4"/>
  <c r="E1611" i="4" s="1"/>
  <c r="I1612" i="4"/>
  <c r="E1612" i="4" s="1"/>
  <c r="I1613" i="4"/>
  <c r="E1613" i="4" s="1"/>
  <c r="I1614" i="4"/>
  <c r="E1614" i="4" s="1"/>
  <c r="I1615" i="4"/>
  <c r="E1615" i="4" s="1"/>
  <c r="I1616" i="4"/>
  <c r="E1616" i="4" s="1"/>
  <c r="I1617" i="4"/>
  <c r="E1617" i="4" s="1"/>
  <c r="I1618" i="4"/>
  <c r="E1618" i="4" s="1"/>
  <c r="I1619" i="4"/>
  <c r="E1619" i="4" s="1"/>
  <c r="I1620" i="4"/>
  <c r="E1620" i="4" s="1"/>
  <c r="I1621" i="4"/>
  <c r="E1621" i="4" s="1"/>
  <c r="I1622" i="4"/>
  <c r="E1622" i="4" s="1"/>
  <c r="I1623" i="4"/>
  <c r="E1623" i="4" s="1"/>
  <c r="I1624" i="4"/>
  <c r="E1624" i="4" s="1"/>
  <c r="I1625" i="4"/>
  <c r="E1625" i="4" s="1"/>
  <c r="I1626" i="4"/>
  <c r="E1626" i="4" s="1"/>
  <c r="H2" i="4"/>
  <c r="D2" i="4" s="1"/>
  <c r="H3" i="4"/>
  <c r="D3" i="4" s="1"/>
  <c r="H4" i="4"/>
  <c r="D4" i="4" s="1"/>
  <c r="H5" i="4"/>
  <c r="D5" i="4" s="1"/>
  <c r="H6" i="4"/>
  <c r="D6" i="4" s="1"/>
  <c r="H7" i="4"/>
  <c r="D7" i="4" s="1"/>
  <c r="H8" i="4"/>
  <c r="D8" i="4" s="1"/>
  <c r="H9" i="4"/>
  <c r="D9" i="4" s="1"/>
  <c r="H10" i="4"/>
  <c r="D10" i="4" s="1"/>
  <c r="H11" i="4"/>
  <c r="D11" i="4" s="1"/>
  <c r="H12" i="4"/>
  <c r="D12" i="4" s="1"/>
  <c r="H13" i="4"/>
  <c r="D13" i="4" s="1"/>
  <c r="H14" i="4"/>
  <c r="D14" i="4" s="1"/>
  <c r="H15" i="4"/>
  <c r="D15" i="4" s="1"/>
  <c r="H16" i="4"/>
  <c r="D16" i="4" s="1"/>
  <c r="H17" i="4"/>
  <c r="D17" i="4" s="1"/>
  <c r="H18" i="4"/>
  <c r="D18" i="4" s="1"/>
  <c r="H19" i="4"/>
  <c r="D19" i="4" s="1"/>
  <c r="H20" i="4"/>
  <c r="D20" i="4" s="1"/>
  <c r="H21" i="4"/>
  <c r="D21" i="4" s="1"/>
  <c r="H22" i="4"/>
  <c r="D22" i="4" s="1"/>
  <c r="H23" i="4"/>
  <c r="D23" i="4" s="1"/>
  <c r="H24" i="4"/>
  <c r="D24" i="4" s="1"/>
  <c r="H25" i="4"/>
  <c r="D25" i="4" s="1"/>
  <c r="H26" i="4"/>
  <c r="D26" i="4" s="1"/>
  <c r="H27" i="4"/>
  <c r="D27" i="4" s="1"/>
  <c r="H28" i="4"/>
  <c r="D28" i="4" s="1"/>
  <c r="H29" i="4"/>
  <c r="D29" i="4" s="1"/>
  <c r="H30" i="4"/>
  <c r="D30" i="4" s="1"/>
  <c r="H31" i="4"/>
  <c r="D31" i="4" s="1"/>
  <c r="H32" i="4"/>
  <c r="D32" i="4" s="1"/>
  <c r="H33" i="4"/>
  <c r="D33" i="4" s="1"/>
  <c r="H34" i="4"/>
  <c r="D34" i="4" s="1"/>
  <c r="H35" i="4"/>
  <c r="D35" i="4" s="1"/>
  <c r="H36" i="4"/>
  <c r="D36" i="4" s="1"/>
  <c r="H37" i="4"/>
  <c r="D37" i="4" s="1"/>
  <c r="H38" i="4"/>
  <c r="D38" i="4" s="1"/>
  <c r="H39" i="4"/>
  <c r="D39" i="4" s="1"/>
  <c r="H40" i="4"/>
  <c r="D40" i="4" s="1"/>
  <c r="H41" i="4"/>
  <c r="D41" i="4" s="1"/>
  <c r="H42" i="4"/>
  <c r="D42" i="4" s="1"/>
  <c r="H43" i="4"/>
  <c r="D43" i="4" s="1"/>
  <c r="H44" i="4"/>
  <c r="D44" i="4" s="1"/>
  <c r="H45" i="4"/>
  <c r="D45" i="4" s="1"/>
  <c r="H46" i="4"/>
  <c r="D46" i="4" s="1"/>
  <c r="H47" i="4"/>
  <c r="D47" i="4" s="1"/>
  <c r="H48" i="4"/>
  <c r="D48" i="4" s="1"/>
  <c r="H49" i="4"/>
  <c r="D49" i="4" s="1"/>
  <c r="H50" i="4"/>
  <c r="D50" i="4" s="1"/>
  <c r="H51" i="4"/>
  <c r="D51" i="4" s="1"/>
  <c r="H52" i="4"/>
  <c r="D52" i="4" s="1"/>
  <c r="H53" i="4"/>
  <c r="D53" i="4" s="1"/>
  <c r="H54" i="4"/>
  <c r="D54" i="4" s="1"/>
  <c r="H55" i="4"/>
  <c r="D55" i="4" s="1"/>
  <c r="H56" i="4"/>
  <c r="D56" i="4" s="1"/>
  <c r="H57" i="4"/>
  <c r="D57" i="4" s="1"/>
  <c r="H58" i="4"/>
  <c r="D58" i="4" s="1"/>
  <c r="H59" i="4"/>
  <c r="D59" i="4" s="1"/>
  <c r="H60" i="4"/>
  <c r="D60" i="4" s="1"/>
  <c r="H61" i="4"/>
  <c r="D61" i="4" s="1"/>
  <c r="H62" i="4"/>
  <c r="D62" i="4" s="1"/>
  <c r="H63" i="4"/>
  <c r="D63" i="4" s="1"/>
  <c r="H64" i="4"/>
  <c r="D64" i="4" s="1"/>
  <c r="H65" i="4"/>
  <c r="D65" i="4" s="1"/>
  <c r="H66" i="4"/>
  <c r="D66" i="4" s="1"/>
  <c r="H67" i="4"/>
  <c r="D67" i="4" s="1"/>
  <c r="H68" i="4"/>
  <c r="D68" i="4" s="1"/>
  <c r="H69" i="4"/>
  <c r="D69" i="4" s="1"/>
  <c r="H70" i="4"/>
  <c r="D70" i="4" s="1"/>
  <c r="H71" i="4"/>
  <c r="D71" i="4" s="1"/>
  <c r="H72" i="4"/>
  <c r="D72" i="4" s="1"/>
  <c r="H73" i="4"/>
  <c r="D73" i="4" s="1"/>
  <c r="H74" i="4"/>
  <c r="D74" i="4" s="1"/>
  <c r="H75" i="4"/>
  <c r="D75" i="4" s="1"/>
  <c r="H76" i="4"/>
  <c r="D76" i="4" s="1"/>
  <c r="H77" i="4"/>
  <c r="D77" i="4" s="1"/>
  <c r="H78" i="4"/>
  <c r="D78" i="4" s="1"/>
  <c r="H79" i="4"/>
  <c r="D79" i="4" s="1"/>
  <c r="H80" i="4"/>
  <c r="D80" i="4" s="1"/>
  <c r="H81" i="4"/>
  <c r="D81" i="4" s="1"/>
  <c r="H82" i="4"/>
  <c r="D82" i="4" s="1"/>
  <c r="H83" i="4"/>
  <c r="D83" i="4" s="1"/>
  <c r="H84" i="4"/>
  <c r="D84" i="4" s="1"/>
  <c r="H85" i="4"/>
  <c r="D85" i="4" s="1"/>
  <c r="H86" i="4"/>
  <c r="D86" i="4" s="1"/>
  <c r="H87" i="4"/>
  <c r="D87" i="4" s="1"/>
  <c r="H88" i="4"/>
  <c r="D88" i="4" s="1"/>
  <c r="H89" i="4"/>
  <c r="D89" i="4" s="1"/>
  <c r="H90" i="4"/>
  <c r="D90" i="4" s="1"/>
  <c r="H91" i="4"/>
  <c r="D91" i="4" s="1"/>
  <c r="H92" i="4"/>
  <c r="D92" i="4" s="1"/>
  <c r="H93" i="4"/>
  <c r="D93" i="4" s="1"/>
  <c r="H94" i="4"/>
  <c r="D94" i="4" s="1"/>
  <c r="H95" i="4"/>
  <c r="D95" i="4" s="1"/>
  <c r="H96" i="4"/>
  <c r="D96" i="4" s="1"/>
  <c r="H97" i="4"/>
  <c r="D97" i="4" s="1"/>
  <c r="H98" i="4"/>
  <c r="D98" i="4" s="1"/>
  <c r="H99" i="4"/>
  <c r="D99" i="4" s="1"/>
  <c r="H100" i="4"/>
  <c r="D100" i="4" s="1"/>
  <c r="H101" i="4"/>
  <c r="D101" i="4" s="1"/>
  <c r="H102" i="4"/>
  <c r="D102" i="4" s="1"/>
  <c r="H103" i="4"/>
  <c r="D103" i="4" s="1"/>
  <c r="H104" i="4"/>
  <c r="D104" i="4" s="1"/>
  <c r="H105" i="4"/>
  <c r="D105" i="4" s="1"/>
  <c r="H106" i="4"/>
  <c r="D106" i="4" s="1"/>
  <c r="H107" i="4"/>
  <c r="D107" i="4" s="1"/>
  <c r="H108" i="4"/>
  <c r="D108" i="4" s="1"/>
  <c r="H109" i="4"/>
  <c r="D109" i="4" s="1"/>
  <c r="H110" i="4"/>
  <c r="D110" i="4" s="1"/>
  <c r="H111" i="4"/>
  <c r="D111" i="4" s="1"/>
  <c r="H112" i="4"/>
  <c r="D112" i="4" s="1"/>
  <c r="H113" i="4"/>
  <c r="D113" i="4" s="1"/>
  <c r="H114" i="4"/>
  <c r="D114" i="4" s="1"/>
  <c r="H115" i="4"/>
  <c r="D115" i="4" s="1"/>
  <c r="H116" i="4"/>
  <c r="D116" i="4" s="1"/>
  <c r="H117" i="4"/>
  <c r="D117" i="4" s="1"/>
  <c r="H118" i="4"/>
  <c r="D118" i="4" s="1"/>
  <c r="H119" i="4"/>
  <c r="D119" i="4" s="1"/>
  <c r="H120" i="4"/>
  <c r="D120" i="4" s="1"/>
  <c r="H121" i="4"/>
  <c r="D121" i="4" s="1"/>
  <c r="H122" i="4"/>
  <c r="D122" i="4" s="1"/>
  <c r="H123" i="4"/>
  <c r="D123" i="4" s="1"/>
  <c r="H124" i="4"/>
  <c r="D124" i="4" s="1"/>
  <c r="H125" i="4"/>
  <c r="D125" i="4" s="1"/>
  <c r="H126" i="4"/>
  <c r="D126" i="4" s="1"/>
  <c r="H127" i="4"/>
  <c r="D127" i="4" s="1"/>
  <c r="H128" i="4"/>
  <c r="D128" i="4" s="1"/>
  <c r="H129" i="4"/>
  <c r="D129" i="4" s="1"/>
  <c r="H130" i="4"/>
  <c r="D130" i="4" s="1"/>
  <c r="H131" i="4"/>
  <c r="D131" i="4" s="1"/>
  <c r="H132" i="4"/>
  <c r="D132" i="4" s="1"/>
  <c r="H133" i="4"/>
  <c r="D133" i="4" s="1"/>
  <c r="H134" i="4"/>
  <c r="D134" i="4" s="1"/>
  <c r="H135" i="4"/>
  <c r="D135" i="4" s="1"/>
  <c r="H136" i="4"/>
  <c r="D136" i="4" s="1"/>
  <c r="H137" i="4"/>
  <c r="D137" i="4" s="1"/>
  <c r="H138" i="4"/>
  <c r="D138" i="4" s="1"/>
  <c r="H139" i="4"/>
  <c r="D139" i="4" s="1"/>
  <c r="H140" i="4"/>
  <c r="D140" i="4" s="1"/>
  <c r="H141" i="4"/>
  <c r="D141" i="4" s="1"/>
  <c r="H142" i="4"/>
  <c r="D142" i="4" s="1"/>
  <c r="H143" i="4"/>
  <c r="D143" i="4" s="1"/>
  <c r="H144" i="4"/>
  <c r="H145" i="4"/>
  <c r="D145" i="4" s="1"/>
  <c r="H146" i="4"/>
  <c r="D146" i="4" s="1"/>
  <c r="H147" i="4"/>
  <c r="D147" i="4" s="1"/>
  <c r="H148" i="4"/>
  <c r="D148" i="4" s="1"/>
  <c r="H149" i="4"/>
  <c r="D149" i="4" s="1"/>
  <c r="H150" i="4"/>
  <c r="D150" i="4" s="1"/>
  <c r="H151" i="4"/>
  <c r="D151" i="4" s="1"/>
  <c r="H152" i="4"/>
  <c r="D152" i="4" s="1"/>
  <c r="H153" i="4"/>
  <c r="D153" i="4" s="1"/>
  <c r="H154" i="4"/>
  <c r="D154" i="4" s="1"/>
  <c r="H155" i="4"/>
  <c r="D155" i="4" s="1"/>
  <c r="H156" i="4"/>
  <c r="D156" i="4" s="1"/>
  <c r="H157" i="4"/>
  <c r="D157" i="4" s="1"/>
  <c r="H158" i="4"/>
  <c r="D158" i="4" s="1"/>
  <c r="H159" i="4"/>
  <c r="D159" i="4" s="1"/>
  <c r="H160" i="4"/>
  <c r="D160" i="4" s="1"/>
  <c r="H161" i="4"/>
  <c r="D161" i="4" s="1"/>
  <c r="H162" i="4"/>
  <c r="D162" i="4" s="1"/>
  <c r="H163" i="4"/>
  <c r="D163" i="4" s="1"/>
  <c r="H164" i="4"/>
  <c r="D164" i="4" s="1"/>
  <c r="H165" i="4"/>
  <c r="D165" i="4" s="1"/>
  <c r="H166" i="4"/>
  <c r="D166" i="4" s="1"/>
  <c r="H167" i="4"/>
  <c r="D167" i="4" s="1"/>
  <c r="H168" i="4"/>
  <c r="D168" i="4" s="1"/>
  <c r="H169" i="4"/>
  <c r="D169" i="4" s="1"/>
  <c r="H170" i="4"/>
  <c r="D170" i="4" s="1"/>
  <c r="H171" i="4"/>
  <c r="D171" i="4" s="1"/>
  <c r="H172" i="4"/>
  <c r="D172" i="4" s="1"/>
  <c r="H173" i="4"/>
  <c r="D173" i="4" s="1"/>
  <c r="H174" i="4"/>
  <c r="D174" i="4" s="1"/>
  <c r="H175" i="4"/>
  <c r="D175" i="4" s="1"/>
  <c r="H176" i="4"/>
  <c r="D176" i="4" s="1"/>
  <c r="H177" i="4"/>
  <c r="D177" i="4" s="1"/>
  <c r="H178" i="4"/>
  <c r="D178" i="4" s="1"/>
  <c r="H179" i="4"/>
  <c r="D179" i="4" s="1"/>
  <c r="H180" i="4"/>
  <c r="D180" i="4" s="1"/>
  <c r="H181" i="4"/>
  <c r="D181" i="4" s="1"/>
  <c r="H182" i="4"/>
  <c r="D182" i="4" s="1"/>
  <c r="H183" i="4"/>
  <c r="D183" i="4" s="1"/>
  <c r="H184" i="4"/>
  <c r="D184" i="4" s="1"/>
  <c r="H185" i="4"/>
  <c r="D185" i="4" s="1"/>
  <c r="H186" i="4"/>
  <c r="D186" i="4" s="1"/>
  <c r="H187" i="4"/>
  <c r="D187" i="4" s="1"/>
  <c r="H188" i="4"/>
  <c r="D188" i="4" s="1"/>
  <c r="H189" i="4"/>
  <c r="D189" i="4" s="1"/>
  <c r="H190" i="4"/>
  <c r="D190" i="4" s="1"/>
  <c r="H191" i="4"/>
  <c r="D191" i="4" s="1"/>
  <c r="H192" i="4"/>
  <c r="D192" i="4" s="1"/>
  <c r="H193" i="4"/>
  <c r="D193" i="4" s="1"/>
  <c r="H194" i="4"/>
  <c r="D194" i="4" s="1"/>
  <c r="H195" i="4"/>
  <c r="D195" i="4" s="1"/>
  <c r="H196" i="4"/>
  <c r="D196" i="4" s="1"/>
  <c r="H197" i="4"/>
  <c r="D197" i="4" s="1"/>
  <c r="H198" i="4"/>
  <c r="D198" i="4" s="1"/>
  <c r="H199" i="4"/>
  <c r="D199" i="4" s="1"/>
  <c r="H200" i="4"/>
  <c r="D200" i="4" s="1"/>
  <c r="H201" i="4"/>
  <c r="D201" i="4" s="1"/>
  <c r="H202" i="4"/>
  <c r="D202" i="4" s="1"/>
  <c r="H203" i="4"/>
  <c r="D203" i="4" s="1"/>
  <c r="H204" i="4"/>
  <c r="D204" i="4" s="1"/>
  <c r="H205" i="4"/>
  <c r="D205" i="4" s="1"/>
  <c r="H206" i="4"/>
  <c r="D206" i="4" s="1"/>
  <c r="H207" i="4"/>
  <c r="D207" i="4" s="1"/>
  <c r="H208" i="4"/>
  <c r="D208" i="4" s="1"/>
  <c r="H209" i="4"/>
  <c r="D209" i="4" s="1"/>
  <c r="H210" i="4"/>
  <c r="D210" i="4" s="1"/>
  <c r="H211" i="4"/>
  <c r="D211" i="4" s="1"/>
  <c r="H212" i="4"/>
  <c r="D212" i="4" s="1"/>
  <c r="H213" i="4"/>
  <c r="D213" i="4" s="1"/>
  <c r="H214" i="4"/>
  <c r="D214" i="4" s="1"/>
  <c r="H215" i="4"/>
  <c r="D215" i="4" s="1"/>
  <c r="H216" i="4"/>
  <c r="D216" i="4" s="1"/>
  <c r="H217" i="4"/>
  <c r="D217" i="4" s="1"/>
  <c r="H218" i="4"/>
  <c r="D218" i="4" s="1"/>
  <c r="H219" i="4"/>
  <c r="D219" i="4" s="1"/>
  <c r="H220" i="4"/>
  <c r="D220" i="4" s="1"/>
  <c r="H221" i="4"/>
  <c r="D221" i="4" s="1"/>
  <c r="H222" i="4"/>
  <c r="D222" i="4" s="1"/>
  <c r="H223" i="4"/>
  <c r="D223" i="4" s="1"/>
  <c r="H224" i="4"/>
  <c r="D224" i="4" s="1"/>
  <c r="H225" i="4"/>
  <c r="D225" i="4" s="1"/>
  <c r="H226" i="4"/>
  <c r="D226" i="4" s="1"/>
  <c r="H227" i="4"/>
  <c r="D227" i="4" s="1"/>
  <c r="H228" i="4"/>
  <c r="D228" i="4" s="1"/>
  <c r="H229" i="4"/>
  <c r="D229" i="4" s="1"/>
  <c r="H230" i="4"/>
  <c r="D230" i="4" s="1"/>
  <c r="H231" i="4"/>
  <c r="D231" i="4" s="1"/>
  <c r="H232" i="4"/>
  <c r="D232" i="4" s="1"/>
  <c r="H233" i="4"/>
  <c r="D233" i="4" s="1"/>
  <c r="H234" i="4"/>
  <c r="D234" i="4" s="1"/>
  <c r="H235" i="4"/>
  <c r="D235" i="4" s="1"/>
  <c r="H236" i="4"/>
  <c r="D236" i="4" s="1"/>
  <c r="H237" i="4"/>
  <c r="D237" i="4" s="1"/>
  <c r="H238" i="4"/>
  <c r="D238" i="4" s="1"/>
  <c r="H239" i="4"/>
  <c r="D239" i="4" s="1"/>
  <c r="H240" i="4"/>
  <c r="D240" i="4" s="1"/>
  <c r="H241" i="4"/>
  <c r="D241" i="4" s="1"/>
  <c r="H242" i="4"/>
  <c r="D242" i="4" s="1"/>
  <c r="H243" i="4"/>
  <c r="D243" i="4" s="1"/>
  <c r="H244" i="4"/>
  <c r="D244" i="4" s="1"/>
  <c r="H245" i="4"/>
  <c r="D245" i="4" s="1"/>
  <c r="H246" i="4"/>
  <c r="D246" i="4" s="1"/>
  <c r="H247" i="4"/>
  <c r="D247" i="4" s="1"/>
  <c r="H248" i="4"/>
  <c r="D248" i="4" s="1"/>
  <c r="H249" i="4"/>
  <c r="D249" i="4" s="1"/>
  <c r="H250" i="4"/>
  <c r="D250" i="4" s="1"/>
  <c r="H251" i="4"/>
  <c r="D251" i="4" s="1"/>
  <c r="H252" i="4"/>
  <c r="D252" i="4" s="1"/>
  <c r="H253" i="4"/>
  <c r="D253" i="4" s="1"/>
  <c r="H254" i="4"/>
  <c r="D254" i="4" s="1"/>
  <c r="H255" i="4"/>
  <c r="D255" i="4" s="1"/>
  <c r="H256" i="4"/>
  <c r="D256" i="4" s="1"/>
  <c r="H257" i="4"/>
  <c r="D257" i="4" s="1"/>
  <c r="H258" i="4"/>
  <c r="D258" i="4" s="1"/>
  <c r="H259" i="4"/>
  <c r="D259" i="4" s="1"/>
  <c r="H260" i="4"/>
  <c r="D260" i="4" s="1"/>
  <c r="H261" i="4"/>
  <c r="D261" i="4" s="1"/>
  <c r="H262" i="4"/>
  <c r="D262" i="4" s="1"/>
  <c r="H263" i="4"/>
  <c r="D263" i="4" s="1"/>
  <c r="H264" i="4"/>
  <c r="D264" i="4" s="1"/>
  <c r="H265" i="4"/>
  <c r="D265" i="4" s="1"/>
  <c r="H266" i="4"/>
  <c r="D266" i="4" s="1"/>
  <c r="H267" i="4"/>
  <c r="D267" i="4" s="1"/>
  <c r="H268" i="4"/>
  <c r="D268" i="4" s="1"/>
  <c r="H269" i="4"/>
  <c r="D269" i="4" s="1"/>
  <c r="H270" i="4"/>
  <c r="D270" i="4" s="1"/>
  <c r="H271" i="4"/>
  <c r="D271" i="4" s="1"/>
  <c r="H272" i="4"/>
  <c r="D272" i="4" s="1"/>
  <c r="H273" i="4"/>
  <c r="D273" i="4" s="1"/>
  <c r="H274" i="4"/>
  <c r="D274" i="4" s="1"/>
  <c r="H275" i="4"/>
  <c r="D275" i="4" s="1"/>
  <c r="H276" i="4"/>
  <c r="D276" i="4" s="1"/>
  <c r="H277" i="4"/>
  <c r="D277" i="4" s="1"/>
  <c r="H278" i="4"/>
  <c r="D278" i="4" s="1"/>
  <c r="H279" i="4"/>
  <c r="D279" i="4" s="1"/>
  <c r="H280" i="4"/>
  <c r="D280" i="4" s="1"/>
  <c r="H281" i="4"/>
  <c r="D281" i="4" s="1"/>
  <c r="H282" i="4"/>
  <c r="D282" i="4" s="1"/>
  <c r="H283" i="4"/>
  <c r="D283" i="4" s="1"/>
  <c r="H284" i="4"/>
  <c r="D284" i="4" s="1"/>
  <c r="H285" i="4"/>
  <c r="D285" i="4" s="1"/>
  <c r="H286" i="4"/>
  <c r="D286" i="4" s="1"/>
  <c r="H287" i="4"/>
  <c r="D287" i="4" s="1"/>
  <c r="H288" i="4"/>
  <c r="D288" i="4" s="1"/>
  <c r="H289" i="4"/>
  <c r="D289" i="4" s="1"/>
  <c r="H290" i="4"/>
  <c r="D290" i="4" s="1"/>
  <c r="H291" i="4"/>
  <c r="D291" i="4" s="1"/>
  <c r="H292" i="4"/>
  <c r="D292" i="4" s="1"/>
  <c r="H293" i="4"/>
  <c r="D293" i="4" s="1"/>
  <c r="H294" i="4"/>
  <c r="D294" i="4" s="1"/>
  <c r="H295" i="4"/>
  <c r="D295" i="4" s="1"/>
  <c r="H296" i="4"/>
  <c r="D296" i="4" s="1"/>
  <c r="H297" i="4"/>
  <c r="D297" i="4" s="1"/>
  <c r="H298" i="4"/>
  <c r="D298" i="4" s="1"/>
  <c r="H299" i="4"/>
  <c r="D299" i="4" s="1"/>
  <c r="H300" i="4"/>
  <c r="D300" i="4" s="1"/>
  <c r="H301" i="4"/>
  <c r="D301" i="4" s="1"/>
  <c r="H302" i="4"/>
  <c r="D302" i="4" s="1"/>
  <c r="H303" i="4"/>
  <c r="D303" i="4" s="1"/>
  <c r="H304" i="4"/>
  <c r="D304" i="4" s="1"/>
  <c r="H305" i="4"/>
  <c r="D305" i="4" s="1"/>
  <c r="H306" i="4"/>
  <c r="D306" i="4" s="1"/>
  <c r="H307" i="4"/>
  <c r="D307" i="4" s="1"/>
  <c r="H308" i="4"/>
  <c r="D308" i="4" s="1"/>
  <c r="H309" i="4"/>
  <c r="D309" i="4" s="1"/>
  <c r="H310" i="4"/>
  <c r="D310" i="4" s="1"/>
  <c r="H311" i="4"/>
  <c r="D311" i="4" s="1"/>
  <c r="H312" i="4"/>
  <c r="D312" i="4" s="1"/>
  <c r="H313" i="4"/>
  <c r="D313" i="4" s="1"/>
  <c r="H314" i="4"/>
  <c r="D314" i="4" s="1"/>
  <c r="H315" i="4"/>
  <c r="D315" i="4" s="1"/>
  <c r="H316" i="4"/>
  <c r="D316" i="4" s="1"/>
  <c r="H317" i="4"/>
  <c r="D317" i="4" s="1"/>
  <c r="H318" i="4"/>
  <c r="D318" i="4" s="1"/>
  <c r="H319" i="4"/>
  <c r="D319" i="4" s="1"/>
  <c r="H320" i="4"/>
  <c r="D320" i="4" s="1"/>
  <c r="H321" i="4"/>
  <c r="D321" i="4" s="1"/>
  <c r="H322" i="4"/>
  <c r="D322" i="4" s="1"/>
  <c r="H323" i="4"/>
  <c r="D323" i="4" s="1"/>
  <c r="H324" i="4"/>
  <c r="D324" i="4" s="1"/>
  <c r="H325" i="4"/>
  <c r="D325" i="4" s="1"/>
  <c r="H326" i="4"/>
  <c r="D326" i="4" s="1"/>
  <c r="H327" i="4"/>
  <c r="D327" i="4" s="1"/>
  <c r="H328" i="4"/>
  <c r="D328" i="4" s="1"/>
  <c r="H329" i="4"/>
  <c r="D329" i="4" s="1"/>
  <c r="H330" i="4"/>
  <c r="D330" i="4" s="1"/>
  <c r="H331" i="4"/>
  <c r="D331" i="4" s="1"/>
  <c r="H332" i="4"/>
  <c r="D332" i="4" s="1"/>
  <c r="H333" i="4"/>
  <c r="D333" i="4" s="1"/>
  <c r="H334" i="4"/>
  <c r="D334" i="4" s="1"/>
  <c r="H335" i="4"/>
  <c r="D335" i="4" s="1"/>
  <c r="H336" i="4"/>
  <c r="D336" i="4" s="1"/>
  <c r="H337" i="4"/>
  <c r="D337" i="4" s="1"/>
  <c r="H338" i="4"/>
  <c r="D338" i="4" s="1"/>
  <c r="H339" i="4"/>
  <c r="D339" i="4" s="1"/>
  <c r="H340" i="4"/>
  <c r="D340" i="4" s="1"/>
  <c r="H341" i="4"/>
  <c r="D341" i="4" s="1"/>
  <c r="H342" i="4"/>
  <c r="D342" i="4" s="1"/>
  <c r="H343" i="4"/>
  <c r="D343" i="4" s="1"/>
  <c r="H344" i="4"/>
  <c r="D344" i="4" s="1"/>
  <c r="H345" i="4"/>
  <c r="D345" i="4" s="1"/>
  <c r="H346" i="4"/>
  <c r="D346" i="4" s="1"/>
  <c r="H347" i="4"/>
  <c r="D347" i="4" s="1"/>
  <c r="H348" i="4"/>
  <c r="D348" i="4" s="1"/>
  <c r="H349" i="4"/>
  <c r="D349" i="4" s="1"/>
  <c r="H350" i="4"/>
  <c r="D350" i="4" s="1"/>
  <c r="H351" i="4"/>
  <c r="D351" i="4" s="1"/>
  <c r="H352" i="4"/>
  <c r="D352" i="4" s="1"/>
  <c r="H353" i="4"/>
  <c r="D353" i="4" s="1"/>
  <c r="H354" i="4"/>
  <c r="D354" i="4" s="1"/>
  <c r="H355" i="4"/>
  <c r="D355" i="4" s="1"/>
  <c r="H356" i="4"/>
  <c r="D356" i="4" s="1"/>
  <c r="H357" i="4"/>
  <c r="D357" i="4" s="1"/>
  <c r="H358" i="4"/>
  <c r="D358" i="4" s="1"/>
  <c r="H359" i="4"/>
  <c r="D359" i="4" s="1"/>
  <c r="H360" i="4"/>
  <c r="D360" i="4" s="1"/>
  <c r="H361" i="4"/>
  <c r="D361" i="4" s="1"/>
  <c r="H362" i="4"/>
  <c r="D362" i="4" s="1"/>
  <c r="H363" i="4"/>
  <c r="D363" i="4" s="1"/>
  <c r="H364" i="4"/>
  <c r="D364" i="4" s="1"/>
  <c r="H365" i="4"/>
  <c r="D365" i="4" s="1"/>
  <c r="H366" i="4"/>
  <c r="D366" i="4" s="1"/>
  <c r="H367" i="4"/>
  <c r="D367" i="4" s="1"/>
  <c r="H368" i="4"/>
  <c r="H369" i="4"/>
  <c r="D369" i="4" s="1"/>
  <c r="H370" i="4"/>
  <c r="D370" i="4" s="1"/>
  <c r="H371" i="4"/>
  <c r="D371" i="4" s="1"/>
  <c r="H372" i="4"/>
  <c r="D372" i="4" s="1"/>
  <c r="H373" i="4"/>
  <c r="D373" i="4" s="1"/>
  <c r="H374" i="4"/>
  <c r="D374" i="4" s="1"/>
  <c r="H375" i="4"/>
  <c r="D375" i="4" s="1"/>
  <c r="H376" i="4"/>
  <c r="D376" i="4" s="1"/>
  <c r="H377" i="4"/>
  <c r="D377" i="4" s="1"/>
  <c r="H378" i="4"/>
  <c r="D378" i="4" s="1"/>
  <c r="H379" i="4"/>
  <c r="D379" i="4" s="1"/>
  <c r="H380" i="4"/>
  <c r="D380" i="4" s="1"/>
  <c r="H381" i="4"/>
  <c r="D381" i="4" s="1"/>
  <c r="H382" i="4"/>
  <c r="D382" i="4" s="1"/>
  <c r="H383" i="4"/>
  <c r="D383" i="4" s="1"/>
  <c r="H384" i="4"/>
  <c r="D384" i="4" s="1"/>
  <c r="H385" i="4"/>
  <c r="D385" i="4" s="1"/>
  <c r="H386" i="4"/>
  <c r="D386" i="4" s="1"/>
  <c r="H387" i="4"/>
  <c r="D387" i="4" s="1"/>
  <c r="H388" i="4"/>
  <c r="D388" i="4" s="1"/>
  <c r="H389" i="4"/>
  <c r="D389" i="4" s="1"/>
  <c r="H390" i="4"/>
  <c r="D390" i="4" s="1"/>
  <c r="H391" i="4"/>
  <c r="D391" i="4" s="1"/>
  <c r="H392" i="4"/>
  <c r="D392" i="4" s="1"/>
  <c r="H393" i="4"/>
  <c r="D393" i="4" s="1"/>
  <c r="H394" i="4"/>
  <c r="D394" i="4" s="1"/>
  <c r="H395" i="4"/>
  <c r="D395" i="4" s="1"/>
  <c r="H396" i="4"/>
  <c r="D396" i="4" s="1"/>
  <c r="H397" i="4"/>
  <c r="D397" i="4" s="1"/>
  <c r="H398" i="4"/>
  <c r="D398" i="4" s="1"/>
  <c r="H399" i="4"/>
  <c r="D399" i="4" s="1"/>
  <c r="H400" i="4"/>
  <c r="D400" i="4" s="1"/>
  <c r="H401" i="4"/>
  <c r="D401" i="4" s="1"/>
  <c r="H402" i="4"/>
  <c r="D402" i="4" s="1"/>
  <c r="H403" i="4"/>
  <c r="D403" i="4" s="1"/>
  <c r="H404" i="4"/>
  <c r="D404" i="4" s="1"/>
  <c r="H405" i="4"/>
  <c r="D405" i="4" s="1"/>
  <c r="H406" i="4"/>
  <c r="D406" i="4" s="1"/>
  <c r="H407" i="4"/>
  <c r="D407" i="4" s="1"/>
  <c r="H408" i="4"/>
  <c r="D408" i="4" s="1"/>
  <c r="H409" i="4"/>
  <c r="D409" i="4" s="1"/>
  <c r="H410" i="4"/>
  <c r="D410" i="4" s="1"/>
  <c r="H411" i="4"/>
  <c r="D411" i="4" s="1"/>
  <c r="H412" i="4"/>
  <c r="D412" i="4" s="1"/>
  <c r="H413" i="4"/>
  <c r="D413" i="4" s="1"/>
  <c r="H414" i="4"/>
  <c r="D414" i="4" s="1"/>
  <c r="H415" i="4"/>
  <c r="D415" i="4" s="1"/>
  <c r="H416" i="4"/>
  <c r="D416" i="4" s="1"/>
  <c r="H417" i="4"/>
  <c r="D417" i="4" s="1"/>
  <c r="H418" i="4"/>
  <c r="D418" i="4" s="1"/>
  <c r="H419" i="4"/>
  <c r="D419" i="4" s="1"/>
  <c r="H420" i="4"/>
  <c r="D420" i="4" s="1"/>
  <c r="H421" i="4"/>
  <c r="D421" i="4" s="1"/>
  <c r="H422" i="4"/>
  <c r="D422" i="4" s="1"/>
  <c r="H423" i="4"/>
  <c r="D423" i="4" s="1"/>
  <c r="H424" i="4"/>
  <c r="D424" i="4" s="1"/>
  <c r="H425" i="4"/>
  <c r="D425" i="4" s="1"/>
  <c r="H426" i="4"/>
  <c r="D426" i="4" s="1"/>
  <c r="H427" i="4"/>
  <c r="D427" i="4" s="1"/>
  <c r="H428" i="4"/>
  <c r="D428" i="4" s="1"/>
  <c r="H429" i="4"/>
  <c r="D429" i="4" s="1"/>
  <c r="H430" i="4"/>
  <c r="D430" i="4" s="1"/>
  <c r="H431" i="4"/>
  <c r="D431" i="4" s="1"/>
  <c r="H432" i="4"/>
  <c r="D432" i="4" s="1"/>
  <c r="H433" i="4"/>
  <c r="D433" i="4" s="1"/>
  <c r="H434" i="4"/>
  <c r="D434" i="4" s="1"/>
  <c r="H435" i="4"/>
  <c r="D435" i="4" s="1"/>
  <c r="H436" i="4"/>
  <c r="D436" i="4" s="1"/>
  <c r="H437" i="4"/>
  <c r="D437" i="4" s="1"/>
  <c r="H438" i="4"/>
  <c r="D438" i="4" s="1"/>
  <c r="H439" i="4"/>
  <c r="D439" i="4" s="1"/>
  <c r="H440" i="4"/>
  <c r="D440" i="4" s="1"/>
  <c r="H441" i="4"/>
  <c r="D441" i="4" s="1"/>
  <c r="H442" i="4"/>
  <c r="D442" i="4" s="1"/>
  <c r="H443" i="4"/>
  <c r="D443" i="4" s="1"/>
  <c r="H444" i="4"/>
  <c r="D444" i="4" s="1"/>
  <c r="H445" i="4"/>
  <c r="D445" i="4" s="1"/>
  <c r="H446" i="4"/>
  <c r="D446" i="4" s="1"/>
  <c r="H447" i="4"/>
  <c r="D447" i="4" s="1"/>
  <c r="H448" i="4"/>
  <c r="D448" i="4" s="1"/>
  <c r="H449" i="4"/>
  <c r="D449" i="4" s="1"/>
  <c r="H450" i="4"/>
  <c r="D450" i="4" s="1"/>
  <c r="H451" i="4"/>
  <c r="D451" i="4" s="1"/>
  <c r="H452" i="4"/>
  <c r="D452" i="4" s="1"/>
  <c r="H453" i="4"/>
  <c r="D453" i="4" s="1"/>
  <c r="H454" i="4"/>
  <c r="D454" i="4" s="1"/>
  <c r="H455" i="4"/>
  <c r="D455" i="4" s="1"/>
  <c r="H456" i="4"/>
  <c r="D456" i="4" s="1"/>
  <c r="H457" i="4"/>
  <c r="D457" i="4" s="1"/>
  <c r="H458" i="4"/>
  <c r="D458" i="4" s="1"/>
  <c r="H459" i="4"/>
  <c r="D459" i="4" s="1"/>
  <c r="H460" i="4"/>
  <c r="D460" i="4" s="1"/>
  <c r="H461" i="4"/>
  <c r="D461" i="4" s="1"/>
  <c r="H462" i="4"/>
  <c r="D462" i="4" s="1"/>
  <c r="H463" i="4"/>
  <c r="D463" i="4" s="1"/>
  <c r="H464" i="4"/>
  <c r="D464" i="4" s="1"/>
  <c r="H465" i="4"/>
  <c r="D465" i="4" s="1"/>
  <c r="H466" i="4"/>
  <c r="D466" i="4" s="1"/>
  <c r="H467" i="4"/>
  <c r="D467" i="4" s="1"/>
  <c r="H468" i="4"/>
  <c r="D468" i="4" s="1"/>
  <c r="H469" i="4"/>
  <c r="D469" i="4" s="1"/>
  <c r="H470" i="4"/>
  <c r="D470" i="4" s="1"/>
  <c r="H471" i="4"/>
  <c r="D471" i="4" s="1"/>
  <c r="H472" i="4"/>
  <c r="D472" i="4" s="1"/>
  <c r="H473" i="4"/>
  <c r="D473" i="4" s="1"/>
  <c r="H474" i="4"/>
  <c r="D474" i="4" s="1"/>
  <c r="H475" i="4"/>
  <c r="D475" i="4" s="1"/>
  <c r="H476" i="4"/>
  <c r="D476" i="4" s="1"/>
  <c r="H477" i="4"/>
  <c r="D477" i="4" s="1"/>
  <c r="H478" i="4"/>
  <c r="D478" i="4" s="1"/>
  <c r="H479" i="4"/>
  <c r="D479" i="4" s="1"/>
  <c r="H480" i="4"/>
  <c r="D480" i="4" s="1"/>
  <c r="H481" i="4"/>
  <c r="D481" i="4" s="1"/>
  <c r="H482" i="4"/>
  <c r="D482" i="4" s="1"/>
  <c r="H483" i="4"/>
  <c r="D483" i="4" s="1"/>
  <c r="H484" i="4"/>
  <c r="D484" i="4" s="1"/>
  <c r="H485" i="4"/>
  <c r="D485" i="4" s="1"/>
  <c r="H486" i="4"/>
  <c r="D486" i="4" s="1"/>
  <c r="H487" i="4"/>
  <c r="D487" i="4" s="1"/>
  <c r="H488" i="4"/>
  <c r="D488" i="4" s="1"/>
  <c r="H489" i="4"/>
  <c r="D489" i="4" s="1"/>
  <c r="H490" i="4"/>
  <c r="D490" i="4" s="1"/>
  <c r="H491" i="4"/>
  <c r="D491" i="4" s="1"/>
  <c r="H492" i="4"/>
  <c r="D492" i="4" s="1"/>
  <c r="H493" i="4"/>
  <c r="D493" i="4" s="1"/>
  <c r="H494" i="4"/>
  <c r="D494" i="4" s="1"/>
  <c r="H495" i="4"/>
  <c r="D495" i="4" s="1"/>
  <c r="H496" i="4"/>
  <c r="D496" i="4" s="1"/>
  <c r="H497" i="4"/>
  <c r="D497" i="4" s="1"/>
  <c r="H498" i="4"/>
  <c r="D498" i="4" s="1"/>
  <c r="H499" i="4"/>
  <c r="D499" i="4" s="1"/>
  <c r="H500" i="4"/>
  <c r="D500" i="4" s="1"/>
  <c r="H501" i="4"/>
  <c r="D501" i="4" s="1"/>
  <c r="H502" i="4"/>
  <c r="D502" i="4" s="1"/>
  <c r="H503" i="4"/>
  <c r="D503" i="4" s="1"/>
  <c r="H504" i="4"/>
  <c r="D504" i="4" s="1"/>
  <c r="H505" i="4"/>
  <c r="D505" i="4" s="1"/>
  <c r="H506" i="4"/>
  <c r="D506" i="4" s="1"/>
  <c r="H507" i="4"/>
  <c r="D507" i="4" s="1"/>
  <c r="H508" i="4"/>
  <c r="D508" i="4" s="1"/>
  <c r="H509" i="4"/>
  <c r="D509" i="4" s="1"/>
  <c r="H510" i="4"/>
  <c r="D510" i="4" s="1"/>
  <c r="H511" i="4"/>
  <c r="D511" i="4" s="1"/>
  <c r="H512" i="4"/>
  <c r="D512" i="4" s="1"/>
  <c r="H513" i="4"/>
  <c r="H514" i="4"/>
  <c r="D514" i="4" s="1"/>
  <c r="H515" i="4"/>
  <c r="D515" i="4" s="1"/>
  <c r="H516" i="4"/>
  <c r="D516" i="4" s="1"/>
  <c r="H517" i="4"/>
  <c r="D517" i="4" s="1"/>
  <c r="H518" i="4"/>
  <c r="H519" i="4"/>
  <c r="D519" i="4" s="1"/>
  <c r="H520" i="4"/>
  <c r="D520" i="4" s="1"/>
  <c r="H521" i="4"/>
  <c r="D521" i="4" s="1"/>
  <c r="H522" i="4"/>
  <c r="D522" i="4" s="1"/>
  <c r="H523" i="4"/>
  <c r="D523" i="4" s="1"/>
  <c r="H524" i="4"/>
  <c r="D524" i="4" s="1"/>
  <c r="H525" i="4"/>
  <c r="D525" i="4" s="1"/>
  <c r="H526" i="4"/>
  <c r="D526" i="4" s="1"/>
  <c r="H527" i="4"/>
  <c r="D527" i="4" s="1"/>
  <c r="H528" i="4"/>
  <c r="H529" i="4"/>
  <c r="D529" i="4" s="1"/>
  <c r="H530" i="4"/>
  <c r="D530" i="4" s="1"/>
  <c r="H531" i="4"/>
  <c r="D531" i="4" s="1"/>
  <c r="H532" i="4"/>
  <c r="D532" i="4" s="1"/>
  <c r="H533" i="4"/>
  <c r="D533" i="4" s="1"/>
  <c r="H534" i="4"/>
  <c r="D534" i="4" s="1"/>
  <c r="H535" i="4"/>
  <c r="D535" i="4" s="1"/>
  <c r="H536" i="4"/>
  <c r="D536" i="4" s="1"/>
  <c r="H537" i="4"/>
  <c r="D537" i="4" s="1"/>
  <c r="H538" i="4"/>
  <c r="D538" i="4" s="1"/>
  <c r="H539" i="4"/>
  <c r="D539" i="4" s="1"/>
  <c r="H540" i="4"/>
  <c r="D540" i="4" s="1"/>
  <c r="H541" i="4"/>
  <c r="D541" i="4" s="1"/>
  <c r="H542" i="4"/>
  <c r="D542" i="4" s="1"/>
  <c r="H543" i="4"/>
  <c r="D543" i="4" s="1"/>
  <c r="H544" i="4"/>
  <c r="D544" i="4" s="1"/>
  <c r="H545" i="4"/>
  <c r="D545" i="4" s="1"/>
  <c r="H546" i="4"/>
  <c r="D546" i="4" s="1"/>
  <c r="H547" i="4"/>
  <c r="D547" i="4" s="1"/>
  <c r="H548" i="4"/>
  <c r="D548" i="4" s="1"/>
  <c r="H549" i="4"/>
  <c r="D549" i="4" s="1"/>
  <c r="H550" i="4"/>
  <c r="D550" i="4" s="1"/>
  <c r="H551" i="4"/>
  <c r="D551" i="4" s="1"/>
  <c r="H552" i="4"/>
  <c r="D552" i="4" s="1"/>
  <c r="H553" i="4"/>
  <c r="D553" i="4" s="1"/>
  <c r="H554" i="4"/>
  <c r="D554" i="4" s="1"/>
  <c r="H555" i="4"/>
  <c r="D555" i="4" s="1"/>
  <c r="H556" i="4"/>
  <c r="D556" i="4" s="1"/>
  <c r="H557" i="4"/>
  <c r="D557" i="4" s="1"/>
  <c r="H558" i="4"/>
  <c r="D558" i="4" s="1"/>
  <c r="H559" i="4"/>
  <c r="D559" i="4" s="1"/>
  <c r="H560" i="4"/>
  <c r="D560" i="4" s="1"/>
  <c r="H561" i="4"/>
  <c r="D561" i="4" s="1"/>
  <c r="H562" i="4"/>
  <c r="D562" i="4" s="1"/>
  <c r="H563" i="4"/>
  <c r="D563" i="4" s="1"/>
  <c r="H564" i="4"/>
  <c r="D564" i="4" s="1"/>
  <c r="H565" i="4"/>
  <c r="D565" i="4" s="1"/>
  <c r="H566" i="4"/>
  <c r="D566" i="4" s="1"/>
  <c r="H567" i="4"/>
  <c r="D567" i="4" s="1"/>
  <c r="H568" i="4"/>
  <c r="D568" i="4" s="1"/>
  <c r="H569" i="4"/>
  <c r="D569" i="4" s="1"/>
  <c r="H570" i="4"/>
  <c r="D570" i="4" s="1"/>
  <c r="H571" i="4"/>
  <c r="D571" i="4" s="1"/>
  <c r="H572" i="4"/>
  <c r="D572" i="4" s="1"/>
  <c r="H573" i="4"/>
  <c r="D573" i="4" s="1"/>
  <c r="H574" i="4"/>
  <c r="D574" i="4" s="1"/>
  <c r="H575" i="4"/>
  <c r="D575" i="4" s="1"/>
  <c r="H576" i="4"/>
  <c r="D576" i="4" s="1"/>
  <c r="H577" i="4"/>
  <c r="D577" i="4" s="1"/>
  <c r="H578" i="4"/>
  <c r="D578" i="4" s="1"/>
  <c r="H579" i="4"/>
  <c r="D579" i="4" s="1"/>
  <c r="H580" i="4"/>
  <c r="D580" i="4" s="1"/>
  <c r="H581" i="4"/>
  <c r="D581" i="4" s="1"/>
  <c r="H582" i="4"/>
  <c r="D582" i="4" s="1"/>
  <c r="H583" i="4"/>
  <c r="D583" i="4" s="1"/>
  <c r="H584" i="4"/>
  <c r="D584" i="4" s="1"/>
  <c r="H585" i="4"/>
  <c r="D585" i="4" s="1"/>
  <c r="H586" i="4"/>
  <c r="D586" i="4" s="1"/>
  <c r="H587" i="4"/>
  <c r="D587" i="4" s="1"/>
  <c r="H588" i="4"/>
  <c r="D588" i="4" s="1"/>
  <c r="H589" i="4"/>
  <c r="D589" i="4" s="1"/>
  <c r="H590" i="4"/>
  <c r="D590" i="4" s="1"/>
  <c r="H591" i="4"/>
  <c r="D591" i="4" s="1"/>
  <c r="H592" i="4"/>
  <c r="D592" i="4" s="1"/>
  <c r="H593" i="4"/>
  <c r="D593" i="4" s="1"/>
  <c r="H594" i="4"/>
  <c r="D594" i="4" s="1"/>
  <c r="H595" i="4"/>
  <c r="D595" i="4" s="1"/>
  <c r="H596" i="4"/>
  <c r="D596" i="4" s="1"/>
  <c r="H597" i="4"/>
  <c r="D597" i="4" s="1"/>
  <c r="H598" i="4"/>
  <c r="D598" i="4" s="1"/>
  <c r="H599" i="4"/>
  <c r="D599" i="4" s="1"/>
  <c r="H600" i="4"/>
  <c r="D600" i="4" s="1"/>
  <c r="H601" i="4"/>
  <c r="D601" i="4" s="1"/>
  <c r="H602" i="4"/>
  <c r="D602" i="4" s="1"/>
  <c r="H603" i="4"/>
  <c r="D603" i="4" s="1"/>
  <c r="H604" i="4"/>
  <c r="D604" i="4" s="1"/>
  <c r="H605" i="4"/>
  <c r="D605" i="4" s="1"/>
  <c r="H606" i="4"/>
  <c r="D606" i="4" s="1"/>
  <c r="H607" i="4"/>
  <c r="D607" i="4" s="1"/>
  <c r="H608" i="4"/>
  <c r="D608" i="4" s="1"/>
  <c r="H609" i="4"/>
  <c r="D609" i="4" s="1"/>
  <c r="H610" i="4"/>
  <c r="D610" i="4" s="1"/>
  <c r="H611" i="4"/>
  <c r="D611" i="4" s="1"/>
  <c r="H612" i="4"/>
  <c r="D612" i="4" s="1"/>
  <c r="H613" i="4"/>
  <c r="D613" i="4" s="1"/>
  <c r="H614" i="4"/>
  <c r="D614" i="4" s="1"/>
  <c r="H615" i="4"/>
  <c r="D615" i="4" s="1"/>
  <c r="H616" i="4"/>
  <c r="D616" i="4" s="1"/>
  <c r="H617" i="4"/>
  <c r="D617" i="4" s="1"/>
  <c r="H618" i="4"/>
  <c r="D618" i="4" s="1"/>
  <c r="H619" i="4"/>
  <c r="D619" i="4" s="1"/>
  <c r="H620" i="4"/>
  <c r="D620" i="4" s="1"/>
  <c r="H621" i="4"/>
  <c r="D621" i="4" s="1"/>
  <c r="H622" i="4"/>
  <c r="D622" i="4" s="1"/>
  <c r="H623" i="4"/>
  <c r="D623" i="4" s="1"/>
  <c r="H624" i="4"/>
  <c r="D624" i="4" s="1"/>
  <c r="H625" i="4"/>
  <c r="D625" i="4" s="1"/>
  <c r="H626" i="4"/>
  <c r="D626" i="4" s="1"/>
  <c r="H627" i="4"/>
  <c r="D627" i="4" s="1"/>
  <c r="H628" i="4"/>
  <c r="D628" i="4" s="1"/>
  <c r="H629" i="4"/>
  <c r="D629" i="4" s="1"/>
  <c r="H630" i="4"/>
  <c r="D630" i="4" s="1"/>
  <c r="H631" i="4"/>
  <c r="D631" i="4" s="1"/>
  <c r="H632" i="4"/>
  <c r="D632" i="4" s="1"/>
  <c r="H633" i="4"/>
  <c r="D633" i="4" s="1"/>
  <c r="H634" i="4"/>
  <c r="D634" i="4" s="1"/>
  <c r="H635" i="4"/>
  <c r="D635" i="4" s="1"/>
  <c r="H636" i="4"/>
  <c r="D636" i="4" s="1"/>
  <c r="H637" i="4"/>
  <c r="D637" i="4" s="1"/>
  <c r="H638" i="4"/>
  <c r="D638" i="4" s="1"/>
  <c r="H639" i="4"/>
  <c r="D639" i="4" s="1"/>
  <c r="H640" i="4"/>
  <c r="D640" i="4" s="1"/>
  <c r="H641" i="4"/>
  <c r="D641" i="4" s="1"/>
  <c r="H642" i="4"/>
  <c r="D642" i="4" s="1"/>
  <c r="H643" i="4"/>
  <c r="D643" i="4" s="1"/>
  <c r="H644" i="4"/>
  <c r="D644" i="4" s="1"/>
  <c r="H645" i="4"/>
  <c r="D645" i="4" s="1"/>
  <c r="H646" i="4"/>
  <c r="D646" i="4" s="1"/>
  <c r="H647" i="4"/>
  <c r="D647" i="4" s="1"/>
  <c r="H648" i="4"/>
  <c r="D648" i="4" s="1"/>
  <c r="H649" i="4"/>
  <c r="D649" i="4" s="1"/>
  <c r="H650" i="4"/>
  <c r="D650" i="4" s="1"/>
  <c r="H651" i="4"/>
  <c r="D651" i="4" s="1"/>
  <c r="H652" i="4"/>
  <c r="D652" i="4" s="1"/>
  <c r="H653" i="4"/>
  <c r="D653" i="4" s="1"/>
  <c r="H654" i="4"/>
  <c r="D654" i="4" s="1"/>
  <c r="H655" i="4"/>
  <c r="D655" i="4" s="1"/>
  <c r="H656" i="4"/>
  <c r="D656" i="4" s="1"/>
  <c r="H657" i="4"/>
  <c r="D657" i="4" s="1"/>
  <c r="H658" i="4"/>
  <c r="D658" i="4" s="1"/>
  <c r="H659" i="4"/>
  <c r="D659" i="4" s="1"/>
  <c r="H660" i="4"/>
  <c r="D660" i="4" s="1"/>
  <c r="H661" i="4"/>
  <c r="D661" i="4" s="1"/>
  <c r="H662" i="4"/>
  <c r="D662" i="4" s="1"/>
  <c r="H663" i="4"/>
  <c r="D663" i="4" s="1"/>
  <c r="H664" i="4"/>
  <c r="D664" i="4" s="1"/>
  <c r="H665" i="4"/>
  <c r="D665" i="4" s="1"/>
  <c r="H666" i="4"/>
  <c r="D666" i="4" s="1"/>
  <c r="H667" i="4"/>
  <c r="D667" i="4" s="1"/>
  <c r="H668" i="4"/>
  <c r="D668" i="4" s="1"/>
  <c r="H669" i="4"/>
  <c r="D669" i="4" s="1"/>
  <c r="H670" i="4"/>
  <c r="D670" i="4" s="1"/>
  <c r="H671" i="4"/>
  <c r="D671" i="4" s="1"/>
  <c r="H672" i="4"/>
  <c r="D672" i="4" s="1"/>
  <c r="H673" i="4"/>
  <c r="D673" i="4" s="1"/>
  <c r="H674" i="4"/>
  <c r="D674" i="4" s="1"/>
  <c r="H675" i="4"/>
  <c r="D675" i="4" s="1"/>
  <c r="H676" i="4"/>
  <c r="D676" i="4" s="1"/>
  <c r="H677" i="4"/>
  <c r="D677" i="4" s="1"/>
  <c r="H678" i="4"/>
  <c r="D678" i="4" s="1"/>
  <c r="H679" i="4"/>
  <c r="D679" i="4" s="1"/>
  <c r="H680" i="4"/>
  <c r="D680" i="4" s="1"/>
  <c r="H681" i="4"/>
  <c r="D681" i="4" s="1"/>
  <c r="H682" i="4"/>
  <c r="D682" i="4" s="1"/>
  <c r="H683" i="4"/>
  <c r="D683" i="4" s="1"/>
  <c r="H684" i="4"/>
  <c r="D684" i="4" s="1"/>
  <c r="H685" i="4"/>
  <c r="D685" i="4" s="1"/>
  <c r="H686" i="4"/>
  <c r="D686" i="4" s="1"/>
  <c r="H687" i="4"/>
  <c r="D687" i="4" s="1"/>
  <c r="H688" i="4"/>
  <c r="D688" i="4" s="1"/>
  <c r="H689" i="4"/>
  <c r="D689" i="4" s="1"/>
  <c r="H690" i="4"/>
  <c r="D690" i="4" s="1"/>
  <c r="H691" i="4"/>
  <c r="D691" i="4" s="1"/>
  <c r="H692" i="4"/>
  <c r="D692" i="4" s="1"/>
  <c r="H693" i="4"/>
  <c r="D693" i="4" s="1"/>
  <c r="H694" i="4"/>
  <c r="D694" i="4" s="1"/>
  <c r="H695" i="4"/>
  <c r="D695" i="4" s="1"/>
  <c r="H696" i="4"/>
  <c r="D696" i="4" s="1"/>
  <c r="H697" i="4"/>
  <c r="D697" i="4" s="1"/>
  <c r="H698" i="4"/>
  <c r="D698" i="4" s="1"/>
  <c r="H699" i="4"/>
  <c r="D699" i="4" s="1"/>
  <c r="H700" i="4"/>
  <c r="D700" i="4" s="1"/>
  <c r="H701" i="4"/>
  <c r="D701" i="4" s="1"/>
  <c r="H702" i="4"/>
  <c r="D702" i="4" s="1"/>
  <c r="H703" i="4"/>
  <c r="D703" i="4" s="1"/>
  <c r="H704" i="4"/>
  <c r="D704" i="4" s="1"/>
  <c r="H705" i="4"/>
  <c r="D705" i="4" s="1"/>
  <c r="H706" i="4"/>
  <c r="D706" i="4" s="1"/>
  <c r="H707" i="4"/>
  <c r="D707" i="4" s="1"/>
  <c r="H708" i="4"/>
  <c r="D708" i="4" s="1"/>
  <c r="H709" i="4"/>
  <c r="D709" i="4" s="1"/>
  <c r="H710" i="4"/>
  <c r="H711" i="4"/>
  <c r="D711" i="4" s="1"/>
  <c r="H712" i="4"/>
  <c r="D712" i="4" s="1"/>
  <c r="H713" i="4"/>
  <c r="D713" i="4" s="1"/>
  <c r="H714" i="4"/>
  <c r="D714" i="4" s="1"/>
  <c r="H715" i="4"/>
  <c r="D715" i="4" s="1"/>
  <c r="H716" i="4"/>
  <c r="D716" i="4" s="1"/>
  <c r="H717" i="4"/>
  <c r="D717" i="4" s="1"/>
  <c r="H718" i="4"/>
  <c r="D718" i="4" s="1"/>
  <c r="H719" i="4"/>
  <c r="D719" i="4" s="1"/>
  <c r="H720" i="4"/>
  <c r="D720" i="4" s="1"/>
  <c r="H721" i="4"/>
  <c r="D721" i="4" s="1"/>
  <c r="H722" i="4"/>
  <c r="D722" i="4" s="1"/>
  <c r="H723" i="4"/>
  <c r="D723" i="4" s="1"/>
  <c r="H724" i="4"/>
  <c r="D724" i="4" s="1"/>
  <c r="H725" i="4"/>
  <c r="D725" i="4" s="1"/>
  <c r="H726" i="4"/>
  <c r="D726" i="4" s="1"/>
  <c r="H727" i="4"/>
  <c r="D727" i="4" s="1"/>
  <c r="H728" i="4"/>
  <c r="D728" i="4" s="1"/>
  <c r="H729" i="4"/>
  <c r="D729" i="4" s="1"/>
  <c r="H730" i="4"/>
  <c r="D730" i="4" s="1"/>
  <c r="H731" i="4"/>
  <c r="D731" i="4" s="1"/>
  <c r="H732" i="4"/>
  <c r="D732" i="4" s="1"/>
  <c r="H733" i="4"/>
  <c r="D733" i="4" s="1"/>
  <c r="H734" i="4"/>
  <c r="D734" i="4" s="1"/>
  <c r="H735" i="4"/>
  <c r="D735" i="4" s="1"/>
  <c r="H736" i="4"/>
  <c r="H737" i="4"/>
  <c r="D737" i="4" s="1"/>
  <c r="H738" i="4"/>
  <c r="D738" i="4" s="1"/>
  <c r="H739" i="4"/>
  <c r="D739" i="4" s="1"/>
  <c r="H740" i="4"/>
  <c r="D740" i="4" s="1"/>
  <c r="H741" i="4"/>
  <c r="D741" i="4" s="1"/>
  <c r="H742" i="4"/>
  <c r="D742" i="4" s="1"/>
  <c r="H743" i="4"/>
  <c r="D743" i="4" s="1"/>
  <c r="H744" i="4"/>
  <c r="D744" i="4" s="1"/>
  <c r="H745" i="4"/>
  <c r="D745" i="4" s="1"/>
  <c r="H746" i="4"/>
  <c r="D746" i="4" s="1"/>
  <c r="H747" i="4"/>
  <c r="D747" i="4" s="1"/>
  <c r="H748" i="4"/>
  <c r="D748" i="4" s="1"/>
  <c r="H749" i="4"/>
  <c r="D749" i="4" s="1"/>
  <c r="H750" i="4"/>
  <c r="D750" i="4" s="1"/>
  <c r="H751" i="4"/>
  <c r="D751" i="4" s="1"/>
  <c r="H752" i="4"/>
  <c r="D752" i="4" s="1"/>
  <c r="H753" i="4"/>
  <c r="D753" i="4" s="1"/>
  <c r="H754" i="4"/>
  <c r="D754" i="4" s="1"/>
  <c r="H755" i="4"/>
  <c r="D755" i="4" s="1"/>
  <c r="H756" i="4"/>
  <c r="D756" i="4" s="1"/>
  <c r="H757" i="4"/>
  <c r="D757" i="4" s="1"/>
  <c r="H758" i="4"/>
  <c r="D758" i="4" s="1"/>
  <c r="H759" i="4"/>
  <c r="D759" i="4" s="1"/>
  <c r="H760" i="4"/>
  <c r="D760" i="4" s="1"/>
  <c r="H761" i="4"/>
  <c r="D761" i="4" s="1"/>
  <c r="H762" i="4"/>
  <c r="D762" i="4" s="1"/>
  <c r="H763" i="4"/>
  <c r="D763" i="4" s="1"/>
  <c r="H764" i="4"/>
  <c r="D764" i="4" s="1"/>
  <c r="H765" i="4"/>
  <c r="D765" i="4" s="1"/>
  <c r="H766" i="4"/>
  <c r="D766" i="4" s="1"/>
  <c r="H767" i="4"/>
  <c r="D767" i="4" s="1"/>
  <c r="H768" i="4"/>
  <c r="D768" i="4" s="1"/>
  <c r="H769" i="4"/>
  <c r="D769" i="4" s="1"/>
  <c r="H770" i="4"/>
  <c r="D770" i="4" s="1"/>
  <c r="H771" i="4"/>
  <c r="D771" i="4" s="1"/>
  <c r="H772" i="4"/>
  <c r="D772" i="4" s="1"/>
  <c r="H773" i="4"/>
  <c r="D773" i="4" s="1"/>
  <c r="H774" i="4"/>
  <c r="D774" i="4" s="1"/>
  <c r="H775" i="4"/>
  <c r="D775" i="4" s="1"/>
  <c r="H776" i="4"/>
  <c r="D776" i="4" s="1"/>
  <c r="H777" i="4"/>
  <c r="D777" i="4" s="1"/>
  <c r="H778" i="4"/>
  <c r="D778" i="4" s="1"/>
  <c r="H779" i="4"/>
  <c r="D779" i="4" s="1"/>
  <c r="H780" i="4"/>
  <c r="D780" i="4" s="1"/>
  <c r="H781" i="4"/>
  <c r="D781" i="4" s="1"/>
  <c r="H782" i="4"/>
  <c r="D782" i="4" s="1"/>
  <c r="H783" i="4"/>
  <c r="D783" i="4" s="1"/>
  <c r="H784" i="4"/>
  <c r="D784" i="4" s="1"/>
  <c r="H785" i="4"/>
  <c r="D785" i="4" s="1"/>
  <c r="H786" i="4"/>
  <c r="D786" i="4" s="1"/>
  <c r="H787" i="4"/>
  <c r="D787" i="4" s="1"/>
  <c r="H788" i="4"/>
  <c r="D788" i="4" s="1"/>
  <c r="H789" i="4"/>
  <c r="D789" i="4" s="1"/>
  <c r="H790" i="4"/>
  <c r="D790" i="4" s="1"/>
  <c r="H791" i="4"/>
  <c r="D791" i="4" s="1"/>
  <c r="H792" i="4"/>
  <c r="D792" i="4" s="1"/>
  <c r="H793" i="4"/>
  <c r="D793" i="4" s="1"/>
  <c r="H794" i="4"/>
  <c r="D794" i="4" s="1"/>
  <c r="H795" i="4"/>
  <c r="D795" i="4" s="1"/>
  <c r="H796" i="4"/>
  <c r="D796" i="4" s="1"/>
  <c r="H797" i="4"/>
  <c r="D797" i="4" s="1"/>
  <c r="H798" i="4"/>
  <c r="D798" i="4" s="1"/>
  <c r="H799" i="4"/>
  <c r="D799" i="4" s="1"/>
  <c r="H800" i="4"/>
  <c r="D800" i="4" s="1"/>
  <c r="H801" i="4"/>
  <c r="D801" i="4" s="1"/>
  <c r="H802" i="4"/>
  <c r="D802" i="4" s="1"/>
  <c r="H803" i="4"/>
  <c r="D803" i="4" s="1"/>
  <c r="H804" i="4"/>
  <c r="D804" i="4" s="1"/>
  <c r="H805" i="4"/>
  <c r="D805" i="4" s="1"/>
  <c r="H806" i="4"/>
  <c r="D806" i="4" s="1"/>
  <c r="H807" i="4"/>
  <c r="D807" i="4" s="1"/>
  <c r="H808" i="4"/>
  <c r="D808" i="4" s="1"/>
  <c r="H809" i="4"/>
  <c r="D809" i="4" s="1"/>
  <c r="H810" i="4"/>
  <c r="D810" i="4" s="1"/>
  <c r="H811" i="4"/>
  <c r="D811" i="4" s="1"/>
  <c r="H812" i="4"/>
  <c r="D812" i="4" s="1"/>
  <c r="H813" i="4"/>
  <c r="D813" i="4" s="1"/>
  <c r="H814" i="4"/>
  <c r="D814" i="4" s="1"/>
  <c r="H815" i="4"/>
  <c r="D815" i="4" s="1"/>
  <c r="H816" i="4"/>
  <c r="D816" i="4" s="1"/>
  <c r="H817" i="4"/>
  <c r="D817" i="4" s="1"/>
  <c r="H818" i="4"/>
  <c r="D818" i="4" s="1"/>
  <c r="H819" i="4"/>
  <c r="D819" i="4" s="1"/>
  <c r="H820" i="4"/>
  <c r="D820" i="4" s="1"/>
  <c r="H821" i="4"/>
  <c r="D821" i="4" s="1"/>
  <c r="H822" i="4"/>
  <c r="D822" i="4" s="1"/>
  <c r="H823" i="4"/>
  <c r="D823" i="4" s="1"/>
  <c r="H824" i="4"/>
  <c r="D824" i="4" s="1"/>
  <c r="H825" i="4"/>
  <c r="D825" i="4" s="1"/>
  <c r="H826" i="4"/>
  <c r="D826" i="4" s="1"/>
  <c r="H827" i="4"/>
  <c r="D827" i="4" s="1"/>
  <c r="H828" i="4"/>
  <c r="D828" i="4" s="1"/>
  <c r="H829" i="4"/>
  <c r="D829" i="4" s="1"/>
  <c r="H830" i="4"/>
  <c r="D830" i="4" s="1"/>
  <c r="H831" i="4"/>
  <c r="D831" i="4" s="1"/>
  <c r="H832" i="4"/>
  <c r="D832" i="4" s="1"/>
  <c r="H833" i="4"/>
  <c r="D833" i="4" s="1"/>
  <c r="H834" i="4"/>
  <c r="D834" i="4" s="1"/>
  <c r="H835" i="4"/>
  <c r="D835" i="4" s="1"/>
  <c r="H836" i="4"/>
  <c r="D836" i="4" s="1"/>
  <c r="H837" i="4"/>
  <c r="D837" i="4" s="1"/>
  <c r="H838" i="4"/>
  <c r="D838" i="4" s="1"/>
  <c r="H839" i="4"/>
  <c r="D839" i="4" s="1"/>
  <c r="H840" i="4"/>
  <c r="D840" i="4" s="1"/>
  <c r="H841" i="4"/>
  <c r="D841" i="4" s="1"/>
  <c r="H842" i="4"/>
  <c r="D842" i="4" s="1"/>
  <c r="H843" i="4"/>
  <c r="D843" i="4" s="1"/>
  <c r="H844" i="4"/>
  <c r="D844" i="4" s="1"/>
  <c r="H845" i="4"/>
  <c r="D845" i="4" s="1"/>
  <c r="H846" i="4"/>
  <c r="D846" i="4" s="1"/>
  <c r="H847" i="4"/>
  <c r="D847" i="4" s="1"/>
  <c r="H848" i="4"/>
  <c r="D848" i="4" s="1"/>
  <c r="H849" i="4"/>
  <c r="D849" i="4" s="1"/>
  <c r="H850" i="4"/>
  <c r="D850" i="4" s="1"/>
  <c r="H851" i="4"/>
  <c r="D851" i="4" s="1"/>
  <c r="H852" i="4"/>
  <c r="D852" i="4" s="1"/>
  <c r="H853" i="4"/>
  <c r="D853" i="4" s="1"/>
  <c r="H854" i="4"/>
  <c r="D854" i="4" s="1"/>
  <c r="H855" i="4"/>
  <c r="D855" i="4" s="1"/>
  <c r="H856" i="4"/>
  <c r="D856" i="4" s="1"/>
  <c r="H857" i="4"/>
  <c r="D857" i="4" s="1"/>
  <c r="H858" i="4"/>
  <c r="D858" i="4" s="1"/>
  <c r="H859" i="4"/>
  <c r="D859" i="4" s="1"/>
  <c r="H860" i="4"/>
  <c r="D860" i="4" s="1"/>
  <c r="H861" i="4"/>
  <c r="D861" i="4" s="1"/>
  <c r="H862" i="4"/>
  <c r="D862" i="4" s="1"/>
  <c r="H863" i="4"/>
  <c r="D863" i="4" s="1"/>
  <c r="H864" i="4"/>
  <c r="D864" i="4" s="1"/>
  <c r="H865" i="4"/>
  <c r="D865" i="4" s="1"/>
  <c r="H866" i="4"/>
  <c r="D866" i="4" s="1"/>
  <c r="H867" i="4"/>
  <c r="D867" i="4" s="1"/>
  <c r="H868" i="4"/>
  <c r="D868" i="4" s="1"/>
  <c r="H869" i="4"/>
  <c r="D869" i="4" s="1"/>
  <c r="H870" i="4"/>
  <c r="D870" i="4" s="1"/>
  <c r="H871" i="4"/>
  <c r="D871" i="4" s="1"/>
  <c r="H872" i="4"/>
  <c r="D872" i="4" s="1"/>
  <c r="H873" i="4"/>
  <c r="D873" i="4" s="1"/>
  <c r="H874" i="4"/>
  <c r="D874" i="4" s="1"/>
  <c r="H875" i="4"/>
  <c r="D875" i="4" s="1"/>
  <c r="H876" i="4"/>
  <c r="D876" i="4" s="1"/>
  <c r="H877" i="4"/>
  <c r="D877" i="4" s="1"/>
  <c r="H878" i="4"/>
  <c r="D878" i="4" s="1"/>
  <c r="H879" i="4"/>
  <c r="D879" i="4" s="1"/>
  <c r="H880" i="4"/>
  <c r="D880" i="4" s="1"/>
  <c r="H881" i="4"/>
  <c r="D881" i="4" s="1"/>
  <c r="H882" i="4"/>
  <c r="D882" i="4" s="1"/>
  <c r="H883" i="4"/>
  <c r="D883" i="4" s="1"/>
  <c r="H884" i="4"/>
  <c r="D884" i="4" s="1"/>
  <c r="H885" i="4"/>
  <c r="D885" i="4" s="1"/>
  <c r="H886" i="4"/>
  <c r="D886" i="4" s="1"/>
  <c r="H887" i="4"/>
  <c r="D887" i="4" s="1"/>
  <c r="H888" i="4"/>
  <c r="D888" i="4" s="1"/>
  <c r="H889" i="4"/>
  <c r="D889" i="4" s="1"/>
  <c r="H890" i="4"/>
  <c r="D890" i="4" s="1"/>
  <c r="H891" i="4"/>
  <c r="D891" i="4" s="1"/>
  <c r="H892" i="4"/>
  <c r="D892" i="4" s="1"/>
  <c r="H893" i="4"/>
  <c r="D893" i="4" s="1"/>
  <c r="H894" i="4"/>
  <c r="D894" i="4" s="1"/>
  <c r="H895" i="4"/>
  <c r="D895" i="4" s="1"/>
  <c r="H896" i="4"/>
  <c r="D896" i="4" s="1"/>
  <c r="H897" i="4"/>
  <c r="D897" i="4" s="1"/>
  <c r="H898" i="4"/>
  <c r="D898" i="4" s="1"/>
  <c r="H899" i="4"/>
  <c r="D899" i="4" s="1"/>
  <c r="H900" i="4"/>
  <c r="D900" i="4" s="1"/>
  <c r="H901" i="4"/>
  <c r="D901" i="4" s="1"/>
  <c r="H902" i="4"/>
  <c r="D902" i="4" s="1"/>
  <c r="H903" i="4"/>
  <c r="D903" i="4" s="1"/>
  <c r="H904" i="4"/>
  <c r="D904" i="4" s="1"/>
  <c r="H905" i="4"/>
  <c r="D905" i="4" s="1"/>
  <c r="H906" i="4"/>
  <c r="D906" i="4" s="1"/>
  <c r="H907" i="4"/>
  <c r="D907" i="4" s="1"/>
  <c r="H908" i="4"/>
  <c r="D908" i="4" s="1"/>
  <c r="H909" i="4"/>
  <c r="D909" i="4" s="1"/>
  <c r="H910" i="4"/>
  <c r="D910" i="4" s="1"/>
  <c r="H911" i="4"/>
  <c r="D911" i="4" s="1"/>
  <c r="H912" i="4"/>
  <c r="D912" i="4" s="1"/>
  <c r="H913" i="4"/>
  <c r="D913" i="4" s="1"/>
  <c r="H914" i="4"/>
  <c r="D914" i="4" s="1"/>
  <c r="H915" i="4"/>
  <c r="D915" i="4" s="1"/>
  <c r="H916" i="4"/>
  <c r="D916" i="4" s="1"/>
  <c r="H917" i="4"/>
  <c r="D917" i="4" s="1"/>
  <c r="H918" i="4"/>
  <c r="D918" i="4" s="1"/>
  <c r="H919" i="4"/>
  <c r="D919" i="4" s="1"/>
  <c r="H920" i="4"/>
  <c r="D920" i="4" s="1"/>
  <c r="H921" i="4"/>
  <c r="D921" i="4" s="1"/>
  <c r="H922" i="4"/>
  <c r="D922" i="4" s="1"/>
  <c r="H923" i="4"/>
  <c r="D923" i="4" s="1"/>
  <c r="H924" i="4"/>
  <c r="D924" i="4" s="1"/>
  <c r="H925" i="4"/>
  <c r="D925" i="4" s="1"/>
  <c r="H926" i="4"/>
  <c r="D926" i="4" s="1"/>
  <c r="H927" i="4"/>
  <c r="D927" i="4" s="1"/>
  <c r="H928" i="4"/>
  <c r="D928" i="4" s="1"/>
  <c r="H929" i="4"/>
  <c r="D929" i="4" s="1"/>
  <c r="H930" i="4"/>
  <c r="D930" i="4" s="1"/>
  <c r="H931" i="4"/>
  <c r="D931" i="4" s="1"/>
  <c r="H932" i="4"/>
  <c r="D932" i="4" s="1"/>
  <c r="H933" i="4"/>
  <c r="D933" i="4" s="1"/>
  <c r="H934" i="4"/>
  <c r="D934" i="4" s="1"/>
  <c r="H935" i="4"/>
  <c r="D935" i="4" s="1"/>
  <c r="H936" i="4"/>
  <c r="D936" i="4" s="1"/>
  <c r="H937" i="4"/>
  <c r="D937" i="4" s="1"/>
  <c r="H938" i="4"/>
  <c r="D938" i="4" s="1"/>
  <c r="H939" i="4"/>
  <c r="D939" i="4" s="1"/>
  <c r="H940" i="4"/>
  <c r="D940" i="4" s="1"/>
  <c r="H941" i="4"/>
  <c r="D941" i="4" s="1"/>
  <c r="H942" i="4"/>
  <c r="D942" i="4" s="1"/>
  <c r="H943" i="4"/>
  <c r="D943" i="4" s="1"/>
  <c r="H944" i="4"/>
  <c r="D944" i="4" s="1"/>
  <c r="H945" i="4"/>
  <c r="D945" i="4" s="1"/>
  <c r="H946" i="4"/>
  <c r="D946" i="4" s="1"/>
  <c r="H947" i="4"/>
  <c r="D947" i="4" s="1"/>
  <c r="H948" i="4"/>
  <c r="D948" i="4" s="1"/>
  <c r="H949" i="4"/>
  <c r="D949" i="4" s="1"/>
  <c r="H950" i="4"/>
  <c r="D950" i="4" s="1"/>
  <c r="H951" i="4"/>
  <c r="D951" i="4" s="1"/>
  <c r="H952" i="4"/>
  <c r="D952" i="4" s="1"/>
  <c r="H953" i="4"/>
  <c r="D953" i="4" s="1"/>
  <c r="H954" i="4"/>
  <c r="D954" i="4" s="1"/>
  <c r="H955" i="4"/>
  <c r="D955" i="4" s="1"/>
  <c r="H956" i="4"/>
  <c r="D956" i="4" s="1"/>
  <c r="H957" i="4"/>
  <c r="D957" i="4" s="1"/>
  <c r="H958" i="4"/>
  <c r="D958" i="4" s="1"/>
  <c r="H959" i="4"/>
  <c r="D959" i="4" s="1"/>
  <c r="H960" i="4"/>
  <c r="D960" i="4" s="1"/>
  <c r="H961" i="4"/>
  <c r="D961" i="4" s="1"/>
  <c r="H962" i="4"/>
  <c r="D962" i="4" s="1"/>
  <c r="H963" i="4"/>
  <c r="D963" i="4" s="1"/>
  <c r="H964" i="4"/>
  <c r="D964" i="4" s="1"/>
  <c r="H965" i="4"/>
  <c r="D965" i="4" s="1"/>
  <c r="H966" i="4"/>
  <c r="D966" i="4" s="1"/>
  <c r="H967" i="4"/>
  <c r="D967" i="4" s="1"/>
  <c r="H968" i="4"/>
  <c r="D968" i="4" s="1"/>
  <c r="H969" i="4"/>
  <c r="D969" i="4" s="1"/>
  <c r="H970" i="4"/>
  <c r="D970" i="4" s="1"/>
  <c r="H971" i="4"/>
  <c r="D971" i="4" s="1"/>
  <c r="H972" i="4"/>
  <c r="D972" i="4" s="1"/>
  <c r="H973" i="4"/>
  <c r="D973" i="4" s="1"/>
  <c r="H974" i="4"/>
  <c r="D974" i="4" s="1"/>
  <c r="H975" i="4"/>
  <c r="D975" i="4" s="1"/>
  <c r="H976" i="4"/>
  <c r="D976" i="4" s="1"/>
  <c r="H977" i="4"/>
  <c r="D977" i="4" s="1"/>
  <c r="H978" i="4"/>
  <c r="D978" i="4" s="1"/>
  <c r="H979" i="4"/>
  <c r="D979" i="4" s="1"/>
  <c r="H980" i="4"/>
  <c r="D980" i="4" s="1"/>
  <c r="H981" i="4"/>
  <c r="D981" i="4" s="1"/>
  <c r="H982" i="4"/>
  <c r="D982" i="4" s="1"/>
  <c r="H983" i="4"/>
  <c r="D983" i="4" s="1"/>
  <c r="H984" i="4"/>
  <c r="D984" i="4" s="1"/>
  <c r="H985" i="4"/>
  <c r="D985" i="4" s="1"/>
  <c r="H986" i="4"/>
  <c r="D986" i="4" s="1"/>
  <c r="H987" i="4"/>
  <c r="D987" i="4" s="1"/>
  <c r="H988" i="4"/>
  <c r="D988" i="4" s="1"/>
  <c r="H989" i="4"/>
  <c r="D989" i="4" s="1"/>
  <c r="H990" i="4"/>
  <c r="D990" i="4" s="1"/>
  <c r="H991" i="4"/>
  <c r="D991" i="4" s="1"/>
  <c r="H992" i="4"/>
  <c r="D992" i="4" s="1"/>
  <c r="H993" i="4"/>
  <c r="D993" i="4" s="1"/>
  <c r="H994" i="4"/>
  <c r="D994" i="4" s="1"/>
  <c r="H995" i="4"/>
  <c r="D995" i="4" s="1"/>
  <c r="H996" i="4"/>
  <c r="D996" i="4" s="1"/>
  <c r="H997" i="4"/>
  <c r="D997" i="4" s="1"/>
  <c r="H998" i="4"/>
  <c r="D998" i="4" s="1"/>
  <c r="H999" i="4"/>
  <c r="D999" i="4" s="1"/>
  <c r="H1000" i="4"/>
  <c r="D1000" i="4" s="1"/>
  <c r="H1001" i="4"/>
  <c r="D1001" i="4" s="1"/>
  <c r="H1002" i="4"/>
  <c r="D1002" i="4" s="1"/>
  <c r="H1003" i="4"/>
  <c r="D1003" i="4" s="1"/>
  <c r="H1004" i="4"/>
  <c r="D1004" i="4" s="1"/>
  <c r="H1005" i="4"/>
  <c r="D1005" i="4" s="1"/>
  <c r="H1006" i="4"/>
  <c r="D1006" i="4" s="1"/>
  <c r="H1007" i="4"/>
  <c r="D1007" i="4" s="1"/>
  <c r="H1008" i="4"/>
  <c r="D1008" i="4" s="1"/>
  <c r="H1009" i="4"/>
  <c r="D1009" i="4" s="1"/>
  <c r="H1010" i="4"/>
  <c r="D1010" i="4" s="1"/>
  <c r="H1011" i="4"/>
  <c r="D1011" i="4" s="1"/>
  <c r="H1012" i="4"/>
  <c r="D1012" i="4" s="1"/>
  <c r="H1013" i="4"/>
  <c r="D1013" i="4" s="1"/>
  <c r="H1014" i="4"/>
  <c r="D1014" i="4" s="1"/>
  <c r="H1015" i="4"/>
  <c r="D1015" i="4" s="1"/>
  <c r="H1016" i="4"/>
  <c r="D1016" i="4" s="1"/>
  <c r="H1017" i="4"/>
  <c r="D1017" i="4" s="1"/>
  <c r="H1018" i="4"/>
  <c r="D1018" i="4" s="1"/>
  <c r="H1019" i="4"/>
  <c r="D1019" i="4" s="1"/>
  <c r="H1020" i="4"/>
  <c r="D1020" i="4" s="1"/>
  <c r="H1021" i="4"/>
  <c r="D1021" i="4" s="1"/>
  <c r="H1022" i="4"/>
  <c r="D1022" i="4" s="1"/>
  <c r="H1023" i="4"/>
  <c r="D1023" i="4" s="1"/>
  <c r="H1024" i="4"/>
  <c r="D1024" i="4" s="1"/>
  <c r="H1025" i="4"/>
  <c r="D1025" i="4" s="1"/>
  <c r="H1026" i="4"/>
  <c r="D1026" i="4" s="1"/>
  <c r="H1027" i="4"/>
  <c r="D1027" i="4" s="1"/>
  <c r="H1028" i="4"/>
  <c r="D1028" i="4" s="1"/>
  <c r="H1029" i="4"/>
  <c r="D1029" i="4" s="1"/>
  <c r="H1030" i="4"/>
  <c r="D1030" i="4" s="1"/>
  <c r="H1031" i="4"/>
  <c r="D1031" i="4" s="1"/>
  <c r="H1032" i="4"/>
  <c r="D1032" i="4" s="1"/>
  <c r="H1033" i="4"/>
  <c r="D1033" i="4" s="1"/>
  <c r="H1034" i="4"/>
  <c r="D1034" i="4" s="1"/>
  <c r="H1035" i="4"/>
  <c r="D1035" i="4" s="1"/>
  <c r="H1036" i="4"/>
  <c r="D1036" i="4" s="1"/>
  <c r="H1037" i="4"/>
  <c r="D1037" i="4" s="1"/>
  <c r="H1038" i="4"/>
  <c r="D1038" i="4" s="1"/>
  <c r="H1039" i="4"/>
  <c r="D1039" i="4" s="1"/>
  <c r="H1040" i="4"/>
  <c r="D1040" i="4" s="1"/>
  <c r="H1041" i="4"/>
  <c r="D1041" i="4" s="1"/>
  <c r="H1042" i="4"/>
  <c r="D1042" i="4" s="1"/>
  <c r="H1043" i="4"/>
  <c r="D1043" i="4" s="1"/>
  <c r="H1044" i="4"/>
  <c r="D1044" i="4" s="1"/>
  <c r="H1045" i="4"/>
  <c r="D1045" i="4" s="1"/>
  <c r="H1046" i="4"/>
  <c r="D1046" i="4" s="1"/>
  <c r="H1047" i="4"/>
  <c r="D1047" i="4" s="1"/>
  <c r="H1048" i="4"/>
  <c r="D1048" i="4" s="1"/>
  <c r="H1049" i="4"/>
  <c r="D1049" i="4" s="1"/>
  <c r="H1050" i="4"/>
  <c r="D1050" i="4" s="1"/>
  <c r="H1051" i="4"/>
  <c r="D1051" i="4" s="1"/>
  <c r="H1052" i="4"/>
  <c r="D1052" i="4" s="1"/>
  <c r="H1053" i="4"/>
  <c r="D1053" i="4" s="1"/>
  <c r="H1054" i="4"/>
  <c r="D1054" i="4" s="1"/>
  <c r="H1055" i="4"/>
  <c r="D1055" i="4" s="1"/>
  <c r="H1056" i="4"/>
  <c r="D1056" i="4" s="1"/>
  <c r="H1057" i="4"/>
  <c r="D1057" i="4" s="1"/>
  <c r="H1058" i="4"/>
  <c r="D1058" i="4" s="1"/>
  <c r="H1059" i="4"/>
  <c r="D1059" i="4" s="1"/>
  <c r="H1060" i="4"/>
  <c r="D1060" i="4" s="1"/>
  <c r="H1061" i="4"/>
  <c r="D1061" i="4" s="1"/>
  <c r="H1062" i="4"/>
  <c r="D1062" i="4" s="1"/>
  <c r="H1063" i="4"/>
  <c r="D1063" i="4" s="1"/>
  <c r="H1064" i="4"/>
  <c r="D1064" i="4" s="1"/>
  <c r="H1065" i="4"/>
  <c r="D1065" i="4" s="1"/>
  <c r="H1066" i="4"/>
  <c r="D1066" i="4" s="1"/>
  <c r="H1067" i="4"/>
  <c r="D1067" i="4" s="1"/>
  <c r="H1068" i="4"/>
  <c r="D1068" i="4" s="1"/>
  <c r="H1069" i="4"/>
  <c r="D1069" i="4" s="1"/>
  <c r="H1070" i="4"/>
  <c r="D1070" i="4" s="1"/>
  <c r="H1071" i="4"/>
  <c r="D1071" i="4" s="1"/>
  <c r="H1072" i="4"/>
  <c r="D1072" i="4" s="1"/>
  <c r="H1073" i="4"/>
  <c r="D1073" i="4" s="1"/>
  <c r="H1074" i="4"/>
  <c r="D1074" i="4" s="1"/>
  <c r="H1075" i="4"/>
  <c r="D1075" i="4" s="1"/>
  <c r="H1076" i="4"/>
  <c r="D1076" i="4" s="1"/>
  <c r="H1077" i="4"/>
  <c r="D1077" i="4" s="1"/>
  <c r="H1078" i="4"/>
  <c r="D1078" i="4" s="1"/>
  <c r="H1079" i="4"/>
  <c r="D1079" i="4" s="1"/>
  <c r="H1080" i="4"/>
  <c r="D1080" i="4" s="1"/>
  <c r="H1081" i="4"/>
  <c r="D1081" i="4" s="1"/>
  <c r="H1082" i="4"/>
  <c r="D1082" i="4" s="1"/>
  <c r="H1083" i="4"/>
  <c r="D1083" i="4" s="1"/>
  <c r="H1084" i="4"/>
  <c r="D1084" i="4" s="1"/>
  <c r="H1085" i="4"/>
  <c r="D1085" i="4" s="1"/>
  <c r="H1086" i="4"/>
  <c r="D1086" i="4" s="1"/>
  <c r="H1087" i="4"/>
  <c r="D1087" i="4" s="1"/>
  <c r="H1088" i="4"/>
  <c r="D1088" i="4" s="1"/>
  <c r="H1089" i="4"/>
  <c r="D1089" i="4" s="1"/>
  <c r="H1090" i="4"/>
  <c r="D1090" i="4" s="1"/>
  <c r="H1091" i="4"/>
  <c r="D1091" i="4" s="1"/>
  <c r="H1092" i="4"/>
  <c r="D1092" i="4" s="1"/>
  <c r="H1093" i="4"/>
  <c r="D1093" i="4" s="1"/>
  <c r="H1094" i="4"/>
  <c r="D1094" i="4" s="1"/>
  <c r="H1095" i="4"/>
  <c r="D1095" i="4" s="1"/>
  <c r="H1096" i="4"/>
  <c r="D1096" i="4" s="1"/>
  <c r="H1097" i="4"/>
  <c r="D1097" i="4" s="1"/>
  <c r="H1098" i="4"/>
  <c r="D1098" i="4" s="1"/>
  <c r="H1099" i="4"/>
  <c r="D1099" i="4" s="1"/>
  <c r="H1100" i="4"/>
  <c r="D1100" i="4" s="1"/>
  <c r="H1101" i="4"/>
  <c r="D1101" i="4" s="1"/>
  <c r="H1102" i="4"/>
  <c r="D1102" i="4" s="1"/>
  <c r="H1103" i="4"/>
  <c r="D1103" i="4" s="1"/>
  <c r="H1104" i="4"/>
  <c r="D1104" i="4" s="1"/>
  <c r="H1105" i="4"/>
  <c r="D1105" i="4" s="1"/>
  <c r="H1106" i="4"/>
  <c r="D1106" i="4" s="1"/>
  <c r="H1107" i="4"/>
  <c r="D1107" i="4" s="1"/>
  <c r="H1108" i="4"/>
  <c r="D1108" i="4" s="1"/>
  <c r="H1109" i="4"/>
  <c r="D1109" i="4" s="1"/>
  <c r="H1110" i="4"/>
  <c r="D1110" i="4" s="1"/>
  <c r="H1111" i="4"/>
  <c r="D1111" i="4" s="1"/>
  <c r="H1112" i="4"/>
  <c r="D1112" i="4" s="1"/>
  <c r="H1113" i="4"/>
  <c r="D1113" i="4" s="1"/>
  <c r="H1114" i="4"/>
  <c r="D1114" i="4" s="1"/>
  <c r="H1115" i="4"/>
  <c r="D1115" i="4" s="1"/>
  <c r="H1116" i="4"/>
  <c r="D1116" i="4" s="1"/>
  <c r="H1117" i="4"/>
  <c r="D1117" i="4" s="1"/>
  <c r="H1118" i="4"/>
  <c r="D1118" i="4" s="1"/>
  <c r="H1119" i="4"/>
  <c r="D1119" i="4" s="1"/>
  <c r="H1120" i="4"/>
  <c r="D1120" i="4" s="1"/>
  <c r="H1121" i="4"/>
  <c r="D1121" i="4" s="1"/>
  <c r="H1122" i="4"/>
  <c r="D1122" i="4" s="1"/>
  <c r="H1123" i="4"/>
  <c r="D1123" i="4" s="1"/>
  <c r="H1124" i="4"/>
  <c r="D1124" i="4" s="1"/>
  <c r="H1125" i="4"/>
  <c r="D1125" i="4" s="1"/>
  <c r="H1126" i="4"/>
  <c r="D1126" i="4" s="1"/>
  <c r="H1127" i="4"/>
  <c r="D1127" i="4" s="1"/>
  <c r="H1128" i="4"/>
  <c r="D1128" i="4" s="1"/>
  <c r="H1129" i="4"/>
  <c r="D1129" i="4" s="1"/>
  <c r="H1130" i="4"/>
  <c r="D1130" i="4" s="1"/>
  <c r="H1131" i="4"/>
  <c r="D1131" i="4" s="1"/>
  <c r="H1132" i="4"/>
  <c r="D1132" i="4" s="1"/>
  <c r="H1133" i="4"/>
  <c r="D1133" i="4" s="1"/>
  <c r="H1134" i="4"/>
  <c r="D1134" i="4" s="1"/>
  <c r="H1135" i="4"/>
  <c r="D1135" i="4" s="1"/>
  <c r="H1136" i="4"/>
  <c r="D1136" i="4" s="1"/>
  <c r="H1137" i="4"/>
  <c r="D1137" i="4" s="1"/>
  <c r="H1138" i="4"/>
  <c r="D1138" i="4" s="1"/>
  <c r="H1139" i="4"/>
  <c r="D1139" i="4" s="1"/>
  <c r="H1140" i="4"/>
  <c r="D1140" i="4" s="1"/>
  <c r="H1141" i="4"/>
  <c r="D1141" i="4" s="1"/>
  <c r="H1142" i="4"/>
  <c r="H1143" i="4"/>
  <c r="D1143" i="4" s="1"/>
  <c r="H1144" i="4"/>
  <c r="D1144" i="4" s="1"/>
  <c r="H1145" i="4"/>
  <c r="D1145" i="4" s="1"/>
  <c r="H1146" i="4"/>
  <c r="D1146" i="4" s="1"/>
  <c r="H1147" i="4"/>
  <c r="D1147" i="4" s="1"/>
  <c r="H1148" i="4"/>
  <c r="D1148" i="4" s="1"/>
  <c r="H1149" i="4"/>
  <c r="D1149" i="4" s="1"/>
  <c r="H1150" i="4"/>
  <c r="D1150" i="4" s="1"/>
  <c r="H1151" i="4"/>
  <c r="D1151" i="4" s="1"/>
  <c r="H1152" i="4"/>
  <c r="D1152" i="4" s="1"/>
  <c r="H1153" i="4"/>
  <c r="D1153" i="4" s="1"/>
  <c r="H1154" i="4"/>
  <c r="D1154" i="4" s="1"/>
  <c r="H1155" i="4"/>
  <c r="D1155" i="4" s="1"/>
  <c r="H1156" i="4"/>
  <c r="D1156" i="4" s="1"/>
  <c r="H1157" i="4"/>
  <c r="D1157" i="4" s="1"/>
  <c r="H1158" i="4"/>
  <c r="D1158" i="4" s="1"/>
  <c r="H1159" i="4"/>
  <c r="D1159" i="4" s="1"/>
  <c r="H1160" i="4"/>
  <c r="D1160" i="4" s="1"/>
  <c r="H1161" i="4"/>
  <c r="D1161" i="4" s="1"/>
  <c r="H1162" i="4"/>
  <c r="D1162" i="4" s="1"/>
  <c r="H1163" i="4"/>
  <c r="D1163" i="4" s="1"/>
  <c r="H1164" i="4"/>
  <c r="D1164" i="4" s="1"/>
  <c r="H1165" i="4"/>
  <c r="D1165" i="4" s="1"/>
  <c r="H1166" i="4"/>
  <c r="D1166" i="4" s="1"/>
  <c r="H1167" i="4"/>
  <c r="D1167" i="4" s="1"/>
  <c r="H1168" i="4"/>
  <c r="D1168" i="4" s="1"/>
  <c r="H1169" i="4"/>
  <c r="D1169" i="4" s="1"/>
  <c r="H1170" i="4"/>
  <c r="D1170" i="4" s="1"/>
  <c r="H1171" i="4"/>
  <c r="D1171" i="4" s="1"/>
  <c r="H1172" i="4"/>
  <c r="D1172" i="4" s="1"/>
  <c r="H1173" i="4"/>
  <c r="D1173" i="4" s="1"/>
  <c r="H1174" i="4"/>
  <c r="D1174" i="4" s="1"/>
  <c r="H1175" i="4"/>
  <c r="D1175" i="4" s="1"/>
  <c r="H1176" i="4"/>
  <c r="D1176" i="4" s="1"/>
  <c r="H1177" i="4"/>
  <c r="D1177" i="4" s="1"/>
  <c r="H1178" i="4"/>
  <c r="D1178" i="4" s="1"/>
  <c r="H1179" i="4"/>
  <c r="D1179" i="4" s="1"/>
  <c r="H1180" i="4"/>
  <c r="D1180" i="4" s="1"/>
  <c r="H1181" i="4"/>
  <c r="D1181" i="4" s="1"/>
  <c r="H1182" i="4"/>
  <c r="D1182" i="4" s="1"/>
  <c r="H1183" i="4"/>
  <c r="D1183" i="4" s="1"/>
  <c r="H1184" i="4"/>
  <c r="D1184" i="4" s="1"/>
  <c r="H1185" i="4"/>
  <c r="D1185" i="4" s="1"/>
  <c r="H1186" i="4"/>
  <c r="D1186" i="4" s="1"/>
  <c r="H1187" i="4"/>
  <c r="D1187" i="4" s="1"/>
  <c r="H1188" i="4"/>
  <c r="D1188" i="4" s="1"/>
  <c r="H1189" i="4"/>
  <c r="D1189" i="4" s="1"/>
  <c r="H1190" i="4"/>
  <c r="D1190" i="4" s="1"/>
  <c r="H1191" i="4"/>
  <c r="D1191" i="4" s="1"/>
  <c r="H1192" i="4"/>
  <c r="D1192" i="4" s="1"/>
  <c r="H1193" i="4"/>
  <c r="D1193" i="4" s="1"/>
  <c r="H1194" i="4"/>
  <c r="D1194" i="4" s="1"/>
  <c r="H1195" i="4"/>
  <c r="D1195" i="4" s="1"/>
  <c r="H1196" i="4"/>
  <c r="D1196" i="4" s="1"/>
  <c r="H1197" i="4"/>
  <c r="D1197" i="4" s="1"/>
  <c r="H1198" i="4"/>
  <c r="D1198" i="4" s="1"/>
  <c r="H1199" i="4"/>
  <c r="D1199" i="4" s="1"/>
  <c r="H1200" i="4"/>
  <c r="D1200" i="4" s="1"/>
  <c r="H1201" i="4"/>
  <c r="D1201" i="4" s="1"/>
  <c r="H1202" i="4"/>
  <c r="D1202" i="4" s="1"/>
  <c r="H1203" i="4"/>
  <c r="D1203" i="4" s="1"/>
  <c r="H1204" i="4"/>
  <c r="D1204" i="4" s="1"/>
  <c r="H1205" i="4"/>
  <c r="D1205" i="4" s="1"/>
  <c r="H1206" i="4"/>
  <c r="D1206" i="4" s="1"/>
  <c r="H1207" i="4"/>
  <c r="D1207" i="4" s="1"/>
  <c r="H1208" i="4"/>
  <c r="D1208" i="4" s="1"/>
  <c r="H1209" i="4"/>
  <c r="D1209" i="4" s="1"/>
  <c r="H1210" i="4"/>
  <c r="D1210" i="4" s="1"/>
  <c r="H1211" i="4"/>
  <c r="D1211" i="4" s="1"/>
  <c r="H1212" i="4"/>
  <c r="D1212" i="4" s="1"/>
  <c r="H1213" i="4"/>
  <c r="D1213" i="4" s="1"/>
  <c r="H1214" i="4"/>
  <c r="D1214" i="4" s="1"/>
  <c r="H1215" i="4"/>
  <c r="D1215" i="4" s="1"/>
  <c r="H1216" i="4"/>
  <c r="D1216" i="4" s="1"/>
  <c r="H1217" i="4"/>
  <c r="D1217" i="4" s="1"/>
  <c r="H1218" i="4"/>
  <c r="D1218" i="4" s="1"/>
  <c r="H1219" i="4"/>
  <c r="D1219" i="4" s="1"/>
  <c r="H1220" i="4"/>
  <c r="D1220" i="4" s="1"/>
  <c r="H1221" i="4"/>
  <c r="D1221" i="4" s="1"/>
  <c r="H1222" i="4"/>
  <c r="D1222" i="4" s="1"/>
  <c r="H1223" i="4"/>
  <c r="D1223" i="4" s="1"/>
  <c r="H1224" i="4"/>
  <c r="D1224" i="4" s="1"/>
  <c r="H1225" i="4"/>
  <c r="D1225" i="4" s="1"/>
  <c r="H1226" i="4"/>
  <c r="D1226" i="4" s="1"/>
  <c r="H1227" i="4"/>
  <c r="D1227" i="4" s="1"/>
  <c r="H1228" i="4"/>
  <c r="D1228" i="4" s="1"/>
  <c r="H1229" i="4"/>
  <c r="D1229" i="4" s="1"/>
  <c r="H1230" i="4"/>
  <c r="D1230" i="4" s="1"/>
  <c r="H1231" i="4"/>
  <c r="D1231" i="4" s="1"/>
  <c r="H1232" i="4"/>
  <c r="D1232" i="4" s="1"/>
  <c r="H1233" i="4"/>
  <c r="D1233" i="4" s="1"/>
  <c r="H1234" i="4"/>
  <c r="D1234" i="4" s="1"/>
  <c r="H1235" i="4"/>
  <c r="D1235" i="4" s="1"/>
  <c r="H1236" i="4"/>
  <c r="D1236" i="4" s="1"/>
  <c r="H1237" i="4"/>
  <c r="D1237" i="4" s="1"/>
  <c r="H1238" i="4"/>
  <c r="D1238" i="4" s="1"/>
  <c r="H1239" i="4"/>
  <c r="D1239" i="4" s="1"/>
  <c r="H1240" i="4"/>
  <c r="D1240" i="4" s="1"/>
  <c r="H1241" i="4"/>
  <c r="D1241" i="4" s="1"/>
  <c r="H1242" i="4"/>
  <c r="D1242" i="4" s="1"/>
  <c r="H1243" i="4"/>
  <c r="D1243" i="4" s="1"/>
  <c r="H1244" i="4"/>
  <c r="D1244" i="4" s="1"/>
  <c r="H1245" i="4"/>
  <c r="D1245" i="4" s="1"/>
  <c r="H1246" i="4"/>
  <c r="D1246" i="4" s="1"/>
  <c r="H1247" i="4"/>
  <c r="D1247" i="4" s="1"/>
  <c r="H1248" i="4"/>
  <c r="D1248" i="4" s="1"/>
  <c r="H1249" i="4"/>
  <c r="D1249" i="4" s="1"/>
  <c r="H1250" i="4"/>
  <c r="D1250" i="4" s="1"/>
  <c r="H1251" i="4"/>
  <c r="D1251" i="4" s="1"/>
  <c r="H1252" i="4"/>
  <c r="D1252" i="4" s="1"/>
  <c r="H1253" i="4"/>
  <c r="D1253" i="4" s="1"/>
  <c r="H1254" i="4"/>
  <c r="D1254" i="4" s="1"/>
  <c r="H1255" i="4"/>
  <c r="D1255" i="4" s="1"/>
  <c r="H1256" i="4"/>
  <c r="D1256" i="4" s="1"/>
  <c r="H1257" i="4"/>
  <c r="D1257" i="4" s="1"/>
  <c r="H1258" i="4"/>
  <c r="D1258" i="4" s="1"/>
  <c r="H1259" i="4"/>
  <c r="D1259" i="4" s="1"/>
  <c r="H1260" i="4"/>
  <c r="D1260" i="4" s="1"/>
  <c r="H1261" i="4"/>
  <c r="D1261" i="4" s="1"/>
  <c r="H1262" i="4"/>
  <c r="D1262" i="4" s="1"/>
  <c r="H1263" i="4"/>
  <c r="D1263" i="4" s="1"/>
  <c r="H1264" i="4"/>
  <c r="D1264" i="4" s="1"/>
  <c r="H1265" i="4"/>
  <c r="D1265" i="4" s="1"/>
  <c r="H1266" i="4"/>
  <c r="D1266" i="4" s="1"/>
  <c r="H1267" i="4"/>
  <c r="D1267" i="4" s="1"/>
  <c r="H1268" i="4"/>
  <c r="D1268" i="4" s="1"/>
  <c r="H1269" i="4"/>
  <c r="D1269" i="4" s="1"/>
  <c r="H1270" i="4"/>
  <c r="D1270" i="4" s="1"/>
  <c r="H1271" i="4"/>
  <c r="D1271" i="4" s="1"/>
  <c r="H1272" i="4"/>
  <c r="D1272" i="4" s="1"/>
  <c r="H1273" i="4"/>
  <c r="D1273" i="4" s="1"/>
  <c r="H1274" i="4"/>
  <c r="D1274" i="4" s="1"/>
  <c r="H1275" i="4"/>
  <c r="D1275" i="4" s="1"/>
  <c r="H1276" i="4"/>
  <c r="D1276" i="4" s="1"/>
  <c r="H1277" i="4"/>
  <c r="D1277" i="4" s="1"/>
  <c r="H1278" i="4"/>
  <c r="D1278" i="4" s="1"/>
  <c r="H1279" i="4"/>
  <c r="D1279" i="4" s="1"/>
  <c r="H1280" i="4"/>
  <c r="D1280" i="4" s="1"/>
  <c r="H1281" i="4"/>
  <c r="D1281" i="4" s="1"/>
  <c r="H1282" i="4"/>
  <c r="D1282" i="4" s="1"/>
  <c r="H1283" i="4"/>
  <c r="D1283" i="4" s="1"/>
  <c r="H1284" i="4"/>
  <c r="D1284" i="4" s="1"/>
  <c r="H1285" i="4"/>
  <c r="D1285" i="4" s="1"/>
  <c r="H1286" i="4"/>
  <c r="D1286" i="4" s="1"/>
  <c r="H1287" i="4"/>
  <c r="D1287" i="4" s="1"/>
  <c r="H1288" i="4"/>
  <c r="D1288" i="4" s="1"/>
  <c r="H1289" i="4"/>
  <c r="D1289" i="4" s="1"/>
  <c r="H1290" i="4"/>
  <c r="D1290" i="4" s="1"/>
  <c r="H1291" i="4"/>
  <c r="D1291" i="4" s="1"/>
  <c r="H1292" i="4"/>
  <c r="D1292" i="4" s="1"/>
  <c r="H1293" i="4"/>
  <c r="D1293" i="4" s="1"/>
  <c r="H1294" i="4"/>
  <c r="D1294" i="4" s="1"/>
  <c r="H1295" i="4"/>
  <c r="D1295" i="4" s="1"/>
  <c r="H1296" i="4"/>
  <c r="D1296" i="4" s="1"/>
  <c r="H1297" i="4"/>
  <c r="D1297" i="4" s="1"/>
  <c r="H1298" i="4"/>
  <c r="D1298" i="4" s="1"/>
  <c r="H1299" i="4"/>
  <c r="D1299" i="4" s="1"/>
  <c r="H1300" i="4"/>
  <c r="D1300" i="4" s="1"/>
  <c r="H1301" i="4"/>
  <c r="D1301" i="4" s="1"/>
  <c r="H1302" i="4"/>
  <c r="D1302" i="4" s="1"/>
  <c r="H1303" i="4"/>
  <c r="D1303" i="4" s="1"/>
  <c r="H1304" i="4"/>
  <c r="D1304" i="4" s="1"/>
  <c r="H1305" i="4"/>
  <c r="D1305" i="4" s="1"/>
  <c r="H1306" i="4"/>
  <c r="D1306" i="4" s="1"/>
  <c r="H1307" i="4"/>
  <c r="D1307" i="4" s="1"/>
  <c r="H1308" i="4"/>
  <c r="D1308" i="4" s="1"/>
  <c r="H1309" i="4"/>
  <c r="D1309" i="4" s="1"/>
  <c r="H1310" i="4"/>
  <c r="D1310" i="4" s="1"/>
  <c r="H1311" i="4"/>
  <c r="D1311" i="4" s="1"/>
  <c r="H1312" i="4"/>
  <c r="D1312" i="4" s="1"/>
  <c r="H1313" i="4"/>
  <c r="D1313" i="4" s="1"/>
  <c r="H1314" i="4"/>
  <c r="D1314" i="4" s="1"/>
  <c r="H1315" i="4"/>
  <c r="D1315" i="4" s="1"/>
  <c r="H1316" i="4"/>
  <c r="D1316" i="4" s="1"/>
  <c r="H1317" i="4"/>
  <c r="D1317" i="4" s="1"/>
  <c r="H1318" i="4"/>
  <c r="D1318" i="4" s="1"/>
  <c r="H1319" i="4"/>
  <c r="D1319" i="4" s="1"/>
  <c r="H1320" i="4"/>
  <c r="D1320" i="4" s="1"/>
  <c r="H1321" i="4"/>
  <c r="D1321" i="4" s="1"/>
  <c r="H1322" i="4"/>
  <c r="D1322" i="4" s="1"/>
  <c r="H1323" i="4"/>
  <c r="D1323" i="4" s="1"/>
  <c r="H1324" i="4"/>
  <c r="D1324" i="4" s="1"/>
  <c r="H1325" i="4"/>
  <c r="D1325" i="4" s="1"/>
  <c r="H1326" i="4"/>
  <c r="D1326" i="4" s="1"/>
  <c r="H1327" i="4"/>
  <c r="D1327" i="4" s="1"/>
  <c r="H1328" i="4"/>
  <c r="D1328" i="4" s="1"/>
  <c r="H1329" i="4"/>
  <c r="D1329" i="4" s="1"/>
  <c r="H1330" i="4"/>
  <c r="D1330" i="4" s="1"/>
  <c r="H1331" i="4"/>
  <c r="D1331" i="4" s="1"/>
  <c r="H1332" i="4"/>
  <c r="D1332" i="4" s="1"/>
  <c r="H1333" i="4"/>
  <c r="D1333" i="4" s="1"/>
  <c r="H1334" i="4"/>
  <c r="D1334" i="4" s="1"/>
  <c r="H1335" i="4"/>
  <c r="D1335" i="4" s="1"/>
  <c r="H1336" i="4"/>
  <c r="D1336" i="4" s="1"/>
  <c r="H1337" i="4"/>
  <c r="D1337" i="4" s="1"/>
  <c r="H1338" i="4"/>
  <c r="D1338" i="4" s="1"/>
  <c r="H1339" i="4"/>
  <c r="D1339" i="4" s="1"/>
  <c r="H1340" i="4"/>
  <c r="D1340" i="4" s="1"/>
  <c r="H1341" i="4"/>
  <c r="D1341" i="4" s="1"/>
  <c r="H1342" i="4"/>
  <c r="D1342" i="4" s="1"/>
  <c r="H1343" i="4"/>
  <c r="D1343" i="4" s="1"/>
  <c r="H1344" i="4"/>
  <c r="D1344" i="4" s="1"/>
  <c r="H1345" i="4"/>
  <c r="D1345" i="4" s="1"/>
  <c r="H1346" i="4"/>
  <c r="D1346" i="4" s="1"/>
  <c r="H1347" i="4"/>
  <c r="D1347" i="4" s="1"/>
  <c r="H1348" i="4"/>
  <c r="D1348" i="4" s="1"/>
  <c r="H1349" i="4"/>
  <c r="D1349" i="4" s="1"/>
  <c r="H1350" i="4"/>
  <c r="D1350" i="4" s="1"/>
  <c r="H1351" i="4"/>
  <c r="D1351" i="4" s="1"/>
  <c r="H1352" i="4"/>
  <c r="D1352" i="4" s="1"/>
  <c r="H1353" i="4"/>
  <c r="D1353" i="4" s="1"/>
  <c r="H1354" i="4"/>
  <c r="D1354" i="4" s="1"/>
  <c r="H1355" i="4"/>
  <c r="D1355" i="4" s="1"/>
  <c r="H1356" i="4"/>
  <c r="D1356" i="4" s="1"/>
  <c r="H1357" i="4"/>
  <c r="D1357" i="4" s="1"/>
  <c r="H1358" i="4"/>
  <c r="D1358" i="4" s="1"/>
  <c r="H1359" i="4"/>
  <c r="D1359" i="4" s="1"/>
  <c r="H1360" i="4"/>
  <c r="D1360" i="4" s="1"/>
  <c r="H1361" i="4"/>
  <c r="D1361" i="4" s="1"/>
  <c r="H1362" i="4"/>
  <c r="D1362" i="4" s="1"/>
  <c r="H1363" i="4"/>
  <c r="D1363" i="4" s="1"/>
  <c r="H1364" i="4"/>
  <c r="D1364" i="4" s="1"/>
  <c r="H1365" i="4"/>
  <c r="D1365" i="4" s="1"/>
  <c r="H1366" i="4"/>
  <c r="D1366" i="4" s="1"/>
  <c r="H1367" i="4"/>
  <c r="D1367" i="4" s="1"/>
  <c r="H1368" i="4"/>
  <c r="D1368" i="4" s="1"/>
  <c r="H1369" i="4"/>
  <c r="D1369" i="4" s="1"/>
  <c r="H1370" i="4"/>
  <c r="D1370" i="4" s="1"/>
  <c r="H1371" i="4"/>
  <c r="D1371" i="4" s="1"/>
  <c r="H1372" i="4"/>
  <c r="D1372" i="4" s="1"/>
  <c r="H1373" i="4"/>
  <c r="D1373" i="4" s="1"/>
  <c r="H1374" i="4"/>
  <c r="D1374" i="4" s="1"/>
  <c r="H1375" i="4"/>
  <c r="D1375" i="4" s="1"/>
  <c r="H1376" i="4"/>
  <c r="D1376" i="4" s="1"/>
  <c r="H1377" i="4"/>
  <c r="D1377" i="4" s="1"/>
  <c r="H1378" i="4"/>
  <c r="D1378" i="4" s="1"/>
  <c r="H1379" i="4"/>
  <c r="D1379" i="4" s="1"/>
  <c r="H1380" i="4"/>
  <c r="D1380" i="4" s="1"/>
  <c r="H1381" i="4"/>
  <c r="D1381" i="4" s="1"/>
  <c r="H1382" i="4"/>
  <c r="D1382" i="4" s="1"/>
  <c r="H1383" i="4"/>
  <c r="D1383" i="4" s="1"/>
  <c r="H1384" i="4"/>
  <c r="D1384" i="4" s="1"/>
  <c r="H1385" i="4"/>
  <c r="D1385" i="4" s="1"/>
  <c r="H1386" i="4"/>
  <c r="D1386" i="4" s="1"/>
  <c r="H1387" i="4"/>
  <c r="D1387" i="4" s="1"/>
  <c r="H1388" i="4"/>
  <c r="D1388" i="4" s="1"/>
  <c r="H1389" i="4"/>
  <c r="D1389" i="4" s="1"/>
  <c r="H1390" i="4"/>
  <c r="D1390" i="4" s="1"/>
  <c r="H1391" i="4"/>
  <c r="D1391" i="4" s="1"/>
  <c r="H1392" i="4"/>
  <c r="D1392" i="4" s="1"/>
  <c r="H1393" i="4"/>
  <c r="D1393" i="4" s="1"/>
  <c r="H1394" i="4"/>
  <c r="D1394" i="4" s="1"/>
  <c r="H1395" i="4"/>
  <c r="D1395" i="4" s="1"/>
  <c r="H1396" i="4"/>
  <c r="D1396" i="4" s="1"/>
  <c r="H1397" i="4"/>
  <c r="D1397" i="4" s="1"/>
  <c r="H1398" i="4"/>
  <c r="D1398" i="4" s="1"/>
  <c r="H1399" i="4"/>
  <c r="D1399" i="4" s="1"/>
  <c r="H1400" i="4"/>
  <c r="D1400" i="4" s="1"/>
  <c r="H1401" i="4"/>
  <c r="D1401" i="4" s="1"/>
  <c r="H1402" i="4"/>
  <c r="D1402" i="4" s="1"/>
  <c r="H1403" i="4"/>
  <c r="D1403" i="4" s="1"/>
  <c r="H1404" i="4"/>
  <c r="D1404" i="4" s="1"/>
  <c r="H1405" i="4"/>
  <c r="D1405" i="4" s="1"/>
  <c r="H1406" i="4"/>
  <c r="D1406" i="4" s="1"/>
  <c r="H1407" i="4"/>
  <c r="D1407" i="4" s="1"/>
  <c r="H1408" i="4"/>
  <c r="D1408" i="4" s="1"/>
  <c r="H1409" i="4"/>
  <c r="D1409" i="4" s="1"/>
  <c r="H1410" i="4"/>
  <c r="D1410" i="4" s="1"/>
  <c r="H1411" i="4"/>
  <c r="D1411" i="4" s="1"/>
  <c r="H1412" i="4"/>
  <c r="D1412" i="4" s="1"/>
  <c r="H1413" i="4"/>
  <c r="D1413" i="4" s="1"/>
  <c r="H1414" i="4"/>
  <c r="D1414" i="4" s="1"/>
  <c r="H1415" i="4"/>
  <c r="D1415" i="4" s="1"/>
  <c r="H1416" i="4"/>
  <c r="D1416" i="4" s="1"/>
  <c r="H1417" i="4"/>
  <c r="D1417" i="4" s="1"/>
  <c r="H1418" i="4"/>
  <c r="D1418" i="4" s="1"/>
  <c r="H1419" i="4"/>
  <c r="D1419" i="4" s="1"/>
  <c r="H1420" i="4"/>
  <c r="D1420" i="4" s="1"/>
  <c r="H1421" i="4"/>
  <c r="D1421" i="4" s="1"/>
  <c r="H1422" i="4"/>
  <c r="D1422" i="4" s="1"/>
  <c r="H1423" i="4"/>
  <c r="D1423" i="4" s="1"/>
  <c r="H1424" i="4"/>
  <c r="D1424" i="4" s="1"/>
  <c r="H1425" i="4"/>
  <c r="D1425" i="4" s="1"/>
  <c r="H1426" i="4"/>
  <c r="D1426" i="4" s="1"/>
  <c r="H1427" i="4"/>
  <c r="D1427" i="4" s="1"/>
  <c r="H1428" i="4"/>
  <c r="D1428" i="4" s="1"/>
  <c r="H1429" i="4"/>
  <c r="D1429" i="4" s="1"/>
  <c r="H1430" i="4"/>
  <c r="D1430" i="4" s="1"/>
  <c r="H1431" i="4"/>
  <c r="D1431" i="4" s="1"/>
  <c r="H1432" i="4"/>
  <c r="D1432" i="4" s="1"/>
  <c r="H1433" i="4"/>
  <c r="D1433" i="4" s="1"/>
  <c r="H1434" i="4"/>
  <c r="D1434" i="4" s="1"/>
  <c r="H1435" i="4"/>
  <c r="D1435" i="4" s="1"/>
  <c r="H1436" i="4"/>
  <c r="D1436" i="4" s="1"/>
  <c r="H1437" i="4"/>
  <c r="D1437" i="4" s="1"/>
  <c r="H1438" i="4"/>
  <c r="D1438" i="4" s="1"/>
  <c r="H1439" i="4"/>
  <c r="D1439" i="4" s="1"/>
  <c r="H1440" i="4"/>
  <c r="D1440" i="4" s="1"/>
  <c r="H1441" i="4"/>
  <c r="D1441" i="4" s="1"/>
  <c r="H1442" i="4"/>
  <c r="D1442" i="4" s="1"/>
  <c r="H1443" i="4"/>
  <c r="D1443" i="4" s="1"/>
  <c r="H1444" i="4"/>
  <c r="D1444" i="4" s="1"/>
  <c r="H1445" i="4"/>
  <c r="D1445" i="4" s="1"/>
  <c r="H1446" i="4"/>
  <c r="D1446" i="4" s="1"/>
  <c r="H1447" i="4"/>
  <c r="D1447" i="4" s="1"/>
  <c r="H1448" i="4"/>
  <c r="D1448" i="4" s="1"/>
  <c r="H1449" i="4"/>
  <c r="D1449" i="4" s="1"/>
  <c r="H1450" i="4"/>
  <c r="D1450" i="4" s="1"/>
  <c r="H1451" i="4"/>
  <c r="D1451" i="4" s="1"/>
  <c r="H1452" i="4"/>
  <c r="D1452" i="4" s="1"/>
  <c r="H1453" i="4"/>
  <c r="D1453" i="4" s="1"/>
  <c r="H1454" i="4"/>
  <c r="D1454" i="4" s="1"/>
  <c r="H1455" i="4"/>
  <c r="D1455" i="4" s="1"/>
  <c r="H1456" i="4"/>
  <c r="D1456" i="4" s="1"/>
  <c r="H1457" i="4"/>
  <c r="D1457" i="4" s="1"/>
  <c r="H1458" i="4"/>
  <c r="D1458" i="4" s="1"/>
  <c r="H1459" i="4"/>
  <c r="D1459" i="4" s="1"/>
  <c r="H1460" i="4"/>
  <c r="D1460" i="4" s="1"/>
  <c r="H1461" i="4"/>
  <c r="D1461" i="4" s="1"/>
  <c r="H1462" i="4"/>
  <c r="D1462" i="4" s="1"/>
  <c r="H1463" i="4"/>
  <c r="D1463" i="4" s="1"/>
  <c r="H1464" i="4"/>
  <c r="D1464" i="4" s="1"/>
  <c r="H1465" i="4"/>
  <c r="D1465" i="4" s="1"/>
  <c r="H1466" i="4"/>
  <c r="D1466" i="4" s="1"/>
  <c r="H1467" i="4"/>
  <c r="D1467" i="4" s="1"/>
  <c r="H1468" i="4"/>
  <c r="D1468" i="4" s="1"/>
  <c r="H1469" i="4"/>
  <c r="D1469" i="4" s="1"/>
  <c r="H1470" i="4"/>
  <c r="D1470" i="4" s="1"/>
  <c r="H1471" i="4"/>
  <c r="D1471" i="4" s="1"/>
  <c r="H1472" i="4"/>
  <c r="D1472" i="4" s="1"/>
  <c r="H1473" i="4"/>
  <c r="D1473" i="4" s="1"/>
  <c r="H1474" i="4"/>
  <c r="D1474" i="4" s="1"/>
  <c r="H1475" i="4"/>
  <c r="D1475" i="4" s="1"/>
  <c r="H1476" i="4"/>
  <c r="D1476" i="4" s="1"/>
  <c r="H1477" i="4"/>
  <c r="D1477" i="4" s="1"/>
  <c r="H1478" i="4"/>
  <c r="D1478" i="4" s="1"/>
  <c r="H1479" i="4"/>
  <c r="D1479" i="4" s="1"/>
  <c r="H1480" i="4"/>
  <c r="D1480" i="4" s="1"/>
  <c r="H1481" i="4"/>
  <c r="D1481" i="4" s="1"/>
  <c r="H1482" i="4"/>
  <c r="D1482" i="4" s="1"/>
  <c r="H1483" i="4"/>
  <c r="D1483" i="4" s="1"/>
  <c r="H1484" i="4"/>
  <c r="D1484" i="4" s="1"/>
  <c r="H1485" i="4"/>
  <c r="D1485" i="4" s="1"/>
  <c r="H1486" i="4"/>
  <c r="D1486" i="4" s="1"/>
  <c r="H1487" i="4"/>
  <c r="D1487" i="4" s="1"/>
  <c r="H1488" i="4"/>
  <c r="D1488" i="4" s="1"/>
  <c r="H1489" i="4"/>
  <c r="D1489" i="4" s="1"/>
  <c r="H1490" i="4"/>
  <c r="D1490" i="4" s="1"/>
  <c r="H1491" i="4"/>
  <c r="D1491" i="4" s="1"/>
  <c r="H1492" i="4"/>
  <c r="D1492" i="4" s="1"/>
  <c r="H1493" i="4"/>
  <c r="D1493" i="4" s="1"/>
  <c r="H1494" i="4"/>
  <c r="D1494" i="4" s="1"/>
  <c r="H1495" i="4"/>
  <c r="D1495" i="4" s="1"/>
  <c r="H1496" i="4"/>
  <c r="D1496" i="4" s="1"/>
  <c r="H1497" i="4"/>
  <c r="D1497" i="4" s="1"/>
  <c r="H1498" i="4"/>
  <c r="D1498" i="4" s="1"/>
  <c r="H1499" i="4"/>
  <c r="D1499" i="4" s="1"/>
  <c r="H1500" i="4"/>
  <c r="D1500" i="4" s="1"/>
  <c r="H1501" i="4"/>
  <c r="D1501" i="4" s="1"/>
  <c r="H1502" i="4"/>
  <c r="D1502" i="4" s="1"/>
  <c r="H1503" i="4"/>
  <c r="D1503" i="4" s="1"/>
  <c r="H1504" i="4"/>
  <c r="D1504" i="4" s="1"/>
  <c r="H1505" i="4"/>
  <c r="D1505" i="4" s="1"/>
  <c r="H1506" i="4"/>
  <c r="D1506" i="4" s="1"/>
  <c r="H1507" i="4"/>
  <c r="D1507" i="4" s="1"/>
  <c r="H1508" i="4"/>
  <c r="D1508" i="4" s="1"/>
  <c r="H1509" i="4"/>
  <c r="D1509" i="4" s="1"/>
  <c r="H1510" i="4"/>
  <c r="D1510" i="4" s="1"/>
  <c r="H1511" i="4"/>
  <c r="D1511" i="4" s="1"/>
  <c r="H1512" i="4"/>
  <c r="D1512" i="4" s="1"/>
  <c r="H1513" i="4"/>
  <c r="D1513" i="4" s="1"/>
  <c r="H1514" i="4"/>
  <c r="D1514" i="4" s="1"/>
  <c r="H1515" i="4"/>
  <c r="D1515" i="4" s="1"/>
  <c r="H1516" i="4"/>
  <c r="D1516" i="4" s="1"/>
  <c r="H1517" i="4"/>
  <c r="D1517" i="4" s="1"/>
  <c r="H1518" i="4"/>
  <c r="D1518" i="4" s="1"/>
  <c r="H1519" i="4"/>
  <c r="D1519" i="4" s="1"/>
  <c r="H1520" i="4"/>
  <c r="D1520" i="4" s="1"/>
  <c r="H1521" i="4"/>
  <c r="D1521" i="4" s="1"/>
  <c r="H1522" i="4"/>
  <c r="D1522" i="4" s="1"/>
  <c r="H1523" i="4"/>
  <c r="D1523" i="4" s="1"/>
  <c r="H1524" i="4"/>
  <c r="D1524" i="4" s="1"/>
  <c r="H1525" i="4"/>
  <c r="D1525" i="4" s="1"/>
  <c r="H1526" i="4"/>
  <c r="D1526" i="4" s="1"/>
  <c r="H1527" i="4"/>
  <c r="D1527" i="4" s="1"/>
  <c r="H1528" i="4"/>
  <c r="D1528" i="4" s="1"/>
  <c r="H1529" i="4"/>
  <c r="D1529" i="4" s="1"/>
  <c r="H1530" i="4"/>
  <c r="D1530" i="4" s="1"/>
  <c r="H1531" i="4"/>
  <c r="D1531" i="4" s="1"/>
  <c r="H1532" i="4"/>
  <c r="D1532" i="4" s="1"/>
  <c r="H1533" i="4"/>
  <c r="D1533" i="4" s="1"/>
  <c r="H1534" i="4"/>
  <c r="D1534" i="4" s="1"/>
  <c r="H1535" i="4"/>
  <c r="D1535" i="4" s="1"/>
  <c r="H1536" i="4"/>
  <c r="D1536" i="4" s="1"/>
  <c r="H1537" i="4"/>
  <c r="D1537" i="4" s="1"/>
  <c r="H1538" i="4"/>
  <c r="D1538" i="4" s="1"/>
  <c r="H1539" i="4"/>
  <c r="D1539" i="4" s="1"/>
  <c r="H1540" i="4"/>
  <c r="D1540" i="4" s="1"/>
  <c r="H1541" i="4"/>
  <c r="D1541" i="4" s="1"/>
  <c r="H1542" i="4"/>
  <c r="D1542" i="4" s="1"/>
  <c r="H1543" i="4"/>
  <c r="D1543" i="4" s="1"/>
  <c r="H1544" i="4"/>
  <c r="D1544" i="4" s="1"/>
  <c r="H1545" i="4"/>
  <c r="D1545" i="4" s="1"/>
  <c r="H1546" i="4"/>
  <c r="D1546" i="4" s="1"/>
  <c r="H1547" i="4"/>
  <c r="D1547" i="4" s="1"/>
  <c r="H1548" i="4"/>
  <c r="D1548" i="4" s="1"/>
  <c r="H1549" i="4"/>
  <c r="D1549" i="4" s="1"/>
  <c r="H1550" i="4"/>
  <c r="D1550" i="4" s="1"/>
  <c r="H1551" i="4"/>
  <c r="D1551" i="4" s="1"/>
  <c r="H1552" i="4"/>
  <c r="D1552" i="4" s="1"/>
  <c r="H1553" i="4"/>
  <c r="D1553" i="4" s="1"/>
  <c r="H1554" i="4"/>
  <c r="D1554" i="4" s="1"/>
  <c r="H1555" i="4"/>
  <c r="D1555" i="4" s="1"/>
  <c r="H1556" i="4"/>
  <c r="D1556" i="4" s="1"/>
  <c r="H1557" i="4"/>
  <c r="D1557" i="4" s="1"/>
  <c r="H1558" i="4"/>
  <c r="D1558" i="4" s="1"/>
  <c r="H1559" i="4"/>
  <c r="D1559" i="4" s="1"/>
  <c r="H1560" i="4"/>
  <c r="D1560" i="4" s="1"/>
  <c r="H1561" i="4"/>
  <c r="D1561" i="4" s="1"/>
  <c r="H1562" i="4"/>
  <c r="D1562" i="4" s="1"/>
  <c r="H1563" i="4"/>
  <c r="D1563" i="4" s="1"/>
  <c r="H1564" i="4"/>
  <c r="D1564" i="4" s="1"/>
  <c r="H1565" i="4"/>
  <c r="D1565" i="4" s="1"/>
  <c r="H1566" i="4"/>
  <c r="D1566" i="4" s="1"/>
  <c r="H1567" i="4"/>
  <c r="D1567" i="4" s="1"/>
  <c r="H1568" i="4"/>
  <c r="D1568" i="4" s="1"/>
  <c r="H1569" i="4"/>
  <c r="D1569" i="4" s="1"/>
  <c r="H1570" i="4"/>
  <c r="D1570" i="4" s="1"/>
  <c r="H1571" i="4"/>
  <c r="D1571" i="4" s="1"/>
  <c r="H1572" i="4"/>
  <c r="D1572" i="4" s="1"/>
  <c r="H1573" i="4"/>
  <c r="D1573" i="4" s="1"/>
  <c r="H1574" i="4"/>
  <c r="D1574" i="4" s="1"/>
  <c r="H1575" i="4"/>
  <c r="D1575" i="4" s="1"/>
  <c r="H1576" i="4"/>
  <c r="D1576" i="4" s="1"/>
  <c r="H1577" i="4"/>
  <c r="D1577" i="4" s="1"/>
  <c r="H1578" i="4"/>
  <c r="D1578" i="4" s="1"/>
  <c r="H1579" i="4"/>
  <c r="D1579" i="4" s="1"/>
  <c r="H1580" i="4"/>
  <c r="D1580" i="4" s="1"/>
  <c r="H1581" i="4"/>
  <c r="D1581" i="4" s="1"/>
  <c r="H1582" i="4"/>
  <c r="D1582" i="4" s="1"/>
  <c r="H1583" i="4"/>
  <c r="D1583" i="4" s="1"/>
  <c r="H1584" i="4"/>
  <c r="D1584" i="4" s="1"/>
  <c r="H1585" i="4"/>
  <c r="D1585" i="4" s="1"/>
  <c r="H1586" i="4"/>
  <c r="D1586" i="4" s="1"/>
  <c r="H1587" i="4"/>
  <c r="D1587" i="4" s="1"/>
  <c r="H1588" i="4"/>
  <c r="D1588" i="4" s="1"/>
  <c r="H1589" i="4"/>
  <c r="D1589" i="4" s="1"/>
  <c r="H1590" i="4"/>
  <c r="H1591" i="4"/>
  <c r="D1591" i="4" s="1"/>
  <c r="H1592" i="4"/>
  <c r="D1592" i="4" s="1"/>
  <c r="H1593" i="4"/>
  <c r="D1593" i="4" s="1"/>
  <c r="H1594" i="4"/>
  <c r="D1594" i="4" s="1"/>
  <c r="H1595" i="4"/>
  <c r="D1595" i="4" s="1"/>
  <c r="H1596" i="4"/>
  <c r="D1596" i="4" s="1"/>
  <c r="H1597" i="4"/>
  <c r="D1597" i="4" s="1"/>
  <c r="H1598" i="4"/>
  <c r="D1598" i="4" s="1"/>
  <c r="H1599" i="4"/>
  <c r="D1599" i="4" s="1"/>
  <c r="H1600" i="4"/>
  <c r="D1600" i="4" s="1"/>
  <c r="H1601" i="4"/>
  <c r="D1601" i="4" s="1"/>
  <c r="H1602" i="4"/>
  <c r="D1602" i="4" s="1"/>
  <c r="H1603" i="4"/>
  <c r="D1603" i="4" s="1"/>
  <c r="H1604" i="4"/>
  <c r="D1604" i="4" s="1"/>
  <c r="H1605" i="4"/>
  <c r="D1605" i="4" s="1"/>
  <c r="H1606" i="4"/>
  <c r="D1606" i="4" s="1"/>
  <c r="H1607" i="4"/>
  <c r="D1607" i="4" s="1"/>
  <c r="H1608" i="4"/>
  <c r="D1608" i="4" s="1"/>
  <c r="H1609" i="4"/>
  <c r="D1609" i="4" s="1"/>
  <c r="H1610" i="4"/>
  <c r="D1610" i="4" s="1"/>
  <c r="H1611" i="4"/>
  <c r="D1611" i="4" s="1"/>
  <c r="H1612" i="4"/>
  <c r="D1612" i="4" s="1"/>
  <c r="H1613" i="4"/>
  <c r="D1613" i="4" s="1"/>
  <c r="H1614" i="4"/>
  <c r="D1614" i="4" s="1"/>
  <c r="H1615" i="4"/>
  <c r="D1615" i="4" s="1"/>
  <c r="H1616" i="4"/>
  <c r="D1616" i="4" s="1"/>
  <c r="H1617" i="4"/>
  <c r="D1617" i="4" s="1"/>
  <c r="H1618" i="4"/>
  <c r="D1618" i="4" s="1"/>
  <c r="H1619" i="4"/>
  <c r="D1619" i="4" s="1"/>
  <c r="H1620" i="4"/>
  <c r="D1620" i="4" s="1"/>
  <c r="H1621" i="4"/>
  <c r="D1621" i="4" s="1"/>
  <c r="H1622" i="4"/>
  <c r="D1622" i="4" s="1"/>
  <c r="H1623" i="4"/>
  <c r="D1623" i="4" s="1"/>
  <c r="H1624" i="4"/>
  <c r="D1624" i="4" s="1"/>
  <c r="H1625" i="4"/>
  <c r="D1625" i="4" s="1"/>
  <c r="H1626" i="4"/>
  <c r="D1626" i="4" s="1"/>
  <c r="G2" i="4"/>
  <c r="C2" i="4" s="1"/>
  <c r="G3" i="4"/>
  <c r="C3" i="4" s="1"/>
  <c r="G4" i="4"/>
  <c r="C4" i="4" s="1"/>
  <c r="G5" i="4"/>
  <c r="C5" i="4" s="1"/>
  <c r="G6" i="4"/>
  <c r="C6" i="4" s="1"/>
  <c r="G7" i="4"/>
  <c r="C7" i="4" s="1"/>
  <c r="G8" i="4"/>
  <c r="C8" i="4" s="1"/>
  <c r="G9" i="4"/>
  <c r="C9" i="4" s="1"/>
  <c r="G10" i="4"/>
  <c r="C10" i="4" s="1"/>
  <c r="G11" i="4"/>
  <c r="C11" i="4" s="1"/>
  <c r="G12" i="4"/>
  <c r="C12" i="4" s="1"/>
  <c r="G13" i="4"/>
  <c r="C13" i="4" s="1"/>
  <c r="G14" i="4"/>
  <c r="C14" i="4" s="1"/>
  <c r="G15" i="4"/>
  <c r="C15" i="4" s="1"/>
  <c r="G16" i="4"/>
  <c r="C16" i="4" s="1"/>
  <c r="G17" i="4"/>
  <c r="C17" i="4" s="1"/>
  <c r="G18" i="4"/>
  <c r="C18" i="4" s="1"/>
  <c r="G19" i="4"/>
  <c r="C19" i="4" s="1"/>
  <c r="G20" i="4"/>
  <c r="C20" i="4" s="1"/>
  <c r="G21" i="4"/>
  <c r="C21" i="4" s="1"/>
  <c r="G22" i="4"/>
  <c r="C22" i="4" s="1"/>
  <c r="G23" i="4"/>
  <c r="C23" i="4" s="1"/>
  <c r="G24" i="4"/>
  <c r="C24" i="4" s="1"/>
  <c r="G25" i="4"/>
  <c r="C25" i="4" s="1"/>
  <c r="G26" i="4"/>
  <c r="C26" i="4" s="1"/>
  <c r="G27" i="4"/>
  <c r="C27" i="4" s="1"/>
  <c r="G28" i="4"/>
  <c r="C28" i="4" s="1"/>
  <c r="G29" i="4"/>
  <c r="C29" i="4" s="1"/>
  <c r="G30" i="4"/>
  <c r="C30" i="4" s="1"/>
  <c r="G31" i="4"/>
  <c r="C31" i="4" s="1"/>
  <c r="G32" i="4"/>
  <c r="C32" i="4" s="1"/>
  <c r="G33" i="4"/>
  <c r="C33" i="4" s="1"/>
  <c r="G34" i="4"/>
  <c r="C34" i="4" s="1"/>
  <c r="G35" i="4"/>
  <c r="C35" i="4" s="1"/>
  <c r="G36" i="4"/>
  <c r="C36" i="4" s="1"/>
  <c r="G37" i="4"/>
  <c r="C37" i="4" s="1"/>
  <c r="G38" i="4"/>
  <c r="C38" i="4" s="1"/>
  <c r="G39" i="4"/>
  <c r="C39" i="4" s="1"/>
  <c r="G40" i="4"/>
  <c r="C40" i="4" s="1"/>
  <c r="G41" i="4"/>
  <c r="C41" i="4" s="1"/>
  <c r="G42" i="4"/>
  <c r="C42" i="4" s="1"/>
  <c r="G43" i="4"/>
  <c r="C43" i="4" s="1"/>
  <c r="G44" i="4"/>
  <c r="C44" i="4" s="1"/>
  <c r="G45" i="4"/>
  <c r="C45" i="4" s="1"/>
  <c r="G46" i="4"/>
  <c r="C46" i="4" s="1"/>
  <c r="G47" i="4"/>
  <c r="C47" i="4" s="1"/>
  <c r="G48" i="4"/>
  <c r="C48" i="4" s="1"/>
  <c r="G49" i="4"/>
  <c r="C49" i="4" s="1"/>
  <c r="G50" i="4"/>
  <c r="C50" i="4" s="1"/>
  <c r="G51" i="4"/>
  <c r="C51" i="4" s="1"/>
  <c r="G52" i="4"/>
  <c r="C52" i="4" s="1"/>
  <c r="G53" i="4"/>
  <c r="C53" i="4" s="1"/>
  <c r="G54" i="4"/>
  <c r="C54" i="4" s="1"/>
  <c r="G55" i="4"/>
  <c r="C55" i="4" s="1"/>
  <c r="G56" i="4"/>
  <c r="C56" i="4" s="1"/>
  <c r="G57" i="4"/>
  <c r="C57" i="4" s="1"/>
  <c r="G58" i="4"/>
  <c r="C58" i="4" s="1"/>
  <c r="G59" i="4"/>
  <c r="C59" i="4" s="1"/>
  <c r="G60" i="4"/>
  <c r="C60" i="4" s="1"/>
  <c r="G61" i="4"/>
  <c r="C61" i="4" s="1"/>
  <c r="G62" i="4"/>
  <c r="C62" i="4" s="1"/>
  <c r="G63" i="4"/>
  <c r="C63" i="4" s="1"/>
  <c r="G64" i="4"/>
  <c r="C64" i="4" s="1"/>
  <c r="G65" i="4"/>
  <c r="C65" i="4" s="1"/>
  <c r="G66" i="4"/>
  <c r="C66" i="4" s="1"/>
  <c r="G67" i="4"/>
  <c r="C67" i="4" s="1"/>
  <c r="G68" i="4"/>
  <c r="C68" i="4" s="1"/>
  <c r="G69" i="4"/>
  <c r="C69" i="4" s="1"/>
  <c r="G70" i="4"/>
  <c r="C70" i="4" s="1"/>
  <c r="G71" i="4"/>
  <c r="C71" i="4" s="1"/>
  <c r="G72" i="4"/>
  <c r="C72" i="4" s="1"/>
  <c r="G73" i="4"/>
  <c r="C73" i="4" s="1"/>
  <c r="G74" i="4"/>
  <c r="C74" i="4" s="1"/>
  <c r="G75" i="4"/>
  <c r="C75" i="4" s="1"/>
  <c r="G76" i="4"/>
  <c r="C76" i="4" s="1"/>
  <c r="G77" i="4"/>
  <c r="C77" i="4" s="1"/>
  <c r="G78" i="4"/>
  <c r="C78" i="4" s="1"/>
  <c r="G79" i="4"/>
  <c r="C79" i="4" s="1"/>
  <c r="G80" i="4"/>
  <c r="C80" i="4" s="1"/>
  <c r="G81" i="4"/>
  <c r="C81" i="4" s="1"/>
  <c r="G82" i="4"/>
  <c r="C82" i="4" s="1"/>
  <c r="G83" i="4"/>
  <c r="C83" i="4" s="1"/>
  <c r="G84" i="4"/>
  <c r="C84" i="4" s="1"/>
  <c r="G85" i="4"/>
  <c r="C85" i="4" s="1"/>
  <c r="G86" i="4"/>
  <c r="C86" i="4" s="1"/>
  <c r="G87" i="4"/>
  <c r="C87" i="4" s="1"/>
  <c r="G88" i="4"/>
  <c r="C88" i="4" s="1"/>
  <c r="G89" i="4"/>
  <c r="C89" i="4" s="1"/>
  <c r="G90" i="4"/>
  <c r="C90" i="4" s="1"/>
  <c r="G91" i="4"/>
  <c r="C91" i="4" s="1"/>
  <c r="G92" i="4"/>
  <c r="C92" i="4" s="1"/>
  <c r="G93" i="4"/>
  <c r="C93" i="4" s="1"/>
  <c r="G94" i="4"/>
  <c r="C94" i="4" s="1"/>
  <c r="G95" i="4"/>
  <c r="C95" i="4" s="1"/>
  <c r="G96" i="4"/>
  <c r="C96" i="4" s="1"/>
  <c r="G97" i="4"/>
  <c r="C97" i="4" s="1"/>
  <c r="G98" i="4"/>
  <c r="C98" i="4" s="1"/>
  <c r="G99" i="4"/>
  <c r="C99" i="4" s="1"/>
  <c r="G100" i="4"/>
  <c r="C100" i="4" s="1"/>
  <c r="G101" i="4"/>
  <c r="C101" i="4" s="1"/>
  <c r="G102" i="4"/>
  <c r="C102" i="4" s="1"/>
  <c r="G103" i="4"/>
  <c r="C103" i="4" s="1"/>
  <c r="G104" i="4"/>
  <c r="C104" i="4" s="1"/>
  <c r="G105" i="4"/>
  <c r="C105" i="4" s="1"/>
  <c r="G106" i="4"/>
  <c r="C106" i="4" s="1"/>
  <c r="G107" i="4"/>
  <c r="C107" i="4" s="1"/>
  <c r="G108" i="4"/>
  <c r="C108" i="4" s="1"/>
  <c r="G109" i="4"/>
  <c r="C109" i="4" s="1"/>
  <c r="G110" i="4"/>
  <c r="C110" i="4" s="1"/>
  <c r="G111" i="4"/>
  <c r="C111" i="4" s="1"/>
  <c r="G112" i="4"/>
  <c r="C112" i="4" s="1"/>
  <c r="G113" i="4"/>
  <c r="C113" i="4" s="1"/>
  <c r="G114" i="4"/>
  <c r="C114" i="4" s="1"/>
  <c r="G115" i="4"/>
  <c r="C115" i="4" s="1"/>
  <c r="G116" i="4"/>
  <c r="C116" i="4" s="1"/>
  <c r="G117" i="4"/>
  <c r="C117" i="4" s="1"/>
  <c r="G118" i="4"/>
  <c r="C118" i="4" s="1"/>
  <c r="G119" i="4"/>
  <c r="C119" i="4" s="1"/>
  <c r="G120" i="4"/>
  <c r="C120" i="4" s="1"/>
  <c r="G121" i="4"/>
  <c r="C121" i="4" s="1"/>
  <c r="G122" i="4"/>
  <c r="C122" i="4" s="1"/>
  <c r="G123" i="4"/>
  <c r="C123" i="4" s="1"/>
  <c r="G124" i="4"/>
  <c r="C124" i="4" s="1"/>
  <c r="G125" i="4"/>
  <c r="C125" i="4" s="1"/>
  <c r="G126" i="4"/>
  <c r="C126" i="4" s="1"/>
  <c r="G127" i="4"/>
  <c r="C127" i="4" s="1"/>
  <c r="G128" i="4"/>
  <c r="C128" i="4" s="1"/>
  <c r="G129" i="4"/>
  <c r="C129" i="4" s="1"/>
  <c r="G130" i="4"/>
  <c r="C130" i="4" s="1"/>
  <c r="G131" i="4"/>
  <c r="C131" i="4" s="1"/>
  <c r="G132" i="4"/>
  <c r="C132" i="4" s="1"/>
  <c r="G133" i="4"/>
  <c r="C133" i="4" s="1"/>
  <c r="G134" i="4"/>
  <c r="C134" i="4" s="1"/>
  <c r="G135" i="4"/>
  <c r="C135" i="4" s="1"/>
  <c r="G136" i="4"/>
  <c r="C136" i="4" s="1"/>
  <c r="G137" i="4"/>
  <c r="C137" i="4" s="1"/>
  <c r="G138" i="4"/>
  <c r="C138" i="4" s="1"/>
  <c r="G139" i="4"/>
  <c r="C139" i="4" s="1"/>
  <c r="G140" i="4"/>
  <c r="C140" i="4" s="1"/>
  <c r="G141" i="4"/>
  <c r="C141" i="4" s="1"/>
  <c r="G142" i="4"/>
  <c r="C142" i="4" s="1"/>
  <c r="G143" i="4"/>
  <c r="C143" i="4" s="1"/>
  <c r="G144" i="4"/>
  <c r="C144" i="4" s="1"/>
  <c r="G145" i="4"/>
  <c r="C145" i="4" s="1"/>
  <c r="G146" i="4"/>
  <c r="C146" i="4" s="1"/>
  <c r="G147" i="4"/>
  <c r="C147" i="4" s="1"/>
  <c r="G148" i="4"/>
  <c r="C148" i="4" s="1"/>
  <c r="G149" i="4"/>
  <c r="C149" i="4" s="1"/>
  <c r="G150" i="4"/>
  <c r="C150" i="4" s="1"/>
  <c r="G151" i="4"/>
  <c r="C151" i="4" s="1"/>
  <c r="G152" i="4"/>
  <c r="C152" i="4" s="1"/>
  <c r="G153" i="4"/>
  <c r="C153" i="4" s="1"/>
  <c r="G154" i="4"/>
  <c r="C154" i="4" s="1"/>
  <c r="G155" i="4"/>
  <c r="C155" i="4" s="1"/>
  <c r="G156" i="4"/>
  <c r="C156" i="4" s="1"/>
  <c r="G157" i="4"/>
  <c r="C157" i="4" s="1"/>
  <c r="G158" i="4"/>
  <c r="C158" i="4" s="1"/>
  <c r="G159" i="4"/>
  <c r="C159" i="4" s="1"/>
  <c r="G160" i="4"/>
  <c r="C160" i="4" s="1"/>
  <c r="G161" i="4"/>
  <c r="C161" i="4" s="1"/>
  <c r="G162" i="4"/>
  <c r="C162" i="4" s="1"/>
  <c r="G163" i="4"/>
  <c r="C163" i="4" s="1"/>
  <c r="G164" i="4"/>
  <c r="C164" i="4" s="1"/>
  <c r="G165" i="4"/>
  <c r="C165" i="4" s="1"/>
  <c r="G166" i="4"/>
  <c r="C166" i="4" s="1"/>
  <c r="G167" i="4"/>
  <c r="C167" i="4" s="1"/>
  <c r="G168" i="4"/>
  <c r="C168" i="4" s="1"/>
  <c r="G169" i="4"/>
  <c r="C169" i="4" s="1"/>
  <c r="G170" i="4"/>
  <c r="C170" i="4" s="1"/>
  <c r="G171" i="4"/>
  <c r="C171" i="4" s="1"/>
  <c r="G172" i="4"/>
  <c r="C172" i="4" s="1"/>
  <c r="G173" i="4"/>
  <c r="C173" i="4" s="1"/>
  <c r="G174" i="4"/>
  <c r="C174" i="4" s="1"/>
  <c r="G175" i="4"/>
  <c r="C175" i="4" s="1"/>
  <c r="G176" i="4"/>
  <c r="C176" i="4" s="1"/>
  <c r="G177" i="4"/>
  <c r="C177" i="4" s="1"/>
  <c r="G178" i="4"/>
  <c r="C178" i="4" s="1"/>
  <c r="G179" i="4"/>
  <c r="C179" i="4" s="1"/>
  <c r="G180" i="4"/>
  <c r="C180" i="4" s="1"/>
  <c r="G181" i="4"/>
  <c r="C181" i="4" s="1"/>
  <c r="G182" i="4"/>
  <c r="C182" i="4" s="1"/>
  <c r="G183" i="4"/>
  <c r="C183" i="4" s="1"/>
  <c r="G184" i="4"/>
  <c r="C184" i="4" s="1"/>
  <c r="G185" i="4"/>
  <c r="C185" i="4" s="1"/>
  <c r="G186" i="4"/>
  <c r="C186" i="4" s="1"/>
  <c r="G187" i="4"/>
  <c r="C187" i="4" s="1"/>
  <c r="G188" i="4"/>
  <c r="C188" i="4" s="1"/>
  <c r="G189" i="4"/>
  <c r="C189" i="4" s="1"/>
  <c r="G190" i="4"/>
  <c r="C190" i="4" s="1"/>
  <c r="G191" i="4"/>
  <c r="C191" i="4" s="1"/>
  <c r="G192" i="4"/>
  <c r="C192" i="4" s="1"/>
  <c r="G193" i="4"/>
  <c r="C193" i="4" s="1"/>
  <c r="G194" i="4"/>
  <c r="C194" i="4" s="1"/>
  <c r="G195" i="4"/>
  <c r="C195" i="4" s="1"/>
  <c r="G196" i="4"/>
  <c r="C196" i="4" s="1"/>
  <c r="G197" i="4"/>
  <c r="C197" i="4" s="1"/>
  <c r="G198" i="4"/>
  <c r="C198" i="4" s="1"/>
  <c r="G199" i="4"/>
  <c r="C199" i="4" s="1"/>
  <c r="G200" i="4"/>
  <c r="C200" i="4" s="1"/>
  <c r="G201" i="4"/>
  <c r="C201" i="4" s="1"/>
  <c r="G202" i="4"/>
  <c r="C202" i="4" s="1"/>
  <c r="G203" i="4"/>
  <c r="C203" i="4" s="1"/>
  <c r="G204" i="4"/>
  <c r="C204" i="4" s="1"/>
  <c r="G205" i="4"/>
  <c r="C205" i="4" s="1"/>
  <c r="G206" i="4"/>
  <c r="C206" i="4" s="1"/>
  <c r="G207" i="4"/>
  <c r="C207" i="4" s="1"/>
  <c r="G208" i="4"/>
  <c r="C208" i="4" s="1"/>
  <c r="G209" i="4"/>
  <c r="C209" i="4" s="1"/>
  <c r="G210" i="4"/>
  <c r="C210" i="4" s="1"/>
  <c r="G211" i="4"/>
  <c r="C211" i="4" s="1"/>
  <c r="G212" i="4"/>
  <c r="C212" i="4" s="1"/>
  <c r="G213" i="4"/>
  <c r="C213" i="4" s="1"/>
  <c r="G214" i="4"/>
  <c r="C214" i="4" s="1"/>
  <c r="G215" i="4"/>
  <c r="C215" i="4" s="1"/>
  <c r="G216" i="4"/>
  <c r="C216" i="4" s="1"/>
  <c r="G217" i="4"/>
  <c r="C217" i="4" s="1"/>
  <c r="G218" i="4"/>
  <c r="C218" i="4" s="1"/>
  <c r="G219" i="4"/>
  <c r="C219" i="4" s="1"/>
  <c r="G220" i="4"/>
  <c r="C220" i="4" s="1"/>
  <c r="G221" i="4"/>
  <c r="C221" i="4" s="1"/>
  <c r="G222" i="4"/>
  <c r="C222" i="4" s="1"/>
  <c r="G223" i="4"/>
  <c r="C223" i="4" s="1"/>
  <c r="G224" i="4"/>
  <c r="C224" i="4" s="1"/>
  <c r="G225" i="4"/>
  <c r="C225" i="4" s="1"/>
  <c r="G226" i="4"/>
  <c r="C226" i="4" s="1"/>
  <c r="G227" i="4"/>
  <c r="C227" i="4" s="1"/>
  <c r="G228" i="4"/>
  <c r="C228" i="4" s="1"/>
  <c r="G229" i="4"/>
  <c r="C229" i="4" s="1"/>
  <c r="G230" i="4"/>
  <c r="C230" i="4" s="1"/>
  <c r="G231" i="4"/>
  <c r="C231" i="4" s="1"/>
  <c r="G232" i="4"/>
  <c r="C232" i="4" s="1"/>
  <c r="G233" i="4"/>
  <c r="C233" i="4" s="1"/>
  <c r="G234" i="4"/>
  <c r="C234" i="4" s="1"/>
  <c r="G235" i="4"/>
  <c r="C235" i="4" s="1"/>
  <c r="G236" i="4"/>
  <c r="C236" i="4" s="1"/>
  <c r="G237" i="4"/>
  <c r="C237" i="4" s="1"/>
  <c r="G238" i="4"/>
  <c r="C238" i="4" s="1"/>
  <c r="G239" i="4"/>
  <c r="C239" i="4" s="1"/>
  <c r="G240" i="4"/>
  <c r="C240" i="4" s="1"/>
  <c r="G241" i="4"/>
  <c r="C241" i="4" s="1"/>
  <c r="G242" i="4"/>
  <c r="C242" i="4" s="1"/>
  <c r="G243" i="4"/>
  <c r="C243" i="4" s="1"/>
  <c r="G244" i="4"/>
  <c r="C244" i="4" s="1"/>
  <c r="G245" i="4"/>
  <c r="C245" i="4" s="1"/>
  <c r="G246" i="4"/>
  <c r="C246" i="4" s="1"/>
  <c r="G247" i="4"/>
  <c r="C247" i="4" s="1"/>
  <c r="G248" i="4"/>
  <c r="C248" i="4" s="1"/>
  <c r="G249" i="4"/>
  <c r="C249" i="4" s="1"/>
  <c r="G250" i="4"/>
  <c r="C250" i="4" s="1"/>
  <c r="G251" i="4"/>
  <c r="C251" i="4" s="1"/>
  <c r="G252" i="4"/>
  <c r="C252" i="4" s="1"/>
  <c r="G253" i="4"/>
  <c r="C253" i="4" s="1"/>
  <c r="G254" i="4"/>
  <c r="C254" i="4" s="1"/>
  <c r="G255" i="4"/>
  <c r="C255" i="4" s="1"/>
  <c r="G256" i="4"/>
  <c r="C256" i="4" s="1"/>
  <c r="G257" i="4"/>
  <c r="C257" i="4" s="1"/>
  <c r="G258" i="4"/>
  <c r="C258" i="4" s="1"/>
  <c r="G259" i="4"/>
  <c r="C259" i="4" s="1"/>
  <c r="G260" i="4"/>
  <c r="C260" i="4" s="1"/>
  <c r="G261" i="4"/>
  <c r="C261" i="4" s="1"/>
  <c r="G262" i="4"/>
  <c r="C262" i="4" s="1"/>
  <c r="G263" i="4"/>
  <c r="C263" i="4" s="1"/>
  <c r="G264" i="4"/>
  <c r="C264" i="4" s="1"/>
  <c r="G265" i="4"/>
  <c r="C265" i="4" s="1"/>
  <c r="G266" i="4"/>
  <c r="C266" i="4" s="1"/>
  <c r="G267" i="4"/>
  <c r="C267" i="4" s="1"/>
  <c r="G268" i="4"/>
  <c r="C268" i="4" s="1"/>
  <c r="G269" i="4"/>
  <c r="C269" i="4" s="1"/>
  <c r="G270" i="4"/>
  <c r="C270" i="4" s="1"/>
  <c r="G271" i="4"/>
  <c r="C271" i="4" s="1"/>
  <c r="G272" i="4"/>
  <c r="C272" i="4" s="1"/>
  <c r="G273" i="4"/>
  <c r="C273" i="4" s="1"/>
  <c r="G274" i="4"/>
  <c r="C274" i="4" s="1"/>
  <c r="G275" i="4"/>
  <c r="C275" i="4" s="1"/>
  <c r="G276" i="4"/>
  <c r="C276" i="4" s="1"/>
  <c r="G277" i="4"/>
  <c r="C277" i="4" s="1"/>
  <c r="G278" i="4"/>
  <c r="C278" i="4" s="1"/>
  <c r="G279" i="4"/>
  <c r="C279" i="4" s="1"/>
  <c r="G280" i="4"/>
  <c r="C280" i="4" s="1"/>
  <c r="G281" i="4"/>
  <c r="C281" i="4" s="1"/>
  <c r="G282" i="4"/>
  <c r="C282" i="4" s="1"/>
  <c r="G283" i="4"/>
  <c r="C283" i="4" s="1"/>
  <c r="G284" i="4"/>
  <c r="C284" i="4" s="1"/>
  <c r="G285" i="4"/>
  <c r="C285" i="4" s="1"/>
  <c r="G286" i="4"/>
  <c r="C286" i="4" s="1"/>
  <c r="G287" i="4"/>
  <c r="C287" i="4" s="1"/>
  <c r="G288" i="4"/>
  <c r="C288" i="4" s="1"/>
  <c r="G289" i="4"/>
  <c r="C289" i="4" s="1"/>
  <c r="G290" i="4"/>
  <c r="C290" i="4" s="1"/>
  <c r="G291" i="4"/>
  <c r="C291" i="4" s="1"/>
  <c r="G292" i="4"/>
  <c r="C292" i="4" s="1"/>
  <c r="G293" i="4"/>
  <c r="C293" i="4" s="1"/>
  <c r="G294" i="4"/>
  <c r="C294" i="4" s="1"/>
  <c r="G295" i="4"/>
  <c r="C295" i="4" s="1"/>
  <c r="G296" i="4"/>
  <c r="C296" i="4" s="1"/>
  <c r="G297" i="4"/>
  <c r="C297" i="4" s="1"/>
  <c r="G298" i="4"/>
  <c r="C298" i="4" s="1"/>
  <c r="G299" i="4"/>
  <c r="C299" i="4" s="1"/>
  <c r="G300" i="4"/>
  <c r="C300" i="4" s="1"/>
  <c r="G301" i="4"/>
  <c r="C301" i="4" s="1"/>
  <c r="G302" i="4"/>
  <c r="C302" i="4" s="1"/>
  <c r="G303" i="4"/>
  <c r="C303" i="4" s="1"/>
  <c r="G304" i="4"/>
  <c r="C304" i="4" s="1"/>
  <c r="G305" i="4"/>
  <c r="C305" i="4" s="1"/>
  <c r="G306" i="4"/>
  <c r="C306" i="4" s="1"/>
  <c r="G307" i="4"/>
  <c r="C307" i="4" s="1"/>
  <c r="G308" i="4"/>
  <c r="C308" i="4" s="1"/>
  <c r="G309" i="4"/>
  <c r="C309" i="4" s="1"/>
  <c r="G310" i="4"/>
  <c r="C310" i="4" s="1"/>
  <c r="G311" i="4"/>
  <c r="C311" i="4" s="1"/>
  <c r="G312" i="4"/>
  <c r="C312" i="4" s="1"/>
  <c r="G313" i="4"/>
  <c r="C313" i="4" s="1"/>
  <c r="G314" i="4"/>
  <c r="C314" i="4" s="1"/>
  <c r="G315" i="4"/>
  <c r="C315" i="4" s="1"/>
  <c r="G316" i="4"/>
  <c r="C316" i="4" s="1"/>
  <c r="G317" i="4"/>
  <c r="C317" i="4" s="1"/>
  <c r="G318" i="4"/>
  <c r="C318" i="4" s="1"/>
  <c r="G319" i="4"/>
  <c r="C319" i="4" s="1"/>
  <c r="G320" i="4"/>
  <c r="C320" i="4" s="1"/>
  <c r="G321" i="4"/>
  <c r="C321" i="4" s="1"/>
  <c r="G322" i="4"/>
  <c r="C322" i="4" s="1"/>
  <c r="G323" i="4"/>
  <c r="C323" i="4" s="1"/>
  <c r="G324" i="4"/>
  <c r="C324" i="4" s="1"/>
  <c r="G325" i="4"/>
  <c r="C325" i="4" s="1"/>
  <c r="G326" i="4"/>
  <c r="C326" i="4" s="1"/>
  <c r="G327" i="4"/>
  <c r="C327" i="4" s="1"/>
  <c r="G328" i="4"/>
  <c r="C328" i="4" s="1"/>
  <c r="G329" i="4"/>
  <c r="C329" i="4" s="1"/>
  <c r="G330" i="4"/>
  <c r="C330" i="4" s="1"/>
  <c r="G331" i="4"/>
  <c r="C331" i="4" s="1"/>
  <c r="G332" i="4"/>
  <c r="C332" i="4" s="1"/>
  <c r="G333" i="4"/>
  <c r="C333" i="4" s="1"/>
  <c r="G334" i="4"/>
  <c r="C334" i="4" s="1"/>
  <c r="G335" i="4"/>
  <c r="C335" i="4" s="1"/>
  <c r="G336" i="4"/>
  <c r="C336" i="4" s="1"/>
  <c r="G337" i="4"/>
  <c r="C337" i="4" s="1"/>
  <c r="G338" i="4"/>
  <c r="C338" i="4" s="1"/>
  <c r="G339" i="4"/>
  <c r="C339" i="4" s="1"/>
  <c r="G340" i="4"/>
  <c r="C340" i="4" s="1"/>
  <c r="G341" i="4"/>
  <c r="C341" i="4" s="1"/>
  <c r="G342" i="4"/>
  <c r="C342" i="4" s="1"/>
  <c r="G343" i="4"/>
  <c r="C343" i="4" s="1"/>
  <c r="G344" i="4"/>
  <c r="C344" i="4" s="1"/>
  <c r="G345" i="4"/>
  <c r="C345" i="4" s="1"/>
  <c r="G346" i="4"/>
  <c r="C346" i="4" s="1"/>
  <c r="G347" i="4"/>
  <c r="C347" i="4" s="1"/>
  <c r="G348" i="4"/>
  <c r="C348" i="4" s="1"/>
  <c r="G349" i="4"/>
  <c r="C349" i="4" s="1"/>
  <c r="G350" i="4"/>
  <c r="C350" i="4" s="1"/>
  <c r="G351" i="4"/>
  <c r="C351" i="4" s="1"/>
  <c r="G352" i="4"/>
  <c r="C352" i="4" s="1"/>
  <c r="G353" i="4"/>
  <c r="C353" i="4" s="1"/>
  <c r="G354" i="4"/>
  <c r="C354" i="4" s="1"/>
  <c r="G355" i="4"/>
  <c r="C355" i="4" s="1"/>
  <c r="G356" i="4"/>
  <c r="C356" i="4" s="1"/>
  <c r="G357" i="4"/>
  <c r="C357" i="4" s="1"/>
  <c r="G358" i="4"/>
  <c r="C358" i="4" s="1"/>
  <c r="G359" i="4"/>
  <c r="C359" i="4" s="1"/>
  <c r="G360" i="4"/>
  <c r="C360" i="4" s="1"/>
  <c r="G361" i="4"/>
  <c r="C361" i="4" s="1"/>
  <c r="G362" i="4"/>
  <c r="C362" i="4" s="1"/>
  <c r="G363" i="4"/>
  <c r="C363" i="4" s="1"/>
  <c r="G364" i="4"/>
  <c r="C364" i="4" s="1"/>
  <c r="G365" i="4"/>
  <c r="C365" i="4" s="1"/>
  <c r="G366" i="4"/>
  <c r="C366" i="4" s="1"/>
  <c r="G367" i="4"/>
  <c r="C367" i="4" s="1"/>
  <c r="G368" i="4"/>
  <c r="C368" i="4" s="1"/>
  <c r="G369" i="4"/>
  <c r="C369" i="4" s="1"/>
  <c r="G370" i="4"/>
  <c r="C370" i="4" s="1"/>
  <c r="G371" i="4"/>
  <c r="C371" i="4" s="1"/>
  <c r="G372" i="4"/>
  <c r="C372" i="4" s="1"/>
  <c r="G373" i="4"/>
  <c r="C373" i="4" s="1"/>
  <c r="G374" i="4"/>
  <c r="C374" i="4" s="1"/>
  <c r="G375" i="4"/>
  <c r="G376" i="4"/>
  <c r="C376" i="4" s="1"/>
  <c r="G377" i="4"/>
  <c r="C377" i="4" s="1"/>
  <c r="G378" i="4"/>
  <c r="C378" i="4" s="1"/>
  <c r="G379" i="4"/>
  <c r="C379" i="4" s="1"/>
  <c r="G380" i="4"/>
  <c r="C380" i="4" s="1"/>
  <c r="G381" i="4"/>
  <c r="C381" i="4" s="1"/>
  <c r="G382" i="4"/>
  <c r="C382" i="4" s="1"/>
  <c r="G383" i="4"/>
  <c r="C383" i="4" s="1"/>
  <c r="G384" i="4"/>
  <c r="C384" i="4" s="1"/>
  <c r="G385" i="4"/>
  <c r="C385" i="4" s="1"/>
  <c r="G386" i="4"/>
  <c r="C386" i="4" s="1"/>
  <c r="G387" i="4"/>
  <c r="C387" i="4" s="1"/>
  <c r="G388" i="4"/>
  <c r="C388" i="4" s="1"/>
  <c r="G389" i="4"/>
  <c r="C389" i="4" s="1"/>
  <c r="G390" i="4"/>
  <c r="C390" i="4" s="1"/>
  <c r="G391" i="4"/>
  <c r="C391" i="4" s="1"/>
  <c r="G392" i="4"/>
  <c r="C392" i="4" s="1"/>
  <c r="G393" i="4"/>
  <c r="C393" i="4" s="1"/>
  <c r="G394" i="4"/>
  <c r="C394" i="4" s="1"/>
  <c r="G395" i="4"/>
  <c r="C395" i="4" s="1"/>
  <c r="G396" i="4"/>
  <c r="C396" i="4" s="1"/>
  <c r="G397" i="4"/>
  <c r="C397" i="4" s="1"/>
  <c r="G398" i="4"/>
  <c r="C398" i="4" s="1"/>
  <c r="G399" i="4"/>
  <c r="C399" i="4" s="1"/>
  <c r="G400" i="4"/>
  <c r="C400" i="4" s="1"/>
  <c r="G401" i="4"/>
  <c r="C401" i="4" s="1"/>
  <c r="G402" i="4"/>
  <c r="C402" i="4" s="1"/>
  <c r="G403" i="4"/>
  <c r="C403" i="4" s="1"/>
  <c r="G404" i="4"/>
  <c r="C404" i="4" s="1"/>
  <c r="G405" i="4"/>
  <c r="C405" i="4" s="1"/>
  <c r="G406" i="4"/>
  <c r="C406" i="4" s="1"/>
  <c r="G407" i="4"/>
  <c r="C407" i="4" s="1"/>
  <c r="G408" i="4"/>
  <c r="C408" i="4" s="1"/>
  <c r="G409" i="4"/>
  <c r="C409" i="4" s="1"/>
  <c r="G410" i="4"/>
  <c r="C410" i="4" s="1"/>
  <c r="G411" i="4"/>
  <c r="C411" i="4" s="1"/>
  <c r="G412" i="4"/>
  <c r="C412" i="4" s="1"/>
  <c r="G413" i="4"/>
  <c r="C413" i="4" s="1"/>
  <c r="G414" i="4"/>
  <c r="C414" i="4" s="1"/>
  <c r="G415" i="4"/>
  <c r="C415" i="4" s="1"/>
  <c r="G416" i="4"/>
  <c r="C416" i="4" s="1"/>
  <c r="G417" i="4"/>
  <c r="C417" i="4" s="1"/>
  <c r="G418" i="4"/>
  <c r="C418" i="4" s="1"/>
  <c r="G419" i="4"/>
  <c r="C419" i="4" s="1"/>
  <c r="G420" i="4"/>
  <c r="C420" i="4" s="1"/>
  <c r="G421" i="4"/>
  <c r="C421" i="4" s="1"/>
  <c r="G422" i="4"/>
  <c r="C422" i="4" s="1"/>
  <c r="G423" i="4"/>
  <c r="C423" i="4" s="1"/>
  <c r="G424" i="4"/>
  <c r="C424" i="4" s="1"/>
  <c r="G425" i="4"/>
  <c r="C425" i="4" s="1"/>
  <c r="G426" i="4"/>
  <c r="C426" i="4" s="1"/>
  <c r="G427" i="4"/>
  <c r="C427" i="4" s="1"/>
  <c r="G428" i="4"/>
  <c r="C428" i="4" s="1"/>
  <c r="G429" i="4"/>
  <c r="C429" i="4" s="1"/>
  <c r="G430" i="4"/>
  <c r="C430" i="4" s="1"/>
  <c r="G431" i="4"/>
  <c r="C431" i="4" s="1"/>
  <c r="G432" i="4"/>
  <c r="C432" i="4" s="1"/>
  <c r="G433" i="4"/>
  <c r="C433" i="4" s="1"/>
  <c r="G434" i="4"/>
  <c r="C434" i="4" s="1"/>
  <c r="G435" i="4"/>
  <c r="C435" i="4" s="1"/>
  <c r="G436" i="4"/>
  <c r="C436" i="4" s="1"/>
  <c r="G437" i="4"/>
  <c r="C437" i="4" s="1"/>
  <c r="G438" i="4"/>
  <c r="C438" i="4" s="1"/>
  <c r="G439" i="4"/>
  <c r="C439" i="4" s="1"/>
  <c r="G440" i="4"/>
  <c r="C440" i="4" s="1"/>
  <c r="G441" i="4"/>
  <c r="C441" i="4" s="1"/>
  <c r="G442" i="4"/>
  <c r="C442" i="4" s="1"/>
  <c r="G443" i="4"/>
  <c r="C443" i="4" s="1"/>
  <c r="G444" i="4"/>
  <c r="C444" i="4" s="1"/>
  <c r="G445" i="4"/>
  <c r="C445" i="4" s="1"/>
  <c r="G446" i="4"/>
  <c r="C446" i="4" s="1"/>
  <c r="G447" i="4"/>
  <c r="C447" i="4" s="1"/>
  <c r="G448" i="4"/>
  <c r="C448" i="4" s="1"/>
  <c r="G449" i="4"/>
  <c r="C449" i="4" s="1"/>
  <c r="G450" i="4"/>
  <c r="C450" i="4" s="1"/>
  <c r="G451" i="4"/>
  <c r="C451" i="4" s="1"/>
  <c r="G452" i="4"/>
  <c r="C452" i="4" s="1"/>
  <c r="G453" i="4"/>
  <c r="C453" i="4" s="1"/>
  <c r="G454" i="4"/>
  <c r="C454" i="4" s="1"/>
  <c r="G455" i="4"/>
  <c r="C455" i="4" s="1"/>
  <c r="G456" i="4"/>
  <c r="C456" i="4" s="1"/>
  <c r="G457" i="4"/>
  <c r="C457" i="4" s="1"/>
  <c r="G458" i="4"/>
  <c r="C458" i="4" s="1"/>
  <c r="G459" i="4"/>
  <c r="C459" i="4" s="1"/>
  <c r="G460" i="4"/>
  <c r="C460" i="4" s="1"/>
  <c r="G461" i="4"/>
  <c r="C461" i="4" s="1"/>
  <c r="G462" i="4"/>
  <c r="C462" i="4" s="1"/>
  <c r="G463" i="4"/>
  <c r="C463" i="4" s="1"/>
  <c r="G464" i="4"/>
  <c r="C464" i="4" s="1"/>
  <c r="G465" i="4"/>
  <c r="C465" i="4" s="1"/>
  <c r="G466" i="4"/>
  <c r="C466" i="4" s="1"/>
  <c r="G467" i="4"/>
  <c r="C467" i="4" s="1"/>
  <c r="G468" i="4"/>
  <c r="C468" i="4" s="1"/>
  <c r="G469" i="4"/>
  <c r="C469" i="4" s="1"/>
  <c r="G470" i="4"/>
  <c r="C470" i="4" s="1"/>
  <c r="G471" i="4"/>
  <c r="C471" i="4" s="1"/>
  <c r="G472" i="4"/>
  <c r="C472" i="4" s="1"/>
  <c r="G473" i="4"/>
  <c r="C473" i="4" s="1"/>
  <c r="G474" i="4"/>
  <c r="C474" i="4" s="1"/>
  <c r="G475" i="4"/>
  <c r="C475" i="4" s="1"/>
  <c r="G476" i="4"/>
  <c r="C476" i="4" s="1"/>
  <c r="G477" i="4"/>
  <c r="C477" i="4" s="1"/>
  <c r="G478" i="4"/>
  <c r="C478" i="4" s="1"/>
  <c r="G479" i="4"/>
  <c r="C479" i="4" s="1"/>
  <c r="G480" i="4"/>
  <c r="C480" i="4" s="1"/>
  <c r="G481" i="4"/>
  <c r="C481" i="4" s="1"/>
  <c r="G482" i="4"/>
  <c r="C482" i="4" s="1"/>
  <c r="G483" i="4"/>
  <c r="C483" i="4" s="1"/>
  <c r="G484" i="4"/>
  <c r="C484" i="4" s="1"/>
  <c r="G485" i="4"/>
  <c r="C485" i="4" s="1"/>
  <c r="G486" i="4"/>
  <c r="C486" i="4" s="1"/>
  <c r="G487" i="4"/>
  <c r="C487" i="4" s="1"/>
  <c r="G488" i="4"/>
  <c r="C488" i="4" s="1"/>
  <c r="G489" i="4"/>
  <c r="C489" i="4" s="1"/>
  <c r="G490" i="4"/>
  <c r="C490" i="4" s="1"/>
  <c r="G491" i="4"/>
  <c r="C491" i="4" s="1"/>
  <c r="G492" i="4"/>
  <c r="C492" i="4" s="1"/>
  <c r="G493" i="4"/>
  <c r="C493" i="4" s="1"/>
  <c r="G494" i="4"/>
  <c r="C494" i="4" s="1"/>
  <c r="G495" i="4"/>
  <c r="C495" i="4" s="1"/>
  <c r="G496" i="4"/>
  <c r="C496" i="4" s="1"/>
  <c r="G497" i="4"/>
  <c r="C497" i="4" s="1"/>
  <c r="G498" i="4"/>
  <c r="C498" i="4" s="1"/>
  <c r="G499" i="4"/>
  <c r="C499" i="4" s="1"/>
  <c r="G500" i="4"/>
  <c r="C500" i="4" s="1"/>
  <c r="G501" i="4"/>
  <c r="C501" i="4" s="1"/>
  <c r="G502" i="4"/>
  <c r="C502" i="4" s="1"/>
  <c r="G503" i="4"/>
  <c r="C503" i="4" s="1"/>
  <c r="G504" i="4"/>
  <c r="C504" i="4" s="1"/>
  <c r="G505" i="4"/>
  <c r="C505" i="4" s="1"/>
  <c r="G506" i="4"/>
  <c r="C506" i="4" s="1"/>
  <c r="G507" i="4"/>
  <c r="C507" i="4" s="1"/>
  <c r="G508" i="4"/>
  <c r="C508" i="4" s="1"/>
  <c r="G509" i="4"/>
  <c r="C509" i="4" s="1"/>
  <c r="G510" i="4"/>
  <c r="C510" i="4" s="1"/>
  <c r="G511" i="4"/>
  <c r="C511" i="4" s="1"/>
  <c r="G512" i="4"/>
  <c r="C512" i="4" s="1"/>
  <c r="G513" i="4"/>
  <c r="C513" i="4" s="1"/>
  <c r="G514" i="4"/>
  <c r="C514" i="4" s="1"/>
  <c r="G515" i="4"/>
  <c r="C515" i="4" s="1"/>
  <c r="G516" i="4"/>
  <c r="C516" i="4" s="1"/>
  <c r="G517" i="4"/>
  <c r="C517" i="4" s="1"/>
  <c r="G518" i="4"/>
  <c r="C518" i="4" s="1"/>
  <c r="G519" i="4"/>
  <c r="C519" i="4" s="1"/>
  <c r="G520" i="4"/>
  <c r="C520" i="4" s="1"/>
  <c r="G521" i="4"/>
  <c r="C521" i="4" s="1"/>
  <c r="G522" i="4"/>
  <c r="C522" i="4" s="1"/>
  <c r="G523" i="4"/>
  <c r="C523" i="4" s="1"/>
  <c r="G524" i="4"/>
  <c r="C524" i="4" s="1"/>
  <c r="G525" i="4"/>
  <c r="C525" i="4" s="1"/>
  <c r="G526" i="4"/>
  <c r="C526" i="4" s="1"/>
  <c r="G527" i="4"/>
  <c r="C527" i="4" s="1"/>
  <c r="G528" i="4"/>
  <c r="C528" i="4" s="1"/>
  <c r="G529" i="4"/>
  <c r="C529" i="4" s="1"/>
  <c r="G530" i="4"/>
  <c r="C530" i="4" s="1"/>
  <c r="G531" i="4"/>
  <c r="C531" i="4" s="1"/>
  <c r="G532" i="4"/>
  <c r="C532" i="4" s="1"/>
  <c r="G533" i="4"/>
  <c r="C533" i="4" s="1"/>
  <c r="G534" i="4"/>
  <c r="C534" i="4" s="1"/>
  <c r="G535" i="4"/>
  <c r="C535" i="4" s="1"/>
  <c r="G536" i="4"/>
  <c r="C536" i="4" s="1"/>
  <c r="G537" i="4"/>
  <c r="C537" i="4" s="1"/>
  <c r="G538" i="4"/>
  <c r="C538" i="4" s="1"/>
  <c r="G539" i="4"/>
  <c r="C539" i="4" s="1"/>
  <c r="G540" i="4"/>
  <c r="C540" i="4" s="1"/>
  <c r="G541" i="4"/>
  <c r="C541" i="4" s="1"/>
  <c r="G542" i="4"/>
  <c r="C542" i="4" s="1"/>
  <c r="G543" i="4"/>
  <c r="C543" i="4" s="1"/>
  <c r="G544" i="4"/>
  <c r="C544" i="4" s="1"/>
  <c r="G545" i="4"/>
  <c r="C545" i="4" s="1"/>
  <c r="G546" i="4"/>
  <c r="C546" i="4" s="1"/>
  <c r="G547" i="4"/>
  <c r="C547" i="4" s="1"/>
  <c r="G548" i="4"/>
  <c r="C548" i="4" s="1"/>
  <c r="G549" i="4"/>
  <c r="C549" i="4" s="1"/>
  <c r="G550" i="4"/>
  <c r="C550" i="4" s="1"/>
  <c r="G551" i="4"/>
  <c r="C551" i="4" s="1"/>
  <c r="G552" i="4"/>
  <c r="C552" i="4" s="1"/>
  <c r="G553" i="4"/>
  <c r="C553" i="4" s="1"/>
  <c r="G554" i="4"/>
  <c r="C554" i="4" s="1"/>
  <c r="G555" i="4"/>
  <c r="C555" i="4" s="1"/>
  <c r="G556" i="4"/>
  <c r="C556" i="4" s="1"/>
  <c r="G557" i="4"/>
  <c r="C557" i="4" s="1"/>
  <c r="G558" i="4"/>
  <c r="C558" i="4" s="1"/>
  <c r="G559" i="4"/>
  <c r="C559" i="4" s="1"/>
  <c r="G560" i="4"/>
  <c r="C560" i="4" s="1"/>
  <c r="G561" i="4"/>
  <c r="C561" i="4" s="1"/>
  <c r="G562" i="4"/>
  <c r="C562" i="4" s="1"/>
  <c r="G563" i="4"/>
  <c r="C563" i="4" s="1"/>
  <c r="G564" i="4"/>
  <c r="C564" i="4" s="1"/>
  <c r="G565" i="4"/>
  <c r="C565" i="4" s="1"/>
  <c r="G566" i="4"/>
  <c r="C566" i="4" s="1"/>
  <c r="G567" i="4"/>
  <c r="C567" i="4" s="1"/>
  <c r="G568" i="4"/>
  <c r="C568" i="4" s="1"/>
  <c r="G569" i="4"/>
  <c r="C569" i="4" s="1"/>
  <c r="G570" i="4"/>
  <c r="C570" i="4" s="1"/>
  <c r="G571" i="4"/>
  <c r="C571" i="4" s="1"/>
  <c r="G572" i="4"/>
  <c r="C572" i="4" s="1"/>
  <c r="G573" i="4"/>
  <c r="C573" i="4" s="1"/>
  <c r="G574" i="4"/>
  <c r="C574" i="4" s="1"/>
  <c r="G575" i="4"/>
  <c r="C575" i="4" s="1"/>
  <c r="G576" i="4"/>
  <c r="C576" i="4" s="1"/>
  <c r="G577" i="4"/>
  <c r="C577" i="4" s="1"/>
  <c r="G578" i="4"/>
  <c r="C578" i="4" s="1"/>
  <c r="G579" i="4"/>
  <c r="C579" i="4" s="1"/>
  <c r="G580" i="4"/>
  <c r="C580" i="4" s="1"/>
  <c r="G581" i="4"/>
  <c r="C581" i="4" s="1"/>
  <c r="G582" i="4"/>
  <c r="C582" i="4" s="1"/>
  <c r="G583" i="4"/>
  <c r="C583" i="4" s="1"/>
  <c r="G584" i="4"/>
  <c r="C584" i="4" s="1"/>
  <c r="G585" i="4"/>
  <c r="C585" i="4" s="1"/>
  <c r="G586" i="4"/>
  <c r="C586" i="4" s="1"/>
  <c r="G587" i="4"/>
  <c r="C587" i="4" s="1"/>
  <c r="G588" i="4"/>
  <c r="C588" i="4" s="1"/>
  <c r="G589" i="4"/>
  <c r="C589" i="4" s="1"/>
  <c r="G590" i="4"/>
  <c r="C590" i="4" s="1"/>
  <c r="G591" i="4"/>
  <c r="C591" i="4" s="1"/>
  <c r="G592" i="4"/>
  <c r="C592" i="4" s="1"/>
  <c r="G593" i="4"/>
  <c r="C593" i="4" s="1"/>
  <c r="G594" i="4"/>
  <c r="C594" i="4" s="1"/>
  <c r="G595" i="4"/>
  <c r="C595" i="4" s="1"/>
  <c r="G596" i="4"/>
  <c r="C596" i="4" s="1"/>
  <c r="G597" i="4"/>
  <c r="C597" i="4" s="1"/>
  <c r="G598" i="4"/>
  <c r="C598" i="4" s="1"/>
  <c r="G599" i="4"/>
  <c r="C599" i="4" s="1"/>
  <c r="G600" i="4"/>
  <c r="C600" i="4" s="1"/>
  <c r="G601" i="4"/>
  <c r="C601" i="4" s="1"/>
  <c r="G602" i="4"/>
  <c r="C602" i="4" s="1"/>
  <c r="G603" i="4"/>
  <c r="C603" i="4" s="1"/>
  <c r="G604" i="4"/>
  <c r="C604" i="4" s="1"/>
  <c r="G605" i="4"/>
  <c r="C605" i="4" s="1"/>
  <c r="G606" i="4"/>
  <c r="C606" i="4" s="1"/>
  <c r="G607" i="4"/>
  <c r="C607" i="4" s="1"/>
  <c r="G608" i="4"/>
  <c r="C608" i="4" s="1"/>
  <c r="G609" i="4"/>
  <c r="C609" i="4" s="1"/>
  <c r="G610" i="4"/>
  <c r="C610" i="4" s="1"/>
  <c r="G611" i="4"/>
  <c r="C611" i="4" s="1"/>
  <c r="G612" i="4"/>
  <c r="C612" i="4" s="1"/>
  <c r="G613" i="4"/>
  <c r="C613" i="4" s="1"/>
  <c r="G614" i="4"/>
  <c r="C614" i="4" s="1"/>
  <c r="G615" i="4"/>
  <c r="C615" i="4" s="1"/>
  <c r="G616" i="4"/>
  <c r="C616" i="4" s="1"/>
  <c r="G617" i="4"/>
  <c r="C617" i="4" s="1"/>
  <c r="G618" i="4"/>
  <c r="C618" i="4" s="1"/>
  <c r="G619" i="4"/>
  <c r="C619" i="4" s="1"/>
  <c r="G620" i="4"/>
  <c r="C620" i="4" s="1"/>
  <c r="G621" i="4"/>
  <c r="C621" i="4" s="1"/>
  <c r="G622" i="4"/>
  <c r="C622" i="4" s="1"/>
  <c r="G623" i="4"/>
  <c r="C623" i="4" s="1"/>
  <c r="G624" i="4"/>
  <c r="C624" i="4" s="1"/>
  <c r="G625" i="4"/>
  <c r="C625" i="4" s="1"/>
  <c r="G626" i="4"/>
  <c r="C626" i="4" s="1"/>
  <c r="G627" i="4"/>
  <c r="C627" i="4" s="1"/>
  <c r="G628" i="4"/>
  <c r="C628" i="4" s="1"/>
  <c r="G629" i="4"/>
  <c r="C629" i="4" s="1"/>
  <c r="G630" i="4"/>
  <c r="C630" i="4" s="1"/>
  <c r="G631" i="4"/>
  <c r="C631" i="4" s="1"/>
  <c r="G632" i="4"/>
  <c r="C632" i="4" s="1"/>
  <c r="G633" i="4"/>
  <c r="C633" i="4" s="1"/>
  <c r="G634" i="4"/>
  <c r="C634" i="4" s="1"/>
  <c r="G635" i="4"/>
  <c r="C635" i="4" s="1"/>
  <c r="G636" i="4"/>
  <c r="C636" i="4" s="1"/>
  <c r="G637" i="4"/>
  <c r="C637" i="4" s="1"/>
  <c r="G638" i="4"/>
  <c r="C638" i="4" s="1"/>
  <c r="G639" i="4"/>
  <c r="C639" i="4" s="1"/>
  <c r="G640" i="4"/>
  <c r="C640" i="4" s="1"/>
  <c r="G641" i="4"/>
  <c r="C641" i="4" s="1"/>
  <c r="G642" i="4"/>
  <c r="C642" i="4" s="1"/>
  <c r="G643" i="4"/>
  <c r="C643" i="4" s="1"/>
  <c r="G644" i="4"/>
  <c r="C644" i="4" s="1"/>
  <c r="G645" i="4"/>
  <c r="C645" i="4" s="1"/>
  <c r="G646" i="4"/>
  <c r="C646" i="4" s="1"/>
  <c r="G647" i="4"/>
  <c r="C647" i="4" s="1"/>
  <c r="G648" i="4"/>
  <c r="C648" i="4" s="1"/>
  <c r="G649" i="4"/>
  <c r="C649" i="4" s="1"/>
  <c r="G650" i="4"/>
  <c r="C650" i="4" s="1"/>
  <c r="G651" i="4"/>
  <c r="C651" i="4" s="1"/>
  <c r="G652" i="4"/>
  <c r="C652" i="4" s="1"/>
  <c r="G653" i="4"/>
  <c r="C653" i="4" s="1"/>
  <c r="G654" i="4"/>
  <c r="C654" i="4" s="1"/>
  <c r="G655" i="4"/>
  <c r="C655" i="4" s="1"/>
  <c r="G656" i="4"/>
  <c r="C656" i="4" s="1"/>
  <c r="G657" i="4"/>
  <c r="C657" i="4" s="1"/>
  <c r="G658" i="4"/>
  <c r="C658" i="4" s="1"/>
  <c r="G659" i="4"/>
  <c r="C659" i="4" s="1"/>
  <c r="G660" i="4"/>
  <c r="C660" i="4" s="1"/>
  <c r="G661" i="4"/>
  <c r="C661" i="4" s="1"/>
  <c r="G662" i="4"/>
  <c r="C662" i="4" s="1"/>
  <c r="G663" i="4"/>
  <c r="C663" i="4" s="1"/>
  <c r="G664" i="4"/>
  <c r="C664" i="4" s="1"/>
  <c r="G665" i="4"/>
  <c r="C665" i="4" s="1"/>
  <c r="G666" i="4"/>
  <c r="C666" i="4" s="1"/>
  <c r="G667" i="4"/>
  <c r="C667" i="4" s="1"/>
  <c r="G668" i="4"/>
  <c r="C668" i="4" s="1"/>
  <c r="G669" i="4"/>
  <c r="C669" i="4" s="1"/>
  <c r="G670" i="4"/>
  <c r="C670" i="4" s="1"/>
  <c r="G671" i="4"/>
  <c r="C671" i="4" s="1"/>
  <c r="G672" i="4"/>
  <c r="C672" i="4" s="1"/>
  <c r="G673" i="4"/>
  <c r="C673" i="4" s="1"/>
  <c r="G674" i="4"/>
  <c r="C674" i="4" s="1"/>
  <c r="G675" i="4"/>
  <c r="C675" i="4" s="1"/>
  <c r="G676" i="4"/>
  <c r="C676" i="4" s="1"/>
  <c r="G677" i="4"/>
  <c r="C677" i="4" s="1"/>
  <c r="G678" i="4"/>
  <c r="C678" i="4" s="1"/>
  <c r="G679" i="4"/>
  <c r="C679" i="4" s="1"/>
  <c r="G680" i="4"/>
  <c r="C680" i="4" s="1"/>
  <c r="G681" i="4"/>
  <c r="C681" i="4" s="1"/>
  <c r="G682" i="4"/>
  <c r="C682" i="4" s="1"/>
  <c r="G683" i="4"/>
  <c r="C683" i="4" s="1"/>
  <c r="G684" i="4"/>
  <c r="C684" i="4" s="1"/>
  <c r="G685" i="4"/>
  <c r="C685" i="4" s="1"/>
  <c r="G686" i="4"/>
  <c r="C686" i="4" s="1"/>
  <c r="G687" i="4"/>
  <c r="C687" i="4" s="1"/>
  <c r="G688" i="4"/>
  <c r="C688" i="4" s="1"/>
  <c r="G689" i="4"/>
  <c r="C689" i="4" s="1"/>
  <c r="G690" i="4"/>
  <c r="C690" i="4" s="1"/>
  <c r="G691" i="4"/>
  <c r="C691" i="4" s="1"/>
  <c r="G692" i="4"/>
  <c r="C692" i="4" s="1"/>
  <c r="G693" i="4"/>
  <c r="C693" i="4" s="1"/>
  <c r="G694" i="4"/>
  <c r="C694" i="4" s="1"/>
  <c r="G695" i="4"/>
  <c r="C695" i="4" s="1"/>
  <c r="G696" i="4"/>
  <c r="C696" i="4" s="1"/>
  <c r="G697" i="4"/>
  <c r="C697" i="4" s="1"/>
  <c r="G698" i="4"/>
  <c r="C698" i="4" s="1"/>
  <c r="G699" i="4"/>
  <c r="C699" i="4" s="1"/>
  <c r="G700" i="4"/>
  <c r="C700" i="4" s="1"/>
  <c r="G701" i="4"/>
  <c r="C701" i="4" s="1"/>
  <c r="G702" i="4"/>
  <c r="C702" i="4" s="1"/>
  <c r="G703" i="4"/>
  <c r="C703" i="4" s="1"/>
  <c r="G704" i="4"/>
  <c r="C704" i="4" s="1"/>
  <c r="G705" i="4"/>
  <c r="C705" i="4" s="1"/>
  <c r="G706" i="4"/>
  <c r="C706" i="4" s="1"/>
  <c r="G707" i="4"/>
  <c r="C707" i="4" s="1"/>
  <c r="G708" i="4"/>
  <c r="C708" i="4" s="1"/>
  <c r="G709" i="4"/>
  <c r="C709" i="4" s="1"/>
  <c r="G710" i="4"/>
  <c r="C710" i="4" s="1"/>
  <c r="G711" i="4"/>
  <c r="C711" i="4" s="1"/>
  <c r="G712" i="4"/>
  <c r="C712" i="4" s="1"/>
  <c r="G713" i="4"/>
  <c r="C713" i="4" s="1"/>
  <c r="G714" i="4"/>
  <c r="C714" i="4" s="1"/>
  <c r="G715" i="4"/>
  <c r="C715" i="4" s="1"/>
  <c r="G716" i="4"/>
  <c r="C716" i="4" s="1"/>
  <c r="G717" i="4"/>
  <c r="C717" i="4" s="1"/>
  <c r="G718" i="4"/>
  <c r="C718" i="4" s="1"/>
  <c r="G719" i="4"/>
  <c r="C719" i="4" s="1"/>
  <c r="G720" i="4"/>
  <c r="C720" i="4" s="1"/>
  <c r="G721" i="4"/>
  <c r="C721" i="4" s="1"/>
  <c r="G722" i="4"/>
  <c r="C722" i="4" s="1"/>
  <c r="G723" i="4"/>
  <c r="C723" i="4" s="1"/>
  <c r="G724" i="4"/>
  <c r="C724" i="4" s="1"/>
  <c r="G725" i="4"/>
  <c r="C725" i="4" s="1"/>
  <c r="G726" i="4"/>
  <c r="C726" i="4" s="1"/>
  <c r="G727" i="4"/>
  <c r="C727" i="4" s="1"/>
  <c r="G728" i="4"/>
  <c r="C728" i="4" s="1"/>
  <c r="G729" i="4"/>
  <c r="C729" i="4" s="1"/>
  <c r="G730" i="4"/>
  <c r="C730" i="4" s="1"/>
  <c r="G731" i="4"/>
  <c r="C731" i="4" s="1"/>
  <c r="G732" i="4"/>
  <c r="C732" i="4" s="1"/>
  <c r="G733" i="4"/>
  <c r="C733" i="4" s="1"/>
  <c r="G734" i="4"/>
  <c r="C734" i="4" s="1"/>
  <c r="G735" i="4"/>
  <c r="C735" i="4" s="1"/>
  <c r="G736" i="4"/>
  <c r="C736" i="4" s="1"/>
  <c r="G737" i="4"/>
  <c r="C737" i="4" s="1"/>
  <c r="G738" i="4"/>
  <c r="C738" i="4" s="1"/>
  <c r="G739" i="4"/>
  <c r="C739" i="4" s="1"/>
  <c r="G740" i="4"/>
  <c r="C740" i="4" s="1"/>
  <c r="G741" i="4"/>
  <c r="C741" i="4" s="1"/>
  <c r="G742" i="4"/>
  <c r="C742" i="4" s="1"/>
  <c r="G743" i="4"/>
  <c r="C743" i="4" s="1"/>
  <c r="G744" i="4"/>
  <c r="C744" i="4" s="1"/>
  <c r="G745" i="4"/>
  <c r="C745" i="4" s="1"/>
  <c r="G746" i="4"/>
  <c r="C746" i="4" s="1"/>
  <c r="G747" i="4"/>
  <c r="C747" i="4" s="1"/>
  <c r="G748" i="4"/>
  <c r="C748" i="4" s="1"/>
  <c r="G749" i="4"/>
  <c r="C749" i="4" s="1"/>
  <c r="G750" i="4"/>
  <c r="C750" i="4" s="1"/>
  <c r="G751" i="4"/>
  <c r="C751" i="4" s="1"/>
  <c r="G752" i="4"/>
  <c r="C752" i="4" s="1"/>
  <c r="G753" i="4"/>
  <c r="C753" i="4" s="1"/>
  <c r="G754" i="4"/>
  <c r="C754" i="4" s="1"/>
  <c r="G755" i="4"/>
  <c r="C755" i="4" s="1"/>
  <c r="G756" i="4"/>
  <c r="C756" i="4" s="1"/>
  <c r="G757" i="4"/>
  <c r="C757" i="4" s="1"/>
  <c r="G758" i="4"/>
  <c r="C758" i="4" s="1"/>
  <c r="G759" i="4"/>
  <c r="C759" i="4" s="1"/>
  <c r="G760" i="4"/>
  <c r="C760" i="4" s="1"/>
  <c r="G761" i="4"/>
  <c r="C761" i="4" s="1"/>
  <c r="G762" i="4"/>
  <c r="C762" i="4" s="1"/>
  <c r="G763" i="4"/>
  <c r="C763" i="4" s="1"/>
  <c r="G764" i="4"/>
  <c r="C764" i="4" s="1"/>
  <c r="G765" i="4"/>
  <c r="C765" i="4" s="1"/>
  <c r="G766" i="4"/>
  <c r="C766" i="4" s="1"/>
  <c r="G767" i="4"/>
  <c r="C767" i="4" s="1"/>
  <c r="G768" i="4"/>
  <c r="C768" i="4" s="1"/>
  <c r="G769" i="4"/>
  <c r="C769" i="4" s="1"/>
  <c r="G770" i="4"/>
  <c r="C770" i="4" s="1"/>
  <c r="G771" i="4"/>
  <c r="C771" i="4" s="1"/>
  <c r="G772" i="4"/>
  <c r="C772" i="4" s="1"/>
  <c r="G773" i="4"/>
  <c r="C773" i="4" s="1"/>
  <c r="G774" i="4"/>
  <c r="C774" i="4" s="1"/>
  <c r="G775" i="4"/>
  <c r="C775" i="4" s="1"/>
  <c r="G776" i="4"/>
  <c r="C776" i="4" s="1"/>
  <c r="G777" i="4"/>
  <c r="C777" i="4" s="1"/>
  <c r="G778" i="4"/>
  <c r="C778" i="4" s="1"/>
  <c r="G779" i="4"/>
  <c r="C779" i="4" s="1"/>
  <c r="G780" i="4"/>
  <c r="C780" i="4" s="1"/>
  <c r="G781" i="4"/>
  <c r="C781" i="4" s="1"/>
  <c r="G782" i="4"/>
  <c r="C782" i="4" s="1"/>
  <c r="G783" i="4"/>
  <c r="C783" i="4" s="1"/>
  <c r="G784" i="4"/>
  <c r="C784" i="4" s="1"/>
  <c r="G785" i="4"/>
  <c r="C785" i="4" s="1"/>
  <c r="G786" i="4"/>
  <c r="C786" i="4" s="1"/>
  <c r="G787" i="4"/>
  <c r="C787" i="4" s="1"/>
  <c r="G788" i="4"/>
  <c r="C788" i="4" s="1"/>
  <c r="G789" i="4"/>
  <c r="C789" i="4" s="1"/>
  <c r="G790" i="4"/>
  <c r="C790" i="4" s="1"/>
  <c r="G791" i="4"/>
  <c r="C791" i="4" s="1"/>
  <c r="G792" i="4"/>
  <c r="C792" i="4" s="1"/>
  <c r="G793" i="4"/>
  <c r="C793" i="4" s="1"/>
  <c r="G794" i="4"/>
  <c r="C794" i="4" s="1"/>
  <c r="G795" i="4"/>
  <c r="C795" i="4" s="1"/>
  <c r="G796" i="4"/>
  <c r="C796" i="4" s="1"/>
  <c r="G797" i="4"/>
  <c r="C797" i="4" s="1"/>
  <c r="G798" i="4"/>
  <c r="C798" i="4" s="1"/>
  <c r="G799" i="4"/>
  <c r="C799" i="4" s="1"/>
  <c r="G800" i="4"/>
  <c r="C800" i="4" s="1"/>
  <c r="G801" i="4"/>
  <c r="C801" i="4" s="1"/>
  <c r="G802" i="4"/>
  <c r="C802" i="4" s="1"/>
  <c r="G803" i="4"/>
  <c r="C803" i="4" s="1"/>
  <c r="G804" i="4"/>
  <c r="C804" i="4" s="1"/>
  <c r="G805" i="4"/>
  <c r="C805" i="4" s="1"/>
  <c r="G806" i="4"/>
  <c r="C806" i="4" s="1"/>
  <c r="G807" i="4"/>
  <c r="C807" i="4" s="1"/>
  <c r="G808" i="4"/>
  <c r="C808" i="4" s="1"/>
  <c r="G809" i="4"/>
  <c r="C809" i="4" s="1"/>
  <c r="G810" i="4"/>
  <c r="C810" i="4" s="1"/>
  <c r="G811" i="4"/>
  <c r="C811" i="4" s="1"/>
  <c r="G812" i="4"/>
  <c r="C812" i="4" s="1"/>
  <c r="G813" i="4"/>
  <c r="C813" i="4" s="1"/>
  <c r="G814" i="4"/>
  <c r="C814" i="4" s="1"/>
  <c r="G815" i="4"/>
  <c r="C815" i="4" s="1"/>
  <c r="G816" i="4"/>
  <c r="C816" i="4" s="1"/>
  <c r="G817" i="4"/>
  <c r="C817" i="4" s="1"/>
  <c r="G818" i="4"/>
  <c r="C818" i="4" s="1"/>
  <c r="G819" i="4"/>
  <c r="C819" i="4" s="1"/>
  <c r="G820" i="4"/>
  <c r="C820" i="4" s="1"/>
  <c r="G821" i="4"/>
  <c r="C821" i="4" s="1"/>
  <c r="G822" i="4"/>
  <c r="C822" i="4" s="1"/>
  <c r="G823" i="4"/>
  <c r="C823" i="4" s="1"/>
  <c r="G824" i="4"/>
  <c r="C824" i="4" s="1"/>
  <c r="G825" i="4"/>
  <c r="C825" i="4" s="1"/>
  <c r="G826" i="4"/>
  <c r="C826" i="4" s="1"/>
  <c r="G827" i="4"/>
  <c r="C827" i="4" s="1"/>
  <c r="G828" i="4"/>
  <c r="C828" i="4" s="1"/>
  <c r="G829" i="4"/>
  <c r="C829" i="4" s="1"/>
  <c r="G830" i="4"/>
  <c r="C830" i="4" s="1"/>
  <c r="G831" i="4"/>
  <c r="C831" i="4" s="1"/>
  <c r="G832" i="4"/>
  <c r="C832" i="4" s="1"/>
  <c r="G833" i="4"/>
  <c r="C833" i="4" s="1"/>
  <c r="G834" i="4"/>
  <c r="C834" i="4" s="1"/>
  <c r="G835" i="4"/>
  <c r="C835" i="4" s="1"/>
  <c r="G836" i="4"/>
  <c r="C836" i="4" s="1"/>
  <c r="G837" i="4"/>
  <c r="C837" i="4" s="1"/>
  <c r="G838" i="4"/>
  <c r="C838" i="4" s="1"/>
  <c r="G839" i="4"/>
  <c r="C839" i="4" s="1"/>
  <c r="G840" i="4"/>
  <c r="C840" i="4" s="1"/>
  <c r="G841" i="4"/>
  <c r="C841" i="4" s="1"/>
  <c r="G842" i="4"/>
  <c r="C842" i="4" s="1"/>
  <c r="G843" i="4"/>
  <c r="C843" i="4" s="1"/>
  <c r="G844" i="4"/>
  <c r="C844" i="4" s="1"/>
  <c r="G845" i="4"/>
  <c r="C845" i="4" s="1"/>
  <c r="G846" i="4"/>
  <c r="C846" i="4" s="1"/>
  <c r="G847" i="4"/>
  <c r="C847" i="4" s="1"/>
  <c r="G848" i="4"/>
  <c r="C848" i="4" s="1"/>
  <c r="G849" i="4"/>
  <c r="C849" i="4" s="1"/>
  <c r="G850" i="4"/>
  <c r="C850" i="4" s="1"/>
  <c r="G851" i="4"/>
  <c r="C851" i="4" s="1"/>
  <c r="G852" i="4"/>
  <c r="C852" i="4" s="1"/>
  <c r="G853" i="4"/>
  <c r="C853" i="4" s="1"/>
  <c r="G854" i="4"/>
  <c r="C854" i="4" s="1"/>
  <c r="G855" i="4"/>
  <c r="C855" i="4" s="1"/>
  <c r="G856" i="4"/>
  <c r="G857" i="4"/>
  <c r="C857" i="4" s="1"/>
  <c r="G858" i="4"/>
  <c r="C858" i="4" s="1"/>
  <c r="G859" i="4"/>
  <c r="C859" i="4" s="1"/>
  <c r="G860" i="4"/>
  <c r="C860" i="4" s="1"/>
  <c r="G861" i="4"/>
  <c r="C861" i="4" s="1"/>
  <c r="G862" i="4"/>
  <c r="C862" i="4" s="1"/>
  <c r="G863" i="4"/>
  <c r="C863" i="4" s="1"/>
  <c r="G864" i="4"/>
  <c r="C864" i="4" s="1"/>
  <c r="G865" i="4"/>
  <c r="C865" i="4" s="1"/>
  <c r="G866" i="4"/>
  <c r="C866" i="4" s="1"/>
  <c r="G867" i="4"/>
  <c r="C867" i="4" s="1"/>
  <c r="G868" i="4"/>
  <c r="C868" i="4" s="1"/>
  <c r="G869" i="4"/>
  <c r="C869" i="4" s="1"/>
  <c r="G870" i="4"/>
  <c r="C870" i="4" s="1"/>
  <c r="G871" i="4"/>
  <c r="C871" i="4" s="1"/>
  <c r="G872" i="4"/>
  <c r="C872" i="4" s="1"/>
  <c r="G873" i="4"/>
  <c r="C873" i="4" s="1"/>
  <c r="G874" i="4"/>
  <c r="C874" i="4" s="1"/>
  <c r="G875" i="4"/>
  <c r="C875" i="4" s="1"/>
  <c r="G876" i="4"/>
  <c r="C876" i="4" s="1"/>
  <c r="G877" i="4"/>
  <c r="C877" i="4" s="1"/>
  <c r="G878" i="4"/>
  <c r="C878" i="4" s="1"/>
  <c r="G879" i="4"/>
  <c r="C879" i="4" s="1"/>
  <c r="G880" i="4"/>
  <c r="C880" i="4" s="1"/>
  <c r="G881" i="4"/>
  <c r="C881" i="4" s="1"/>
  <c r="G882" i="4"/>
  <c r="C882" i="4" s="1"/>
  <c r="G883" i="4"/>
  <c r="C883" i="4" s="1"/>
  <c r="G884" i="4"/>
  <c r="C884" i="4" s="1"/>
  <c r="G885" i="4"/>
  <c r="C885" i="4" s="1"/>
  <c r="G886" i="4"/>
  <c r="C886" i="4" s="1"/>
  <c r="G887" i="4"/>
  <c r="C887" i="4" s="1"/>
  <c r="G888" i="4"/>
  <c r="C888" i="4" s="1"/>
  <c r="G889" i="4"/>
  <c r="C889" i="4" s="1"/>
  <c r="G890" i="4"/>
  <c r="C890" i="4" s="1"/>
  <c r="G891" i="4"/>
  <c r="C891" i="4" s="1"/>
  <c r="G892" i="4"/>
  <c r="C892" i="4" s="1"/>
  <c r="G893" i="4"/>
  <c r="C893" i="4" s="1"/>
  <c r="G894" i="4"/>
  <c r="C894" i="4" s="1"/>
  <c r="G895" i="4"/>
  <c r="C895" i="4" s="1"/>
  <c r="G896" i="4"/>
  <c r="C896" i="4" s="1"/>
  <c r="G897" i="4"/>
  <c r="C897" i="4" s="1"/>
  <c r="G898" i="4"/>
  <c r="C898" i="4" s="1"/>
  <c r="G899" i="4"/>
  <c r="C899" i="4" s="1"/>
  <c r="G900" i="4"/>
  <c r="C900" i="4" s="1"/>
  <c r="G901" i="4"/>
  <c r="C901" i="4" s="1"/>
  <c r="G902" i="4"/>
  <c r="C902" i="4" s="1"/>
  <c r="G903" i="4"/>
  <c r="C903" i="4" s="1"/>
  <c r="G904" i="4"/>
  <c r="C904" i="4" s="1"/>
  <c r="G905" i="4"/>
  <c r="C905" i="4" s="1"/>
  <c r="G906" i="4"/>
  <c r="C906" i="4" s="1"/>
  <c r="G907" i="4"/>
  <c r="C907" i="4" s="1"/>
  <c r="G908" i="4"/>
  <c r="C908" i="4" s="1"/>
  <c r="G909" i="4"/>
  <c r="C909" i="4" s="1"/>
  <c r="G910" i="4"/>
  <c r="C910" i="4" s="1"/>
  <c r="G911" i="4"/>
  <c r="C911" i="4" s="1"/>
  <c r="G912" i="4"/>
  <c r="C912" i="4" s="1"/>
  <c r="G913" i="4"/>
  <c r="C913" i="4" s="1"/>
  <c r="G914" i="4"/>
  <c r="C914" i="4" s="1"/>
  <c r="G915" i="4"/>
  <c r="C915" i="4" s="1"/>
  <c r="G916" i="4"/>
  <c r="C916" i="4" s="1"/>
  <c r="G917" i="4"/>
  <c r="C917" i="4" s="1"/>
  <c r="G918" i="4"/>
  <c r="C918" i="4" s="1"/>
  <c r="G919" i="4"/>
  <c r="C919" i="4" s="1"/>
  <c r="G920" i="4"/>
  <c r="C920" i="4" s="1"/>
  <c r="G921" i="4"/>
  <c r="C921" i="4" s="1"/>
  <c r="G922" i="4"/>
  <c r="C922" i="4" s="1"/>
  <c r="G923" i="4"/>
  <c r="C923" i="4" s="1"/>
  <c r="G924" i="4"/>
  <c r="C924" i="4" s="1"/>
  <c r="G925" i="4"/>
  <c r="C925" i="4" s="1"/>
  <c r="G926" i="4"/>
  <c r="C926" i="4" s="1"/>
  <c r="G927" i="4"/>
  <c r="C927" i="4" s="1"/>
  <c r="G928" i="4"/>
  <c r="C928" i="4" s="1"/>
  <c r="G929" i="4"/>
  <c r="C929" i="4" s="1"/>
  <c r="G930" i="4"/>
  <c r="C930" i="4" s="1"/>
  <c r="G931" i="4"/>
  <c r="C931" i="4" s="1"/>
  <c r="G932" i="4"/>
  <c r="C932" i="4" s="1"/>
  <c r="G933" i="4"/>
  <c r="C933" i="4" s="1"/>
  <c r="G934" i="4"/>
  <c r="C934" i="4" s="1"/>
  <c r="G935" i="4"/>
  <c r="C935" i="4" s="1"/>
  <c r="G936" i="4"/>
  <c r="C936" i="4" s="1"/>
  <c r="G937" i="4"/>
  <c r="C937" i="4" s="1"/>
  <c r="G938" i="4"/>
  <c r="C938" i="4" s="1"/>
  <c r="G939" i="4"/>
  <c r="C939" i="4" s="1"/>
  <c r="G940" i="4"/>
  <c r="C940" i="4" s="1"/>
  <c r="G941" i="4"/>
  <c r="C941" i="4" s="1"/>
  <c r="G942" i="4"/>
  <c r="C942" i="4" s="1"/>
  <c r="G943" i="4"/>
  <c r="C943" i="4" s="1"/>
  <c r="G944" i="4"/>
  <c r="C944" i="4" s="1"/>
  <c r="G945" i="4"/>
  <c r="C945" i="4" s="1"/>
  <c r="G946" i="4"/>
  <c r="C946" i="4" s="1"/>
  <c r="G947" i="4"/>
  <c r="C947" i="4" s="1"/>
  <c r="G948" i="4"/>
  <c r="C948" i="4" s="1"/>
  <c r="G949" i="4"/>
  <c r="C949" i="4" s="1"/>
  <c r="G950" i="4"/>
  <c r="C950" i="4" s="1"/>
  <c r="G951" i="4"/>
  <c r="C951" i="4" s="1"/>
  <c r="G952" i="4"/>
  <c r="C952" i="4" s="1"/>
  <c r="G953" i="4"/>
  <c r="C953" i="4" s="1"/>
  <c r="G954" i="4"/>
  <c r="C954" i="4" s="1"/>
  <c r="G955" i="4"/>
  <c r="C955" i="4" s="1"/>
  <c r="G956" i="4"/>
  <c r="C956" i="4" s="1"/>
  <c r="G957" i="4"/>
  <c r="C957" i="4" s="1"/>
  <c r="G958" i="4"/>
  <c r="C958" i="4" s="1"/>
  <c r="G959" i="4"/>
  <c r="C959" i="4" s="1"/>
  <c r="G960" i="4"/>
  <c r="C960" i="4" s="1"/>
  <c r="G961" i="4"/>
  <c r="C961" i="4" s="1"/>
  <c r="G962" i="4"/>
  <c r="C962" i="4" s="1"/>
  <c r="G963" i="4"/>
  <c r="C963" i="4" s="1"/>
  <c r="G964" i="4"/>
  <c r="C964" i="4" s="1"/>
  <c r="G965" i="4"/>
  <c r="C965" i="4" s="1"/>
  <c r="G966" i="4"/>
  <c r="C966" i="4" s="1"/>
  <c r="G967" i="4"/>
  <c r="C967" i="4" s="1"/>
  <c r="G968" i="4"/>
  <c r="C968" i="4" s="1"/>
  <c r="G969" i="4"/>
  <c r="C969" i="4" s="1"/>
  <c r="G970" i="4"/>
  <c r="C970" i="4" s="1"/>
  <c r="G971" i="4"/>
  <c r="C971" i="4" s="1"/>
  <c r="G972" i="4"/>
  <c r="C972" i="4" s="1"/>
  <c r="G973" i="4"/>
  <c r="C973" i="4" s="1"/>
  <c r="G974" i="4"/>
  <c r="C974" i="4" s="1"/>
  <c r="G975" i="4"/>
  <c r="C975" i="4" s="1"/>
  <c r="G976" i="4"/>
  <c r="C976" i="4" s="1"/>
  <c r="G977" i="4"/>
  <c r="C977" i="4" s="1"/>
  <c r="G978" i="4"/>
  <c r="C978" i="4" s="1"/>
  <c r="G979" i="4"/>
  <c r="C979" i="4" s="1"/>
  <c r="G980" i="4"/>
  <c r="C980" i="4" s="1"/>
  <c r="G981" i="4"/>
  <c r="C981" i="4" s="1"/>
  <c r="G982" i="4"/>
  <c r="C982" i="4" s="1"/>
  <c r="G983" i="4"/>
  <c r="C983" i="4" s="1"/>
  <c r="G984" i="4"/>
  <c r="C984" i="4" s="1"/>
  <c r="G985" i="4"/>
  <c r="C985" i="4" s="1"/>
  <c r="G986" i="4"/>
  <c r="C986" i="4" s="1"/>
  <c r="G987" i="4"/>
  <c r="C987" i="4" s="1"/>
  <c r="G988" i="4"/>
  <c r="C988" i="4" s="1"/>
  <c r="G989" i="4"/>
  <c r="C989" i="4" s="1"/>
  <c r="G990" i="4"/>
  <c r="C990" i="4" s="1"/>
  <c r="G991" i="4"/>
  <c r="C991" i="4" s="1"/>
  <c r="G992" i="4"/>
  <c r="C992" i="4" s="1"/>
  <c r="G993" i="4"/>
  <c r="C993" i="4" s="1"/>
  <c r="G994" i="4"/>
  <c r="C994" i="4" s="1"/>
  <c r="G995" i="4"/>
  <c r="C995" i="4" s="1"/>
  <c r="G996" i="4"/>
  <c r="C996" i="4" s="1"/>
  <c r="G997" i="4"/>
  <c r="C997" i="4" s="1"/>
  <c r="G998" i="4"/>
  <c r="C998" i="4" s="1"/>
  <c r="G999" i="4"/>
  <c r="C999" i="4" s="1"/>
  <c r="G1000" i="4"/>
  <c r="C1000" i="4" s="1"/>
  <c r="G1001" i="4"/>
  <c r="C1001" i="4" s="1"/>
  <c r="G1002" i="4"/>
  <c r="C1002" i="4" s="1"/>
  <c r="G1003" i="4"/>
  <c r="C1003" i="4" s="1"/>
  <c r="G1004" i="4"/>
  <c r="C1004" i="4" s="1"/>
  <c r="G1005" i="4"/>
  <c r="C1005" i="4" s="1"/>
  <c r="G1006" i="4"/>
  <c r="C1006" i="4" s="1"/>
  <c r="G1007" i="4"/>
  <c r="C1007" i="4" s="1"/>
  <c r="G1008" i="4"/>
  <c r="C1008" i="4" s="1"/>
  <c r="G1009" i="4"/>
  <c r="C1009" i="4" s="1"/>
  <c r="G1010" i="4"/>
  <c r="C1010" i="4" s="1"/>
  <c r="G1011" i="4"/>
  <c r="C1011" i="4" s="1"/>
  <c r="G1012" i="4"/>
  <c r="C1012" i="4" s="1"/>
  <c r="G1013" i="4"/>
  <c r="C1013" i="4" s="1"/>
  <c r="G1014" i="4"/>
  <c r="C1014" i="4" s="1"/>
  <c r="G1015" i="4"/>
  <c r="C1015" i="4" s="1"/>
  <c r="G1016" i="4"/>
  <c r="C1016" i="4" s="1"/>
  <c r="G1017" i="4"/>
  <c r="C1017" i="4" s="1"/>
  <c r="G1018" i="4"/>
  <c r="C1018" i="4" s="1"/>
  <c r="G1019" i="4"/>
  <c r="C1019" i="4" s="1"/>
  <c r="G1020" i="4"/>
  <c r="C1020" i="4" s="1"/>
  <c r="G1021" i="4"/>
  <c r="C1021" i="4" s="1"/>
  <c r="G1022" i="4"/>
  <c r="C1022" i="4" s="1"/>
  <c r="G1023" i="4"/>
  <c r="C1023" i="4" s="1"/>
  <c r="G1024" i="4"/>
  <c r="C1024" i="4" s="1"/>
  <c r="G1025" i="4"/>
  <c r="C1025" i="4" s="1"/>
  <c r="G1026" i="4"/>
  <c r="C1026" i="4" s="1"/>
  <c r="G1027" i="4"/>
  <c r="C1027" i="4" s="1"/>
  <c r="G1028" i="4"/>
  <c r="C1028" i="4" s="1"/>
  <c r="G1029" i="4"/>
  <c r="C1029" i="4" s="1"/>
  <c r="G1030" i="4"/>
  <c r="C1030" i="4" s="1"/>
  <c r="G1031" i="4"/>
  <c r="C1031" i="4" s="1"/>
  <c r="G1032" i="4"/>
  <c r="C1032" i="4" s="1"/>
  <c r="G1033" i="4"/>
  <c r="C1033" i="4" s="1"/>
  <c r="G1034" i="4"/>
  <c r="C1034" i="4" s="1"/>
  <c r="G1035" i="4"/>
  <c r="C1035" i="4" s="1"/>
  <c r="G1036" i="4"/>
  <c r="C1036" i="4" s="1"/>
  <c r="G1037" i="4"/>
  <c r="C1037" i="4" s="1"/>
  <c r="G1038" i="4"/>
  <c r="C1038" i="4" s="1"/>
  <c r="G1039" i="4"/>
  <c r="C1039" i="4" s="1"/>
  <c r="G1040" i="4"/>
  <c r="C1040" i="4" s="1"/>
  <c r="G1041" i="4"/>
  <c r="C1041" i="4" s="1"/>
  <c r="G1042" i="4"/>
  <c r="C1042" i="4" s="1"/>
  <c r="G1043" i="4"/>
  <c r="C1043" i="4" s="1"/>
  <c r="G1044" i="4"/>
  <c r="C1044" i="4" s="1"/>
  <c r="G1045" i="4"/>
  <c r="C1045" i="4" s="1"/>
  <c r="G1046" i="4"/>
  <c r="C1046" i="4" s="1"/>
  <c r="G1047" i="4"/>
  <c r="C1047" i="4" s="1"/>
  <c r="G1048" i="4"/>
  <c r="C1048" i="4" s="1"/>
  <c r="G1049" i="4"/>
  <c r="C1049" i="4" s="1"/>
  <c r="G1050" i="4"/>
  <c r="C1050" i="4" s="1"/>
  <c r="G1051" i="4"/>
  <c r="C1051" i="4" s="1"/>
  <c r="G1052" i="4"/>
  <c r="C1052" i="4" s="1"/>
  <c r="G1053" i="4"/>
  <c r="C1053" i="4" s="1"/>
  <c r="G1054" i="4"/>
  <c r="C1054" i="4" s="1"/>
  <c r="G1055" i="4"/>
  <c r="C1055" i="4" s="1"/>
  <c r="G1056" i="4"/>
  <c r="C1056" i="4" s="1"/>
  <c r="G1057" i="4"/>
  <c r="C1057" i="4" s="1"/>
  <c r="G1058" i="4"/>
  <c r="C1058" i="4" s="1"/>
  <c r="G1059" i="4"/>
  <c r="C1059" i="4" s="1"/>
  <c r="G1060" i="4"/>
  <c r="C1060" i="4" s="1"/>
  <c r="G1061" i="4"/>
  <c r="C1061" i="4" s="1"/>
  <c r="G1062" i="4"/>
  <c r="C1062" i="4" s="1"/>
  <c r="G1063" i="4"/>
  <c r="C1063" i="4" s="1"/>
  <c r="G1064" i="4"/>
  <c r="C1064" i="4" s="1"/>
  <c r="G1065" i="4"/>
  <c r="C1065" i="4" s="1"/>
  <c r="G1066" i="4"/>
  <c r="C1066" i="4" s="1"/>
  <c r="G1067" i="4"/>
  <c r="C1067" i="4" s="1"/>
  <c r="G1068" i="4"/>
  <c r="C1068" i="4" s="1"/>
  <c r="G1069" i="4"/>
  <c r="C1069" i="4" s="1"/>
  <c r="G1070" i="4"/>
  <c r="C1070" i="4" s="1"/>
  <c r="G1071" i="4"/>
  <c r="C1071" i="4" s="1"/>
  <c r="G1072" i="4"/>
  <c r="C1072" i="4" s="1"/>
  <c r="G1073" i="4"/>
  <c r="C1073" i="4" s="1"/>
  <c r="G1074" i="4"/>
  <c r="C1074" i="4" s="1"/>
  <c r="G1075" i="4"/>
  <c r="C1075" i="4" s="1"/>
  <c r="G1076" i="4"/>
  <c r="C1076" i="4" s="1"/>
  <c r="G1077" i="4"/>
  <c r="C1077" i="4" s="1"/>
  <c r="G1078" i="4"/>
  <c r="C1078" i="4" s="1"/>
  <c r="G1079" i="4"/>
  <c r="C1079" i="4" s="1"/>
  <c r="G1080" i="4"/>
  <c r="C1080" i="4" s="1"/>
  <c r="G1081" i="4"/>
  <c r="C1081" i="4" s="1"/>
  <c r="G1082" i="4"/>
  <c r="C1082" i="4" s="1"/>
  <c r="G1083" i="4"/>
  <c r="C1083" i="4" s="1"/>
  <c r="G1084" i="4"/>
  <c r="C1084" i="4" s="1"/>
  <c r="G1085" i="4"/>
  <c r="C1085" i="4" s="1"/>
  <c r="G1086" i="4"/>
  <c r="C1086" i="4" s="1"/>
  <c r="G1087" i="4"/>
  <c r="C1087" i="4" s="1"/>
  <c r="G1088" i="4"/>
  <c r="C1088" i="4" s="1"/>
  <c r="G1089" i="4"/>
  <c r="C1089" i="4" s="1"/>
  <c r="G1090" i="4"/>
  <c r="C1090" i="4" s="1"/>
  <c r="G1091" i="4"/>
  <c r="C1091" i="4" s="1"/>
  <c r="G1092" i="4"/>
  <c r="C1092" i="4" s="1"/>
  <c r="G1093" i="4"/>
  <c r="C1093" i="4" s="1"/>
  <c r="G1094" i="4"/>
  <c r="C1094" i="4" s="1"/>
  <c r="G1095" i="4"/>
  <c r="C1095" i="4" s="1"/>
  <c r="G1096" i="4"/>
  <c r="C1096" i="4" s="1"/>
  <c r="G1097" i="4"/>
  <c r="C1097" i="4" s="1"/>
  <c r="G1098" i="4"/>
  <c r="C1098" i="4" s="1"/>
  <c r="G1099" i="4"/>
  <c r="C1099" i="4" s="1"/>
  <c r="G1100" i="4"/>
  <c r="C1100" i="4" s="1"/>
  <c r="G1101" i="4"/>
  <c r="C1101" i="4" s="1"/>
  <c r="G1102" i="4"/>
  <c r="C1102" i="4" s="1"/>
  <c r="G1103" i="4"/>
  <c r="C1103" i="4" s="1"/>
  <c r="G1104" i="4"/>
  <c r="C1104" i="4" s="1"/>
  <c r="G1105" i="4"/>
  <c r="C1105" i="4" s="1"/>
  <c r="G1106" i="4"/>
  <c r="C1106" i="4" s="1"/>
  <c r="G1107" i="4"/>
  <c r="C1107" i="4" s="1"/>
  <c r="G1108" i="4"/>
  <c r="C1108" i="4" s="1"/>
  <c r="G1109" i="4"/>
  <c r="C1109" i="4" s="1"/>
  <c r="G1110" i="4"/>
  <c r="C1110" i="4" s="1"/>
  <c r="G1111" i="4"/>
  <c r="C1111" i="4" s="1"/>
  <c r="G1112" i="4"/>
  <c r="C1112" i="4" s="1"/>
  <c r="G1113" i="4"/>
  <c r="C1113" i="4" s="1"/>
  <c r="G1114" i="4"/>
  <c r="C1114" i="4" s="1"/>
  <c r="G1115" i="4"/>
  <c r="C1115" i="4" s="1"/>
  <c r="G1116" i="4"/>
  <c r="C1116" i="4" s="1"/>
  <c r="G1117" i="4"/>
  <c r="C1117" i="4" s="1"/>
  <c r="G1118" i="4"/>
  <c r="C1118" i="4" s="1"/>
  <c r="G1119" i="4"/>
  <c r="C1119" i="4" s="1"/>
  <c r="G1120" i="4"/>
  <c r="C1120" i="4" s="1"/>
  <c r="G1121" i="4"/>
  <c r="C1121" i="4" s="1"/>
  <c r="G1122" i="4"/>
  <c r="C1122" i="4" s="1"/>
  <c r="G1123" i="4"/>
  <c r="C1123" i="4" s="1"/>
  <c r="G1124" i="4"/>
  <c r="C1124" i="4" s="1"/>
  <c r="G1125" i="4"/>
  <c r="C1125" i="4" s="1"/>
  <c r="G1126" i="4"/>
  <c r="C1126" i="4" s="1"/>
  <c r="G1127" i="4"/>
  <c r="C1127" i="4" s="1"/>
  <c r="G1128" i="4"/>
  <c r="C1128" i="4" s="1"/>
  <c r="G1129" i="4"/>
  <c r="C1129" i="4" s="1"/>
  <c r="G1130" i="4"/>
  <c r="C1130" i="4" s="1"/>
  <c r="G1131" i="4"/>
  <c r="C1131" i="4" s="1"/>
  <c r="G1132" i="4"/>
  <c r="C1132" i="4" s="1"/>
  <c r="G1133" i="4"/>
  <c r="C1133" i="4" s="1"/>
  <c r="G1134" i="4"/>
  <c r="C1134" i="4" s="1"/>
  <c r="G1135" i="4"/>
  <c r="C1135" i="4" s="1"/>
  <c r="G1136" i="4"/>
  <c r="C1136" i="4" s="1"/>
  <c r="G1137" i="4"/>
  <c r="C1137" i="4" s="1"/>
  <c r="G1138" i="4"/>
  <c r="C1138" i="4" s="1"/>
  <c r="G1139" i="4"/>
  <c r="C1139" i="4" s="1"/>
  <c r="G1140" i="4"/>
  <c r="C1140" i="4" s="1"/>
  <c r="G1141" i="4"/>
  <c r="C1141" i="4" s="1"/>
  <c r="G1142" i="4"/>
  <c r="C1142" i="4" s="1"/>
  <c r="G1143" i="4"/>
  <c r="C1143" i="4" s="1"/>
  <c r="G1144" i="4"/>
  <c r="C1144" i="4" s="1"/>
  <c r="G1145" i="4"/>
  <c r="C1145" i="4" s="1"/>
  <c r="G1146" i="4"/>
  <c r="C1146" i="4" s="1"/>
  <c r="G1147" i="4"/>
  <c r="C1147" i="4" s="1"/>
  <c r="G1148" i="4"/>
  <c r="C1148" i="4" s="1"/>
  <c r="G1149" i="4"/>
  <c r="C1149" i="4" s="1"/>
  <c r="G1150" i="4"/>
  <c r="C1150" i="4" s="1"/>
  <c r="G1151" i="4"/>
  <c r="C1151" i="4" s="1"/>
  <c r="G1152" i="4"/>
  <c r="C1152" i="4" s="1"/>
  <c r="G1153" i="4"/>
  <c r="C1153" i="4" s="1"/>
  <c r="G1154" i="4"/>
  <c r="C1154" i="4" s="1"/>
  <c r="G1155" i="4"/>
  <c r="C1155" i="4" s="1"/>
  <c r="G1156" i="4"/>
  <c r="C1156" i="4" s="1"/>
  <c r="G1157" i="4"/>
  <c r="C1157" i="4" s="1"/>
  <c r="G1158" i="4"/>
  <c r="C1158" i="4" s="1"/>
  <c r="G1159" i="4"/>
  <c r="C1159" i="4" s="1"/>
  <c r="G1160" i="4"/>
  <c r="C1160" i="4" s="1"/>
  <c r="G1161" i="4"/>
  <c r="C1161" i="4" s="1"/>
  <c r="G1162" i="4"/>
  <c r="C1162" i="4" s="1"/>
  <c r="G1163" i="4"/>
  <c r="C1163" i="4" s="1"/>
  <c r="G1164" i="4"/>
  <c r="C1164" i="4" s="1"/>
  <c r="G1165" i="4"/>
  <c r="C1165" i="4" s="1"/>
  <c r="G1166" i="4"/>
  <c r="C1166" i="4" s="1"/>
  <c r="G1167" i="4"/>
  <c r="C1167" i="4" s="1"/>
  <c r="G1168" i="4"/>
  <c r="C1168" i="4" s="1"/>
  <c r="G1169" i="4"/>
  <c r="C1169" i="4" s="1"/>
  <c r="G1170" i="4"/>
  <c r="C1170" i="4" s="1"/>
  <c r="G1171" i="4"/>
  <c r="C1171" i="4" s="1"/>
  <c r="G1172" i="4"/>
  <c r="C1172" i="4" s="1"/>
  <c r="G1173" i="4"/>
  <c r="C1173" i="4" s="1"/>
  <c r="G1174" i="4"/>
  <c r="C1174" i="4" s="1"/>
  <c r="G1175" i="4"/>
  <c r="C1175" i="4" s="1"/>
  <c r="G1176" i="4"/>
  <c r="C1176" i="4" s="1"/>
  <c r="G1177" i="4"/>
  <c r="C1177" i="4" s="1"/>
  <c r="G1178" i="4"/>
  <c r="C1178" i="4" s="1"/>
  <c r="G1179" i="4"/>
  <c r="C1179" i="4" s="1"/>
  <c r="G1180" i="4"/>
  <c r="C1180" i="4" s="1"/>
  <c r="G1181" i="4"/>
  <c r="C1181" i="4" s="1"/>
  <c r="G1182" i="4"/>
  <c r="C1182" i="4" s="1"/>
  <c r="G1183" i="4"/>
  <c r="C1183" i="4" s="1"/>
  <c r="G1184" i="4"/>
  <c r="C1184" i="4" s="1"/>
  <c r="G1185" i="4"/>
  <c r="C1185" i="4" s="1"/>
  <c r="G1186" i="4"/>
  <c r="C1186" i="4" s="1"/>
  <c r="G1187" i="4"/>
  <c r="C1187" i="4" s="1"/>
  <c r="G1188" i="4"/>
  <c r="C1188" i="4" s="1"/>
  <c r="G1189" i="4"/>
  <c r="C1189" i="4" s="1"/>
  <c r="G1190" i="4"/>
  <c r="C1190" i="4" s="1"/>
  <c r="G1191" i="4"/>
  <c r="C1191" i="4" s="1"/>
  <c r="G1192" i="4"/>
  <c r="C1192" i="4" s="1"/>
  <c r="G1193" i="4"/>
  <c r="C1193" i="4" s="1"/>
  <c r="G1194" i="4"/>
  <c r="C1194" i="4" s="1"/>
  <c r="G1195" i="4"/>
  <c r="C1195" i="4" s="1"/>
  <c r="G1196" i="4"/>
  <c r="C1196" i="4" s="1"/>
  <c r="G1197" i="4"/>
  <c r="C1197" i="4" s="1"/>
  <c r="G1198" i="4"/>
  <c r="C1198" i="4" s="1"/>
  <c r="G1199" i="4"/>
  <c r="C1199" i="4" s="1"/>
  <c r="G1200" i="4"/>
  <c r="C1200" i="4" s="1"/>
  <c r="G1201" i="4"/>
  <c r="C1201" i="4" s="1"/>
  <c r="G1202" i="4"/>
  <c r="C1202" i="4" s="1"/>
  <c r="G1203" i="4"/>
  <c r="C1203" i="4" s="1"/>
  <c r="G1204" i="4"/>
  <c r="C1204" i="4" s="1"/>
  <c r="G1205" i="4"/>
  <c r="C1205" i="4" s="1"/>
  <c r="G1206" i="4"/>
  <c r="C1206" i="4" s="1"/>
  <c r="G1207" i="4"/>
  <c r="C1207" i="4" s="1"/>
  <c r="G1208" i="4"/>
  <c r="C1208" i="4" s="1"/>
  <c r="G1209" i="4"/>
  <c r="C1209" i="4" s="1"/>
  <c r="G1210" i="4"/>
  <c r="C1210" i="4" s="1"/>
  <c r="G1211" i="4"/>
  <c r="C1211" i="4" s="1"/>
  <c r="G1212" i="4"/>
  <c r="C1212" i="4" s="1"/>
  <c r="G1213" i="4"/>
  <c r="C1213" i="4" s="1"/>
  <c r="G1214" i="4"/>
  <c r="C1214" i="4" s="1"/>
  <c r="G1215" i="4"/>
  <c r="C1215" i="4" s="1"/>
  <c r="G1216" i="4"/>
  <c r="C1216" i="4" s="1"/>
  <c r="G1217" i="4"/>
  <c r="C1217" i="4" s="1"/>
  <c r="G1218" i="4"/>
  <c r="C1218" i="4" s="1"/>
  <c r="G1219" i="4"/>
  <c r="C1219" i="4" s="1"/>
  <c r="G1220" i="4"/>
  <c r="C1220" i="4" s="1"/>
  <c r="G1221" i="4"/>
  <c r="C1221" i="4" s="1"/>
  <c r="G1222" i="4"/>
  <c r="C1222" i="4" s="1"/>
  <c r="G1223" i="4"/>
  <c r="C1223" i="4" s="1"/>
  <c r="G1224" i="4"/>
  <c r="C1224" i="4" s="1"/>
  <c r="G1225" i="4"/>
  <c r="C1225" i="4" s="1"/>
  <c r="G1226" i="4"/>
  <c r="C1226" i="4" s="1"/>
  <c r="G1227" i="4"/>
  <c r="C1227" i="4" s="1"/>
  <c r="G1228" i="4"/>
  <c r="C1228" i="4" s="1"/>
  <c r="G1229" i="4"/>
  <c r="C1229" i="4" s="1"/>
  <c r="G1230" i="4"/>
  <c r="C1230" i="4" s="1"/>
  <c r="G1231" i="4"/>
  <c r="C1231" i="4" s="1"/>
  <c r="G1232" i="4"/>
  <c r="C1232" i="4" s="1"/>
  <c r="G1233" i="4"/>
  <c r="C1233" i="4" s="1"/>
  <c r="G1234" i="4"/>
  <c r="C1234" i="4" s="1"/>
  <c r="G1235" i="4"/>
  <c r="C1235" i="4" s="1"/>
  <c r="G1236" i="4"/>
  <c r="C1236" i="4" s="1"/>
  <c r="G1237" i="4"/>
  <c r="C1237" i="4" s="1"/>
  <c r="G1238" i="4"/>
  <c r="C1238" i="4" s="1"/>
  <c r="G1239" i="4"/>
  <c r="C1239" i="4" s="1"/>
  <c r="G1240" i="4"/>
  <c r="C1240" i="4" s="1"/>
  <c r="G1241" i="4"/>
  <c r="C1241" i="4" s="1"/>
  <c r="G1242" i="4"/>
  <c r="C1242" i="4" s="1"/>
  <c r="G1243" i="4"/>
  <c r="C1243" i="4" s="1"/>
  <c r="G1244" i="4"/>
  <c r="C1244" i="4" s="1"/>
  <c r="G1245" i="4"/>
  <c r="C1245" i="4" s="1"/>
  <c r="G1246" i="4"/>
  <c r="C1246" i="4" s="1"/>
  <c r="G1247" i="4"/>
  <c r="C1247" i="4" s="1"/>
  <c r="G1248" i="4"/>
  <c r="C1248" i="4" s="1"/>
  <c r="G1249" i="4"/>
  <c r="C1249" i="4" s="1"/>
  <c r="G1250" i="4"/>
  <c r="C1250" i="4" s="1"/>
  <c r="G1251" i="4"/>
  <c r="C1251" i="4" s="1"/>
  <c r="G1252" i="4"/>
  <c r="C1252" i="4" s="1"/>
  <c r="G1253" i="4"/>
  <c r="C1253" i="4" s="1"/>
  <c r="G1254" i="4"/>
  <c r="C1254" i="4" s="1"/>
  <c r="G1255" i="4"/>
  <c r="C1255" i="4" s="1"/>
  <c r="G1256" i="4"/>
  <c r="C1256" i="4" s="1"/>
  <c r="G1257" i="4"/>
  <c r="C1257" i="4" s="1"/>
  <c r="G1258" i="4"/>
  <c r="C1258" i="4" s="1"/>
  <c r="G1259" i="4"/>
  <c r="C1259" i="4" s="1"/>
  <c r="G1260" i="4"/>
  <c r="C1260" i="4" s="1"/>
  <c r="G1261" i="4"/>
  <c r="C1261" i="4" s="1"/>
  <c r="G1262" i="4"/>
  <c r="C1262" i="4" s="1"/>
  <c r="G1263" i="4"/>
  <c r="C1263" i="4" s="1"/>
  <c r="G1264" i="4"/>
  <c r="C1264" i="4" s="1"/>
  <c r="G1265" i="4"/>
  <c r="C1265" i="4" s="1"/>
  <c r="G1266" i="4"/>
  <c r="C1266" i="4" s="1"/>
  <c r="G1267" i="4"/>
  <c r="C1267" i="4" s="1"/>
  <c r="G1268" i="4"/>
  <c r="C1268" i="4" s="1"/>
  <c r="G1269" i="4"/>
  <c r="C1269" i="4" s="1"/>
  <c r="G1270" i="4"/>
  <c r="C1270" i="4" s="1"/>
  <c r="G1271" i="4"/>
  <c r="C1271" i="4" s="1"/>
  <c r="G1272" i="4"/>
  <c r="C1272" i="4" s="1"/>
  <c r="G1273" i="4"/>
  <c r="C1273" i="4" s="1"/>
  <c r="G1274" i="4"/>
  <c r="C1274" i="4" s="1"/>
  <c r="G1275" i="4"/>
  <c r="C1275" i="4" s="1"/>
  <c r="G1276" i="4"/>
  <c r="C1276" i="4" s="1"/>
  <c r="G1277" i="4"/>
  <c r="C1277" i="4" s="1"/>
  <c r="G1278" i="4"/>
  <c r="C1278" i="4" s="1"/>
  <c r="G1279" i="4"/>
  <c r="C1279" i="4" s="1"/>
  <c r="G1280" i="4"/>
  <c r="C1280" i="4" s="1"/>
  <c r="G1281" i="4"/>
  <c r="C1281" i="4" s="1"/>
  <c r="G1282" i="4"/>
  <c r="C1282" i="4" s="1"/>
  <c r="G1283" i="4"/>
  <c r="C1283" i="4" s="1"/>
  <c r="G1284" i="4"/>
  <c r="C1284" i="4" s="1"/>
  <c r="G1285" i="4"/>
  <c r="C1285" i="4" s="1"/>
  <c r="G1286" i="4"/>
  <c r="C1286" i="4" s="1"/>
  <c r="G1287" i="4"/>
  <c r="C1287" i="4" s="1"/>
  <c r="G1288" i="4"/>
  <c r="C1288" i="4" s="1"/>
  <c r="G1289" i="4"/>
  <c r="C1289" i="4" s="1"/>
  <c r="G1290" i="4"/>
  <c r="C1290" i="4" s="1"/>
  <c r="G1291" i="4"/>
  <c r="C1291" i="4" s="1"/>
  <c r="G1292" i="4"/>
  <c r="C1292" i="4" s="1"/>
  <c r="G1293" i="4"/>
  <c r="C1293" i="4" s="1"/>
  <c r="G1294" i="4"/>
  <c r="C1294" i="4" s="1"/>
  <c r="G1295" i="4"/>
  <c r="C1295" i="4" s="1"/>
  <c r="G1296" i="4"/>
  <c r="C1296" i="4" s="1"/>
  <c r="G1297" i="4"/>
  <c r="C1297" i="4" s="1"/>
  <c r="G1298" i="4"/>
  <c r="C1298" i="4" s="1"/>
  <c r="G1299" i="4"/>
  <c r="C1299" i="4" s="1"/>
  <c r="G1300" i="4"/>
  <c r="C1300" i="4" s="1"/>
  <c r="G1301" i="4"/>
  <c r="C1301" i="4" s="1"/>
  <c r="G1302" i="4"/>
  <c r="C1302" i="4" s="1"/>
  <c r="G1303" i="4"/>
  <c r="C1303" i="4" s="1"/>
  <c r="G1304" i="4"/>
  <c r="C1304" i="4" s="1"/>
  <c r="G1305" i="4"/>
  <c r="C1305" i="4" s="1"/>
  <c r="G1306" i="4"/>
  <c r="C1306" i="4" s="1"/>
  <c r="G1307" i="4"/>
  <c r="C1307" i="4" s="1"/>
  <c r="G1308" i="4"/>
  <c r="C1308" i="4" s="1"/>
  <c r="G1309" i="4"/>
  <c r="C1309" i="4" s="1"/>
  <c r="G1310" i="4"/>
  <c r="C1310" i="4" s="1"/>
  <c r="G1311" i="4"/>
  <c r="C1311" i="4" s="1"/>
  <c r="G1312" i="4"/>
  <c r="C1312" i="4" s="1"/>
  <c r="G1313" i="4"/>
  <c r="C1313" i="4" s="1"/>
  <c r="G1314" i="4"/>
  <c r="C1314" i="4" s="1"/>
  <c r="G1315" i="4"/>
  <c r="C1315" i="4" s="1"/>
  <c r="G1316" i="4"/>
  <c r="C1316" i="4" s="1"/>
  <c r="G1317" i="4"/>
  <c r="C1317" i="4" s="1"/>
  <c r="G1318" i="4"/>
  <c r="C1318" i="4" s="1"/>
  <c r="G1319" i="4"/>
  <c r="C1319" i="4" s="1"/>
  <c r="G1320" i="4"/>
  <c r="C1320" i="4" s="1"/>
  <c r="G1321" i="4"/>
  <c r="C1321" i="4" s="1"/>
  <c r="G1322" i="4"/>
  <c r="C1322" i="4" s="1"/>
  <c r="G1323" i="4"/>
  <c r="C1323" i="4" s="1"/>
  <c r="G1324" i="4"/>
  <c r="C1324" i="4" s="1"/>
  <c r="G1325" i="4"/>
  <c r="C1325" i="4" s="1"/>
  <c r="G1326" i="4"/>
  <c r="C1326" i="4" s="1"/>
  <c r="G1327" i="4"/>
  <c r="C1327" i="4" s="1"/>
  <c r="G1328" i="4"/>
  <c r="C1328" i="4" s="1"/>
  <c r="G1329" i="4"/>
  <c r="C1329" i="4" s="1"/>
  <c r="G1330" i="4"/>
  <c r="C1330" i="4" s="1"/>
  <c r="G1331" i="4"/>
  <c r="C1331" i="4" s="1"/>
  <c r="G1332" i="4"/>
  <c r="C1332" i="4" s="1"/>
  <c r="G1333" i="4"/>
  <c r="C1333" i="4" s="1"/>
  <c r="G1334" i="4"/>
  <c r="C1334" i="4" s="1"/>
  <c r="G1335" i="4"/>
  <c r="C1335" i="4" s="1"/>
  <c r="G1336" i="4"/>
  <c r="C1336" i="4" s="1"/>
  <c r="G1337" i="4"/>
  <c r="C1337" i="4" s="1"/>
  <c r="G1338" i="4"/>
  <c r="C1338" i="4" s="1"/>
  <c r="G1339" i="4"/>
  <c r="C1339" i="4" s="1"/>
  <c r="G1340" i="4"/>
  <c r="C1340" i="4" s="1"/>
  <c r="G1341" i="4"/>
  <c r="C1341" i="4" s="1"/>
  <c r="G1342" i="4"/>
  <c r="C1342" i="4" s="1"/>
  <c r="G1343" i="4"/>
  <c r="C1343" i="4" s="1"/>
  <c r="G1344" i="4"/>
  <c r="C1344" i="4" s="1"/>
  <c r="G1345" i="4"/>
  <c r="C1345" i="4" s="1"/>
  <c r="G1346" i="4"/>
  <c r="C1346" i="4" s="1"/>
  <c r="G1347" i="4"/>
  <c r="C1347" i="4" s="1"/>
  <c r="G1348" i="4"/>
  <c r="C1348" i="4" s="1"/>
  <c r="G1349" i="4"/>
  <c r="C1349" i="4" s="1"/>
  <c r="G1350" i="4"/>
  <c r="C1350" i="4" s="1"/>
  <c r="G1351" i="4"/>
  <c r="C1351" i="4" s="1"/>
  <c r="G1352" i="4"/>
  <c r="C1352" i="4" s="1"/>
  <c r="G1353" i="4"/>
  <c r="C1353" i="4" s="1"/>
  <c r="G1354" i="4"/>
  <c r="C1354" i="4" s="1"/>
  <c r="G1355" i="4"/>
  <c r="C1355" i="4" s="1"/>
  <c r="G1356" i="4"/>
  <c r="C1356" i="4" s="1"/>
  <c r="G1357" i="4"/>
  <c r="C1357" i="4" s="1"/>
  <c r="G1358" i="4"/>
  <c r="C1358" i="4" s="1"/>
  <c r="G1359" i="4"/>
  <c r="C1359" i="4" s="1"/>
  <c r="G1360" i="4"/>
  <c r="C1360" i="4" s="1"/>
  <c r="G1361" i="4"/>
  <c r="C1361" i="4" s="1"/>
  <c r="G1362" i="4"/>
  <c r="C1362" i="4" s="1"/>
  <c r="G1363" i="4"/>
  <c r="C1363" i="4" s="1"/>
  <c r="G1364" i="4"/>
  <c r="C1364" i="4" s="1"/>
  <c r="G1365" i="4"/>
  <c r="C1365" i="4" s="1"/>
  <c r="G1366" i="4"/>
  <c r="C1366" i="4" s="1"/>
  <c r="G1367" i="4"/>
  <c r="C1367" i="4" s="1"/>
  <c r="G1368" i="4"/>
  <c r="C1368" i="4" s="1"/>
  <c r="G1369" i="4"/>
  <c r="C1369" i="4" s="1"/>
  <c r="G1370" i="4"/>
  <c r="C1370" i="4" s="1"/>
  <c r="G1371" i="4"/>
  <c r="C1371" i="4" s="1"/>
  <c r="G1372" i="4"/>
  <c r="C1372" i="4" s="1"/>
  <c r="G1373" i="4"/>
  <c r="C1373" i="4" s="1"/>
  <c r="G1374" i="4"/>
  <c r="C1374" i="4" s="1"/>
  <c r="G1375" i="4"/>
  <c r="C1375" i="4" s="1"/>
  <c r="G1376" i="4"/>
  <c r="C1376" i="4" s="1"/>
  <c r="G1377" i="4"/>
  <c r="C1377" i="4" s="1"/>
  <c r="G1378" i="4"/>
  <c r="C1378" i="4" s="1"/>
  <c r="G1379" i="4"/>
  <c r="C1379" i="4" s="1"/>
  <c r="G1380" i="4"/>
  <c r="C1380" i="4" s="1"/>
  <c r="G1381" i="4"/>
  <c r="C1381" i="4" s="1"/>
  <c r="G1382" i="4"/>
  <c r="C1382" i="4" s="1"/>
  <c r="G1383" i="4"/>
  <c r="C1383" i="4" s="1"/>
  <c r="G1384" i="4"/>
  <c r="C1384" i="4" s="1"/>
  <c r="G1385" i="4"/>
  <c r="C1385" i="4" s="1"/>
  <c r="G1386" i="4"/>
  <c r="C1386" i="4" s="1"/>
  <c r="G1387" i="4"/>
  <c r="C1387" i="4" s="1"/>
  <c r="G1388" i="4"/>
  <c r="C1388" i="4" s="1"/>
  <c r="G1389" i="4"/>
  <c r="C1389" i="4" s="1"/>
  <c r="G1390" i="4"/>
  <c r="C1390" i="4" s="1"/>
  <c r="G1391" i="4"/>
  <c r="C1391" i="4" s="1"/>
  <c r="G1392" i="4"/>
  <c r="C1392" i="4" s="1"/>
  <c r="G1393" i="4"/>
  <c r="C1393" i="4" s="1"/>
  <c r="G1394" i="4"/>
  <c r="C1394" i="4" s="1"/>
  <c r="G1395" i="4"/>
  <c r="C1395" i="4" s="1"/>
  <c r="G1396" i="4"/>
  <c r="C1396" i="4" s="1"/>
  <c r="G1397" i="4"/>
  <c r="C1397" i="4" s="1"/>
  <c r="G1398" i="4"/>
  <c r="C1398" i="4" s="1"/>
  <c r="G1399" i="4"/>
  <c r="C1399" i="4" s="1"/>
  <c r="G1400" i="4"/>
  <c r="C1400" i="4" s="1"/>
  <c r="G1401" i="4"/>
  <c r="C1401" i="4" s="1"/>
  <c r="G1402" i="4"/>
  <c r="C1402" i="4" s="1"/>
  <c r="G1403" i="4"/>
  <c r="C1403" i="4" s="1"/>
  <c r="G1404" i="4"/>
  <c r="C1404" i="4" s="1"/>
  <c r="G1405" i="4"/>
  <c r="C1405" i="4" s="1"/>
  <c r="G1406" i="4"/>
  <c r="C1406" i="4" s="1"/>
  <c r="G1407" i="4"/>
  <c r="C1407" i="4" s="1"/>
  <c r="G1408" i="4"/>
  <c r="C1408" i="4" s="1"/>
  <c r="G1409" i="4"/>
  <c r="C1409" i="4" s="1"/>
  <c r="G1410" i="4"/>
  <c r="C1410" i="4" s="1"/>
  <c r="G1411" i="4"/>
  <c r="C1411" i="4" s="1"/>
  <c r="G1412" i="4"/>
  <c r="C1412" i="4" s="1"/>
  <c r="G1413" i="4"/>
  <c r="C1413" i="4" s="1"/>
  <c r="G1414" i="4"/>
  <c r="C1414" i="4" s="1"/>
  <c r="G1415" i="4"/>
  <c r="C1415" i="4" s="1"/>
  <c r="G1416" i="4"/>
  <c r="C1416" i="4" s="1"/>
  <c r="G1417" i="4"/>
  <c r="C1417" i="4" s="1"/>
  <c r="G1418" i="4"/>
  <c r="C1418" i="4" s="1"/>
  <c r="G1419" i="4"/>
  <c r="C1419" i="4" s="1"/>
  <c r="G1420" i="4"/>
  <c r="C1420" i="4" s="1"/>
  <c r="G1421" i="4"/>
  <c r="C1421" i="4" s="1"/>
  <c r="G1422" i="4"/>
  <c r="C1422" i="4" s="1"/>
  <c r="G1423" i="4"/>
  <c r="C1423" i="4" s="1"/>
  <c r="G1424" i="4"/>
  <c r="C1424" i="4" s="1"/>
  <c r="G1425" i="4"/>
  <c r="C1425" i="4" s="1"/>
  <c r="G1426" i="4"/>
  <c r="C1426" i="4" s="1"/>
  <c r="G1427" i="4"/>
  <c r="C1427" i="4" s="1"/>
  <c r="G1428" i="4"/>
  <c r="C1428" i="4" s="1"/>
  <c r="G1429" i="4"/>
  <c r="C1429" i="4" s="1"/>
  <c r="G1430" i="4"/>
  <c r="C1430" i="4" s="1"/>
  <c r="G1431" i="4"/>
  <c r="C1431" i="4" s="1"/>
  <c r="G1432" i="4"/>
  <c r="C1432" i="4" s="1"/>
  <c r="G1433" i="4"/>
  <c r="C1433" i="4" s="1"/>
  <c r="G1434" i="4"/>
  <c r="C1434" i="4" s="1"/>
  <c r="G1435" i="4"/>
  <c r="C1435" i="4" s="1"/>
  <c r="G1436" i="4"/>
  <c r="C1436" i="4" s="1"/>
  <c r="G1437" i="4"/>
  <c r="C1437" i="4" s="1"/>
  <c r="G1438" i="4"/>
  <c r="C1438" i="4" s="1"/>
  <c r="G1439" i="4"/>
  <c r="C1439" i="4" s="1"/>
  <c r="G1440" i="4"/>
  <c r="C1440" i="4" s="1"/>
  <c r="G1441" i="4"/>
  <c r="C1441" i="4" s="1"/>
  <c r="G1442" i="4"/>
  <c r="C1442" i="4" s="1"/>
  <c r="G1443" i="4"/>
  <c r="C1443" i="4" s="1"/>
  <c r="G1444" i="4"/>
  <c r="C1444" i="4" s="1"/>
  <c r="G1445" i="4"/>
  <c r="C1445" i="4" s="1"/>
  <c r="G1446" i="4"/>
  <c r="C1446" i="4" s="1"/>
  <c r="G1447" i="4"/>
  <c r="C1447" i="4" s="1"/>
  <c r="G1448" i="4"/>
  <c r="C1448" i="4" s="1"/>
  <c r="G1449" i="4"/>
  <c r="C1449" i="4" s="1"/>
  <c r="G1450" i="4"/>
  <c r="C1450" i="4" s="1"/>
  <c r="G1451" i="4"/>
  <c r="C1451" i="4" s="1"/>
  <c r="G1452" i="4"/>
  <c r="C1452" i="4" s="1"/>
  <c r="G1453" i="4"/>
  <c r="C1453" i="4" s="1"/>
  <c r="G1454" i="4"/>
  <c r="C1454" i="4" s="1"/>
  <c r="G1455" i="4"/>
  <c r="C1455" i="4" s="1"/>
  <c r="G1456" i="4"/>
  <c r="C1456" i="4" s="1"/>
  <c r="G1457" i="4"/>
  <c r="C1457" i="4" s="1"/>
  <c r="G1458" i="4"/>
  <c r="C1458" i="4" s="1"/>
  <c r="G1459" i="4"/>
  <c r="C1459" i="4" s="1"/>
  <c r="G1460" i="4"/>
  <c r="C1460" i="4" s="1"/>
  <c r="G1461" i="4"/>
  <c r="C1461" i="4" s="1"/>
  <c r="G1462" i="4"/>
  <c r="C1462" i="4" s="1"/>
  <c r="G1463" i="4"/>
  <c r="C1463" i="4" s="1"/>
  <c r="G1464" i="4"/>
  <c r="C1464" i="4" s="1"/>
  <c r="G1465" i="4"/>
  <c r="C1465" i="4" s="1"/>
  <c r="G1466" i="4"/>
  <c r="C1466" i="4" s="1"/>
  <c r="G1467" i="4"/>
  <c r="C1467" i="4" s="1"/>
  <c r="G1468" i="4"/>
  <c r="C1468" i="4" s="1"/>
  <c r="G1469" i="4"/>
  <c r="C1469" i="4" s="1"/>
  <c r="G1470" i="4"/>
  <c r="C1470" i="4" s="1"/>
  <c r="G1471" i="4"/>
  <c r="C1471" i="4" s="1"/>
  <c r="G1472" i="4"/>
  <c r="C1472" i="4" s="1"/>
  <c r="G1473" i="4"/>
  <c r="C1473" i="4" s="1"/>
  <c r="G1474" i="4"/>
  <c r="C1474" i="4" s="1"/>
  <c r="G1475" i="4"/>
  <c r="C1475" i="4" s="1"/>
  <c r="G1476" i="4"/>
  <c r="C1476" i="4" s="1"/>
  <c r="G1477" i="4"/>
  <c r="C1477" i="4" s="1"/>
  <c r="G1478" i="4"/>
  <c r="C1478" i="4" s="1"/>
  <c r="G1479" i="4"/>
  <c r="C1479" i="4" s="1"/>
  <c r="G1480" i="4"/>
  <c r="C1480" i="4" s="1"/>
  <c r="G1481" i="4"/>
  <c r="C1481" i="4" s="1"/>
  <c r="G1482" i="4"/>
  <c r="C1482" i="4" s="1"/>
  <c r="G1483" i="4"/>
  <c r="C1483" i="4" s="1"/>
  <c r="G1484" i="4"/>
  <c r="C1484" i="4" s="1"/>
  <c r="G1485" i="4"/>
  <c r="C1485" i="4" s="1"/>
  <c r="G1486" i="4"/>
  <c r="C1486" i="4" s="1"/>
  <c r="G1487" i="4"/>
  <c r="C1487" i="4" s="1"/>
  <c r="G1488" i="4"/>
  <c r="C1488" i="4" s="1"/>
  <c r="G1489" i="4"/>
  <c r="C1489" i="4" s="1"/>
  <c r="G1490" i="4"/>
  <c r="C1490" i="4" s="1"/>
  <c r="G1491" i="4"/>
  <c r="C1491" i="4" s="1"/>
  <c r="G1492" i="4"/>
  <c r="C1492" i="4" s="1"/>
  <c r="G1493" i="4"/>
  <c r="C1493" i="4" s="1"/>
  <c r="G1494" i="4"/>
  <c r="C1494" i="4" s="1"/>
  <c r="G1495" i="4"/>
  <c r="C1495" i="4" s="1"/>
  <c r="G1496" i="4"/>
  <c r="C1496" i="4" s="1"/>
  <c r="G1497" i="4"/>
  <c r="C1497" i="4" s="1"/>
  <c r="G1498" i="4"/>
  <c r="C1498" i="4" s="1"/>
  <c r="G1499" i="4"/>
  <c r="C1499" i="4" s="1"/>
  <c r="G1500" i="4"/>
  <c r="C1500" i="4" s="1"/>
  <c r="G1501" i="4"/>
  <c r="C1501" i="4" s="1"/>
  <c r="G1502" i="4"/>
  <c r="C1502" i="4" s="1"/>
  <c r="G1503" i="4"/>
  <c r="C1503" i="4" s="1"/>
  <c r="G1504" i="4"/>
  <c r="C1504" i="4" s="1"/>
  <c r="G1505" i="4"/>
  <c r="C1505" i="4" s="1"/>
  <c r="G1506" i="4"/>
  <c r="C1506" i="4" s="1"/>
  <c r="G1507" i="4"/>
  <c r="C1507" i="4" s="1"/>
  <c r="G1508" i="4"/>
  <c r="C1508" i="4" s="1"/>
  <c r="G1509" i="4"/>
  <c r="C1509" i="4" s="1"/>
  <c r="G1510" i="4"/>
  <c r="C1510" i="4" s="1"/>
  <c r="G1511" i="4"/>
  <c r="C1511" i="4" s="1"/>
  <c r="G1512" i="4"/>
  <c r="C1512" i="4" s="1"/>
  <c r="G1513" i="4"/>
  <c r="C1513" i="4" s="1"/>
  <c r="G1514" i="4"/>
  <c r="C1514" i="4" s="1"/>
  <c r="G1515" i="4"/>
  <c r="C1515" i="4" s="1"/>
  <c r="G1516" i="4"/>
  <c r="C1516" i="4" s="1"/>
  <c r="G1517" i="4"/>
  <c r="C1517" i="4" s="1"/>
  <c r="G1518" i="4"/>
  <c r="C1518" i="4" s="1"/>
  <c r="G1519" i="4"/>
  <c r="C1519" i="4" s="1"/>
  <c r="G1520" i="4"/>
  <c r="C1520" i="4" s="1"/>
  <c r="G1521" i="4"/>
  <c r="C1521" i="4" s="1"/>
  <c r="G1522" i="4"/>
  <c r="C1522" i="4" s="1"/>
  <c r="G1523" i="4"/>
  <c r="C1523" i="4" s="1"/>
  <c r="G1524" i="4"/>
  <c r="C1524" i="4" s="1"/>
  <c r="G1525" i="4"/>
  <c r="C1525" i="4" s="1"/>
  <c r="G1526" i="4"/>
  <c r="C1526" i="4" s="1"/>
  <c r="G1527" i="4"/>
  <c r="C1527" i="4" s="1"/>
  <c r="G1528" i="4"/>
  <c r="C1528" i="4" s="1"/>
  <c r="G1529" i="4"/>
  <c r="C1529" i="4" s="1"/>
  <c r="G1530" i="4"/>
  <c r="C1530" i="4" s="1"/>
  <c r="G1531" i="4"/>
  <c r="C1531" i="4" s="1"/>
  <c r="G1532" i="4"/>
  <c r="C1532" i="4" s="1"/>
  <c r="G1533" i="4"/>
  <c r="C1533" i="4" s="1"/>
  <c r="G1534" i="4"/>
  <c r="C1534" i="4" s="1"/>
  <c r="G1535" i="4"/>
  <c r="C1535" i="4" s="1"/>
  <c r="G1536" i="4"/>
  <c r="C1536" i="4" s="1"/>
  <c r="G1537" i="4"/>
  <c r="C1537" i="4" s="1"/>
  <c r="G1538" i="4"/>
  <c r="C1538" i="4" s="1"/>
  <c r="G1539" i="4"/>
  <c r="C1539" i="4" s="1"/>
  <c r="G1540" i="4"/>
  <c r="C1540" i="4" s="1"/>
  <c r="G1541" i="4"/>
  <c r="C1541" i="4" s="1"/>
  <c r="G1542" i="4"/>
  <c r="C1542" i="4" s="1"/>
  <c r="G1543" i="4"/>
  <c r="C1543" i="4" s="1"/>
  <c r="G1544" i="4"/>
  <c r="C1544" i="4" s="1"/>
  <c r="G1545" i="4"/>
  <c r="C1545" i="4" s="1"/>
  <c r="G1546" i="4"/>
  <c r="C1546" i="4" s="1"/>
  <c r="G1547" i="4"/>
  <c r="C1547" i="4" s="1"/>
  <c r="G1548" i="4"/>
  <c r="C1548" i="4" s="1"/>
  <c r="G1549" i="4"/>
  <c r="C1549" i="4" s="1"/>
  <c r="G1550" i="4"/>
  <c r="C1550" i="4" s="1"/>
  <c r="G1551" i="4"/>
  <c r="C1551" i="4" s="1"/>
  <c r="G1552" i="4"/>
  <c r="C1552" i="4" s="1"/>
  <c r="G1553" i="4"/>
  <c r="C1553" i="4" s="1"/>
  <c r="G1554" i="4"/>
  <c r="C1554" i="4" s="1"/>
  <c r="G1555" i="4"/>
  <c r="C1555" i="4" s="1"/>
  <c r="G1556" i="4"/>
  <c r="C1556" i="4" s="1"/>
  <c r="G1557" i="4"/>
  <c r="C1557" i="4" s="1"/>
  <c r="G1558" i="4"/>
  <c r="C1558" i="4" s="1"/>
  <c r="G1559" i="4"/>
  <c r="C1559" i="4" s="1"/>
  <c r="G1560" i="4"/>
  <c r="C1560" i="4" s="1"/>
  <c r="G1561" i="4"/>
  <c r="C1561" i="4" s="1"/>
  <c r="G1562" i="4"/>
  <c r="C1562" i="4" s="1"/>
  <c r="G1563" i="4"/>
  <c r="C1563" i="4" s="1"/>
  <c r="G1564" i="4"/>
  <c r="C1564" i="4" s="1"/>
  <c r="G1565" i="4"/>
  <c r="C1565" i="4" s="1"/>
  <c r="G1566" i="4"/>
  <c r="C1566" i="4" s="1"/>
  <c r="G1567" i="4"/>
  <c r="C1567" i="4" s="1"/>
  <c r="G1568" i="4"/>
  <c r="C1568" i="4" s="1"/>
  <c r="G1569" i="4"/>
  <c r="C1569" i="4" s="1"/>
  <c r="G1570" i="4"/>
  <c r="C1570" i="4" s="1"/>
  <c r="G1571" i="4"/>
  <c r="C1571" i="4" s="1"/>
  <c r="G1572" i="4"/>
  <c r="C1572" i="4" s="1"/>
  <c r="G1573" i="4"/>
  <c r="C1573" i="4" s="1"/>
  <c r="G1574" i="4"/>
  <c r="C1574" i="4" s="1"/>
  <c r="G1575" i="4"/>
  <c r="C1575" i="4" s="1"/>
  <c r="G1576" i="4"/>
  <c r="C1576" i="4" s="1"/>
  <c r="G1577" i="4"/>
  <c r="C1577" i="4" s="1"/>
  <c r="G1578" i="4"/>
  <c r="C1578" i="4" s="1"/>
  <c r="G1579" i="4"/>
  <c r="C1579" i="4" s="1"/>
  <c r="G1580" i="4"/>
  <c r="C1580" i="4" s="1"/>
  <c r="G1581" i="4"/>
  <c r="C1581" i="4" s="1"/>
  <c r="G1582" i="4"/>
  <c r="C1582" i="4" s="1"/>
  <c r="G1583" i="4"/>
  <c r="C1583" i="4" s="1"/>
  <c r="G1584" i="4"/>
  <c r="C1584" i="4" s="1"/>
  <c r="G1585" i="4"/>
  <c r="C1585" i="4" s="1"/>
  <c r="G1586" i="4"/>
  <c r="C1586" i="4" s="1"/>
  <c r="G1587" i="4"/>
  <c r="C1587" i="4" s="1"/>
  <c r="G1588" i="4"/>
  <c r="C1588" i="4" s="1"/>
  <c r="G1589" i="4"/>
  <c r="C1589" i="4" s="1"/>
  <c r="G1590" i="4"/>
  <c r="C1590" i="4" s="1"/>
  <c r="G1591" i="4"/>
  <c r="C1591" i="4" s="1"/>
  <c r="G1592" i="4"/>
  <c r="C1592" i="4" s="1"/>
  <c r="G1593" i="4"/>
  <c r="C1593" i="4" s="1"/>
  <c r="G1594" i="4"/>
  <c r="C1594" i="4" s="1"/>
  <c r="G1595" i="4"/>
  <c r="C1595" i="4" s="1"/>
  <c r="G1596" i="4"/>
  <c r="C1596" i="4" s="1"/>
  <c r="G1597" i="4"/>
  <c r="C1597" i="4" s="1"/>
  <c r="G1598" i="4"/>
  <c r="C1598" i="4" s="1"/>
  <c r="G1599" i="4"/>
  <c r="C1599" i="4" s="1"/>
  <c r="G1600" i="4"/>
  <c r="C1600" i="4" s="1"/>
  <c r="G1601" i="4"/>
  <c r="C1601" i="4" s="1"/>
  <c r="G1602" i="4"/>
  <c r="C1602" i="4" s="1"/>
  <c r="G1603" i="4"/>
  <c r="C1603" i="4" s="1"/>
  <c r="G1604" i="4"/>
  <c r="C1604" i="4" s="1"/>
  <c r="G1605" i="4"/>
  <c r="C1605" i="4" s="1"/>
  <c r="G1606" i="4"/>
  <c r="C1606" i="4" s="1"/>
  <c r="G1607" i="4"/>
  <c r="C1607" i="4" s="1"/>
  <c r="G1608" i="4"/>
  <c r="C1608" i="4" s="1"/>
  <c r="G1609" i="4"/>
  <c r="C1609" i="4" s="1"/>
  <c r="G1610" i="4"/>
  <c r="C1610" i="4" s="1"/>
  <c r="G1611" i="4"/>
  <c r="C1611" i="4" s="1"/>
  <c r="G1612" i="4"/>
  <c r="C1612" i="4" s="1"/>
  <c r="G1613" i="4"/>
  <c r="C1613" i="4" s="1"/>
  <c r="G1614" i="4"/>
  <c r="C1614" i="4" s="1"/>
  <c r="G1615" i="4"/>
  <c r="C1615" i="4" s="1"/>
  <c r="G1616" i="4"/>
  <c r="C1616" i="4" s="1"/>
  <c r="G1617" i="4"/>
  <c r="C1617" i="4" s="1"/>
  <c r="G1618" i="4"/>
  <c r="C1618" i="4" s="1"/>
  <c r="G1619" i="4"/>
  <c r="C1619" i="4" s="1"/>
  <c r="G1620" i="4"/>
  <c r="C1620" i="4" s="1"/>
  <c r="G1621" i="4"/>
  <c r="C1621" i="4" s="1"/>
  <c r="G1622" i="4"/>
  <c r="C1622" i="4" s="1"/>
  <c r="G1623" i="4"/>
  <c r="C1623" i="4" s="1"/>
  <c r="G1624" i="4"/>
  <c r="C1624" i="4" s="1"/>
  <c r="G1625" i="4"/>
  <c r="C1625" i="4" s="1"/>
  <c r="G1626" i="4"/>
  <c r="C1626" i="4" s="1"/>
  <c r="D1142" i="4"/>
  <c r="D1590" i="4"/>
  <c r="Z7" i="4"/>
  <c r="R3" i="4"/>
  <c r="Q3" i="4"/>
  <c r="P4" i="4"/>
  <c r="O4" i="4" s="1"/>
  <c r="P5" i="4"/>
  <c r="O5" i="4" s="1"/>
  <c r="P1" i="4"/>
  <c r="O1" i="4" s="1"/>
  <c r="P2" i="4"/>
  <c r="O2" i="4" s="1"/>
  <c r="P3" i="4"/>
  <c r="O3" i="4" s="1"/>
  <c r="E185" i="4"/>
  <c r="E186" i="4"/>
  <c r="E696" i="4"/>
  <c r="E1033" i="4"/>
  <c r="D144" i="4"/>
  <c r="D368" i="4"/>
  <c r="D513" i="4"/>
  <c r="D518" i="4"/>
  <c r="D528" i="4"/>
  <c r="D710" i="4"/>
  <c r="D736" i="4"/>
  <c r="C856" i="4"/>
  <c r="C375" i="4"/>
  <c r="G2" i="8"/>
  <c r="G2" i="6"/>
  <c r="G2" i="5"/>
  <c r="G2" i="2"/>
  <c r="AD6" i="1"/>
  <c r="B312" i="4" l="1"/>
  <c r="B449" i="4"/>
  <c r="B225" i="4"/>
  <c r="B97" i="4"/>
  <c r="B336" i="4"/>
  <c r="B224" i="4"/>
  <c r="B569" i="4"/>
  <c r="B201" i="4"/>
  <c r="B1096" i="4"/>
  <c r="B776" i="4"/>
  <c r="B344" i="4"/>
  <c r="B328" i="4"/>
  <c r="B232" i="4"/>
  <c r="B200" i="4"/>
  <c r="B104" i="4"/>
  <c r="B784" i="4"/>
  <c r="B1111" i="4"/>
  <c r="B478" i="4"/>
  <c r="B526" i="4"/>
  <c r="B126" i="4"/>
  <c r="B428" i="4"/>
  <c r="B1063" i="4"/>
  <c r="B1447" i="4"/>
  <c r="B583" i="4"/>
  <c r="B8" i="4"/>
  <c r="B87" i="4"/>
  <c r="B1047" i="4"/>
  <c r="B663" i="4"/>
  <c r="B215" i="4"/>
  <c r="B296" i="4"/>
  <c r="B168" i="4"/>
  <c r="B376" i="4"/>
  <c r="B1562" i="4"/>
  <c r="B1434" i="4"/>
  <c r="B152" i="4"/>
  <c r="B609" i="4"/>
  <c r="B1193" i="4"/>
  <c r="B1145" i="4"/>
  <c r="B825" i="4"/>
  <c r="B729" i="4"/>
  <c r="B665" i="4"/>
  <c r="B649" i="4"/>
  <c r="B553" i="4"/>
  <c r="B537" i="4"/>
  <c r="B505" i="4"/>
  <c r="B473" i="4"/>
  <c r="B425" i="4"/>
  <c r="B393" i="4"/>
  <c r="B377" i="4"/>
  <c r="B345" i="4"/>
  <c r="B329" i="4"/>
  <c r="B265" i="4"/>
  <c r="B233" i="4"/>
  <c r="B217" i="4"/>
  <c r="B169" i="4"/>
  <c r="B153" i="4"/>
  <c r="B137" i="4"/>
  <c r="B89" i="4"/>
  <c r="B73" i="4"/>
  <c r="B41" i="4"/>
  <c r="B25" i="4"/>
  <c r="B9" i="4"/>
  <c r="B759" i="4"/>
  <c r="B1498" i="4"/>
  <c r="B1129" i="4"/>
  <c r="B968" i="4"/>
  <c r="B56" i="4"/>
  <c r="B193" i="4"/>
  <c r="B744" i="4"/>
  <c r="B1578" i="4"/>
  <c r="B1290" i="4"/>
  <c r="B1016" i="4"/>
  <c r="B1289" i="4"/>
  <c r="B1177" i="4"/>
  <c r="B1161" i="4"/>
  <c r="B1049" i="4"/>
  <c r="B905" i="4"/>
  <c r="B841" i="4"/>
  <c r="B503" i="4"/>
  <c r="B1144" i="4"/>
  <c r="B1112" i="4"/>
  <c r="B920" i="4"/>
  <c r="B808" i="4"/>
  <c r="B616" i="4"/>
  <c r="B584" i="4"/>
  <c r="B488" i="4"/>
  <c r="B264" i="4"/>
  <c r="B136" i="4"/>
  <c r="B72" i="4"/>
  <c r="B135" i="4"/>
  <c r="B615" i="4"/>
  <c r="B279" i="4"/>
  <c r="B183" i="4"/>
  <c r="B448" i="4"/>
  <c r="B65" i="4"/>
  <c r="B536" i="4"/>
  <c r="B48" i="4"/>
  <c r="B1514" i="4"/>
  <c r="B1274" i="4"/>
  <c r="B23" i="4"/>
  <c r="B1416" i="4"/>
  <c r="B1304" i="4"/>
  <c r="B1160" i="4"/>
  <c r="B1128" i="4"/>
  <c r="B728" i="4"/>
  <c r="B664" i="4"/>
  <c r="B600" i="4"/>
  <c r="B552" i="4"/>
  <c r="B472" i="4"/>
  <c r="B280" i="4"/>
  <c r="B184" i="4"/>
  <c r="B120" i="4"/>
  <c r="B88" i="4"/>
  <c r="B16" i="4"/>
  <c r="B71" i="4"/>
  <c r="B128" i="4"/>
  <c r="B535" i="4"/>
  <c r="B1594" i="4"/>
  <c r="B1306" i="4"/>
  <c r="B375" i="4"/>
  <c r="B24" i="4"/>
  <c r="B625" i="4"/>
  <c r="B456" i="4"/>
  <c r="B337" i="4"/>
  <c r="B7" i="4"/>
  <c r="B984" i="4"/>
  <c r="B648" i="4"/>
  <c r="B1622" i="4"/>
  <c r="B1606" i="4"/>
  <c r="B1590" i="4"/>
  <c r="B1574" i="4"/>
  <c r="B1558" i="4"/>
  <c r="B1526" i="4"/>
  <c r="B1510" i="4"/>
  <c r="B1494" i="4"/>
  <c r="B1478" i="4"/>
  <c r="B1462" i="4"/>
  <c r="B1446" i="4"/>
  <c r="B1430" i="4"/>
  <c r="B1414" i="4"/>
  <c r="B1398" i="4"/>
  <c r="B1382" i="4"/>
  <c r="B1366" i="4"/>
  <c r="B1350" i="4"/>
  <c r="B1318" i="4"/>
  <c r="B1302" i="4"/>
  <c r="B1286" i="4"/>
  <c r="B1270" i="4"/>
  <c r="B1254" i="4"/>
  <c r="B1238" i="4"/>
  <c r="B1222" i="4"/>
  <c r="B1206" i="4"/>
  <c r="B1190" i="4"/>
  <c r="B1174" i="4"/>
  <c r="B1158" i="4"/>
  <c r="B1142" i="4"/>
  <c r="B1110" i="4"/>
  <c r="B1078" i="4"/>
  <c r="B1062" i="4"/>
  <c r="B1030" i="4"/>
  <c r="B998" i="4"/>
  <c r="B982" i="4"/>
  <c r="B966" i="4"/>
  <c r="B950" i="4"/>
  <c r="B902" i="4"/>
  <c r="B886" i="4"/>
  <c r="B854" i="4"/>
  <c r="B838" i="4"/>
  <c r="B806" i="4"/>
  <c r="B790" i="4"/>
  <c r="B774" i="4"/>
  <c r="B758" i="4"/>
  <c r="B726" i="4"/>
  <c r="B694" i="4"/>
  <c r="B678" i="4"/>
  <c r="B662" i="4"/>
  <c r="B630" i="4"/>
  <c r="B614" i="4"/>
  <c r="B582" i="4"/>
  <c r="B566" i="4"/>
  <c r="B518" i="4"/>
  <c r="B486" i="4"/>
  <c r="B454" i="4"/>
  <c r="B438" i="4"/>
  <c r="B422" i="4"/>
  <c r="B406" i="4"/>
  <c r="B358" i="4"/>
  <c r="B342" i="4"/>
  <c r="B278" i="4"/>
  <c r="B262" i="4"/>
  <c r="B214" i="4"/>
  <c r="B182" i="4"/>
  <c r="B166" i="4"/>
  <c r="B150" i="4"/>
  <c r="B134" i="4"/>
  <c r="B102" i="4"/>
  <c r="B70" i="4"/>
  <c r="B54" i="4"/>
  <c r="B6" i="4"/>
  <c r="B1604" i="4"/>
  <c r="B1588" i="4"/>
  <c r="B1572" i="4"/>
  <c r="B1556" i="4"/>
  <c r="B1540" i="4"/>
  <c r="B1524" i="4"/>
  <c r="B1508" i="4"/>
  <c r="B1492" i="4"/>
  <c r="B1476" i="4"/>
  <c r="B1460" i="4"/>
  <c r="B1444" i="4"/>
  <c r="B1428" i="4"/>
  <c r="B1396" i="4"/>
  <c r="B1364" i="4"/>
  <c r="B1348" i="4"/>
  <c r="B1332" i="4"/>
  <c r="B1300" i="4"/>
  <c r="B1284" i="4"/>
  <c r="B1268" i="4"/>
  <c r="B1252" i="4"/>
  <c r="B1236" i="4"/>
  <c r="B1220" i="4"/>
  <c r="B1188" i="4"/>
  <c r="B1156" i="4"/>
  <c r="B1140" i="4"/>
  <c r="B1124" i="4"/>
  <c r="B1092" i="4"/>
  <c r="B1076" i="4"/>
  <c r="B1028" i="4"/>
  <c r="B1012" i="4"/>
  <c r="B980" i="4"/>
  <c r="B964" i="4"/>
  <c r="B932" i="4"/>
  <c r="B916" i="4"/>
  <c r="B900" i="4"/>
  <c r="B884" i="4"/>
  <c r="B868" i="4"/>
  <c r="B836" i="4"/>
  <c r="B820" i="4"/>
  <c r="B804" i="4"/>
  <c r="B772" i="4"/>
  <c r="B756" i="4"/>
  <c r="B740" i="4"/>
  <c r="B724" i="4"/>
  <c r="B708" i="4"/>
  <c r="B676" i="4"/>
  <c r="B660" i="4"/>
  <c r="B644" i="4"/>
  <c r="B628" i="4"/>
  <c r="B612" i="4"/>
  <c r="B596" i="4"/>
  <c r="B548" i="4"/>
  <c r="B516" i="4"/>
  <c r="B500" i="4"/>
  <c r="B484" i="4"/>
  <c r="B468" i="4"/>
  <c r="B420" i="4"/>
  <c r="B388" i="4"/>
  <c r="B356" i="4"/>
  <c r="B340" i="4"/>
  <c r="B324" i="4"/>
  <c r="B292" i="4"/>
  <c r="B276" i="4"/>
  <c r="B260" i="4"/>
  <c r="B244" i="4"/>
  <c r="B228" i="4"/>
  <c r="B196" i="4"/>
  <c r="B180" i="4"/>
  <c r="B148" i="4"/>
  <c r="B132" i="4"/>
  <c r="B116" i="4"/>
  <c r="B100" i="4"/>
  <c r="B84" i="4"/>
  <c r="B52" i="4"/>
  <c r="B36" i="4"/>
  <c r="B20" i="4"/>
  <c r="B4" i="4"/>
  <c r="B1101" i="4"/>
  <c r="B192" i="4"/>
  <c r="B368" i="4"/>
  <c r="B64" i="4"/>
  <c r="B1520" i="4"/>
  <c r="B608" i="4"/>
  <c r="B1404" i="4"/>
  <c r="B78" i="4"/>
  <c r="B1542" i="4"/>
  <c r="B1334" i="4"/>
  <c r="B1126" i="4"/>
  <c r="B1094" i="4"/>
  <c r="B1415" i="4"/>
  <c r="B1380" i="4"/>
  <c r="B424" i="4"/>
  <c r="B247" i="4"/>
  <c r="B840" i="4"/>
  <c r="B944" i="4"/>
  <c r="B814" i="4"/>
  <c r="B398" i="4"/>
  <c r="B190" i="4"/>
  <c r="B455" i="4"/>
  <c r="B311" i="4"/>
  <c r="B167" i="4"/>
  <c r="B887" i="4"/>
  <c r="B695" i="4"/>
  <c r="B1479" i="4"/>
  <c r="B1035" i="4"/>
  <c r="B519" i="4"/>
  <c r="B952" i="4"/>
  <c r="B408" i="4"/>
  <c r="B599" i="4"/>
  <c r="B679" i="4"/>
  <c r="B439" i="4"/>
  <c r="B295" i="4"/>
  <c r="B775" i="4"/>
  <c r="B1351" i="4"/>
  <c r="B1014" i="4"/>
  <c r="B934" i="4"/>
  <c r="B918" i="4"/>
  <c r="B822" i="4"/>
  <c r="B646" i="4"/>
  <c r="B598" i="4"/>
  <c r="B470" i="4"/>
  <c r="B310" i="4"/>
  <c r="B246" i="4"/>
  <c r="B118" i="4"/>
  <c r="B86" i="4"/>
  <c r="B847" i="4"/>
  <c r="B1621" i="4"/>
  <c r="B1605" i="4"/>
  <c r="B1589" i="4"/>
  <c r="B1573" i="4"/>
  <c r="B1557" i="4"/>
  <c r="B1541" i="4"/>
  <c r="B1525" i="4"/>
  <c r="B1509" i="4"/>
  <c r="B1477" i="4"/>
  <c r="B1461" i="4"/>
  <c r="B1445" i="4"/>
  <c r="B1429" i="4"/>
  <c r="B1413" i="4"/>
  <c r="B1397" i="4"/>
  <c r="B1381" i="4"/>
  <c r="B1349" i="4"/>
  <c r="B1333" i="4"/>
  <c r="B1301" i="4"/>
  <c r="B1285" i="4"/>
  <c r="B1269" i="4"/>
  <c r="B1253" i="4"/>
  <c r="B1237" i="4"/>
  <c r="B1221" i="4"/>
  <c r="B1205" i="4"/>
  <c r="B1189" i="4"/>
  <c r="B1173" i="4"/>
  <c r="B1157" i="4"/>
  <c r="B1141" i="4"/>
  <c r="B1125" i="4"/>
  <c r="B1109" i="4"/>
  <c r="B1093" i="4"/>
  <c r="B1077" i="4"/>
  <c r="B1061" i="4"/>
  <c r="B1029" i="4"/>
  <c r="B997" i="4"/>
  <c r="B981" i="4"/>
  <c r="B965" i="4"/>
  <c r="B949" i="4"/>
  <c r="B933" i="4"/>
  <c r="B917" i="4"/>
  <c r="B885" i="4"/>
  <c r="B869" i="4"/>
  <c r="B837" i="4"/>
  <c r="B821" i="4"/>
  <c r="B805" i="4"/>
  <c r="B789" i="4"/>
  <c r="B773" i="4"/>
  <c r="B757" i="4"/>
  <c r="B725" i="4"/>
  <c r="B693" i="4"/>
  <c r="B677" i="4"/>
  <c r="B661" i="4"/>
  <c r="B629" i="4"/>
  <c r="B613" i="4"/>
  <c r="B597" i="4"/>
  <c r="B581" i="4"/>
  <c r="B565" i="4"/>
  <c r="B549" i="4"/>
  <c r="B533" i="4"/>
  <c r="B517" i="4"/>
  <c r="B485" i="4"/>
  <c r="B469" i="4"/>
  <c r="B453" i="4"/>
  <c r="B421" i="4"/>
  <c r="B405" i="4"/>
  <c r="B389" i="4"/>
  <c r="B373" i="4"/>
  <c r="B357" i="4"/>
  <c r="B341" i="4"/>
  <c r="B309" i="4"/>
  <c r="B293" i="4"/>
  <c r="B277" i="4"/>
  <c r="B261" i="4"/>
  <c r="B245" i="4"/>
  <c r="B181" i="4"/>
  <c r="B133" i="4"/>
  <c r="B101" i="4"/>
  <c r="B69" i="4"/>
  <c r="B53" i="4"/>
  <c r="B37" i="4"/>
  <c r="B1390" i="4"/>
  <c r="B487" i="4"/>
  <c r="B343" i="4"/>
  <c r="B1095" i="4"/>
  <c r="B1015" i="4"/>
  <c r="B839" i="4"/>
  <c r="B647" i="4"/>
  <c r="B1619" i="4"/>
  <c r="B1587" i="4"/>
  <c r="B1539" i="4"/>
  <c r="B1523" i="4"/>
  <c r="B1459" i="4"/>
  <c r="B1443" i="4"/>
  <c r="B1395" i="4"/>
  <c r="B1283" i="4"/>
  <c r="B1267" i="4"/>
  <c r="B480" i="4"/>
  <c r="B407" i="4"/>
  <c r="B1207" i="4"/>
  <c r="B1602" i="4"/>
  <c r="B1586" i="4"/>
  <c r="B1570" i="4"/>
  <c r="B1554" i="4"/>
  <c r="B1538" i="4"/>
  <c r="B1522" i="4"/>
  <c r="B1506" i="4"/>
  <c r="B1474" i="4"/>
  <c r="B1458" i="4"/>
  <c r="B1442" i="4"/>
  <c r="B1410" i="4"/>
  <c r="B1394" i="4"/>
  <c r="B1378" i="4"/>
  <c r="B1314" i="4"/>
  <c r="B1266" i="4"/>
  <c r="B1234" i="4"/>
  <c r="B1170" i="4"/>
  <c r="B1026" i="4"/>
  <c r="B802" i="4"/>
  <c r="B212" i="4"/>
  <c r="B631" i="4"/>
  <c r="B1176" i="4"/>
  <c r="B475" i="4"/>
  <c r="B39" i="4"/>
  <c r="B727" i="4"/>
  <c r="B1159" i="4"/>
  <c r="B1344" i="4"/>
  <c r="B1216" i="4"/>
  <c r="B1168" i="4"/>
  <c r="B1040" i="4"/>
  <c r="B496" i="4"/>
  <c r="B692" i="4"/>
  <c r="B263" i="4"/>
  <c r="B1083" i="4"/>
  <c r="B551" i="4"/>
  <c r="B119" i="4"/>
  <c r="B904" i="4"/>
  <c r="B1080" i="4"/>
  <c r="B807" i="4"/>
  <c r="B1079" i="4"/>
  <c r="B712" i="4"/>
  <c r="B103" i="4"/>
  <c r="B711" i="4"/>
  <c r="B423" i="4"/>
  <c r="B127" i="4"/>
  <c r="B288" i="4"/>
  <c r="B80" i="4"/>
  <c r="B383" i="4"/>
  <c r="B303" i="4"/>
  <c r="B429" i="4"/>
  <c r="B397" i="4"/>
  <c r="B1547" i="4"/>
  <c r="B1467" i="4"/>
  <c r="B1403" i="4"/>
  <c r="B1339" i="4"/>
  <c r="B1275" i="4"/>
  <c r="B1211" i="4"/>
  <c r="B1147" i="4"/>
  <c r="B923" i="4"/>
  <c r="B763" i="4"/>
  <c r="B731" i="4"/>
  <c r="B699" i="4"/>
  <c r="B603" i="4"/>
  <c r="B427" i="4"/>
  <c r="B187" i="4"/>
  <c r="B27" i="4"/>
  <c r="B1611" i="4"/>
  <c r="B1579" i="4"/>
  <c r="B1563" i="4"/>
  <c r="B1499" i="4"/>
  <c r="B1419" i="4"/>
  <c r="B1387" i="4"/>
  <c r="B1355" i="4"/>
  <c r="B1307" i="4"/>
  <c r="B1291" i="4"/>
  <c r="B1227" i="4"/>
  <c r="B1179" i="4"/>
  <c r="B1163" i="4"/>
  <c r="B1051" i="4"/>
  <c r="B971" i="4"/>
  <c r="B811" i="4"/>
  <c r="B283" i="4"/>
  <c r="B1595" i="4"/>
  <c r="B1515" i="4"/>
  <c r="B1435" i="4"/>
  <c r="B1371" i="4"/>
  <c r="B1323" i="4"/>
  <c r="B1259" i="4"/>
  <c r="B1195" i="4"/>
  <c r="B325" i="4"/>
  <c r="B85" i="4"/>
  <c r="B5" i="4"/>
  <c r="B392" i="4"/>
  <c r="B55" i="4"/>
  <c r="B391" i="4"/>
  <c r="B327" i="4"/>
  <c r="B189" i="4"/>
  <c r="B66" i="4"/>
  <c r="B384" i="4"/>
  <c r="B313" i="4"/>
  <c r="B953" i="4"/>
  <c r="B872" i="4"/>
  <c r="B791" i="4"/>
  <c r="B1591" i="4"/>
  <c r="B1614" i="4"/>
  <c r="B1598" i="4"/>
  <c r="B1582" i="4"/>
  <c r="B1566" i="4"/>
  <c r="B1550" i="4"/>
  <c r="B1534" i="4"/>
  <c r="B1518" i="4"/>
  <c r="B1502" i="4"/>
  <c r="B1486" i="4"/>
  <c r="B1470" i="4"/>
  <c r="B1454" i="4"/>
  <c r="B1438" i="4"/>
  <c r="B1406" i="4"/>
  <c r="B1326" i="4"/>
  <c r="B951" i="4"/>
  <c r="B1613" i="4"/>
  <c r="B1597" i="4"/>
  <c r="B1581" i="4"/>
  <c r="B1565" i="4"/>
  <c r="B1549" i="4"/>
  <c r="B1533" i="4"/>
  <c r="B1517" i="4"/>
  <c r="B1501" i="4"/>
  <c r="B1485" i="4"/>
  <c r="B1469" i="4"/>
  <c r="B1453" i="4"/>
  <c r="B1437" i="4"/>
  <c r="B1421" i="4"/>
  <c r="B1405" i="4"/>
  <c r="B765" i="4"/>
  <c r="B717" i="4"/>
  <c r="B621" i="4"/>
  <c r="B461" i="4"/>
  <c r="B381" i="4"/>
  <c r="B205" i="4"/>
  <c r="B1612" i="4"/>
  <c r="B1596" i="4"/>
  <c r="B1580" i="4"/>
  <c r="B1564" i="4"/>
  <c r="B1548" i="4"/>
  <c r="B1532" i="4"/>
  <c r="B1468" i="4"/>
  <c r="B1452" i="4"/>
  <c r="B1356" i="4"/>
  <c r="B1292" i="4"/>
  <c r="B1276" i="4"/>
  <c r="B1260" i="4"/>
  <c r="B1244" i="4"/>
  <c r="B1228" i="4"/>
  <c r="B1212" i="4"/>
  <c r="B1196" i="4"/>
  <c r="B1180" i="4"/>
  <c r="B1164" i="4"/>
  <c r="B1148" i="4"/>
  <c r="B1132" i="4"/>
  <c r="B1116" i="4"/>
  <c r="B1084" i="4"/>
  <c r="B1036" i="4"/>
  <c r="B1020" i="4"/>
  <c r="B1004" i="4"/>
  <c r="B988" i="4"/>
  <c r="B972" i="4"/>
  <c r="B876" i="4"/>
  <c r="B860" i="4"/>
  <c r="B844" i="4"/>
  <c r="B812" i="4"/>
  <c r="B764" i="4"/>
  <c r="B748" i="4"/>
  <c r="B732" i="4"/>
  <c r="B716" i="4"/>
  <c r="B668" i="4"/>
  <c r="B652" i="4"/>
  <c r="B636" i="4"/>
  <c r="B620" i="4"/>
  <c r="B508" i="4"/>
  <c r="B492" i="4"/>
  <c r="B396" i="4"/>
  <c r="B380" i="4"/>
  <c r="B364" i="4"/>
  <c r="B348" i="4"/>
  <c r="B252" i="4"/>
  <c r="B236" i="4"/>
  <c r="B220" i="4"/>
  <c r="B124" i="4"/>
  <c r="B108" i="4"/>
  <c r="B92" i="4"/>
  <c r="B76" i="4"/>
  <c r="B395" i="4"/>
  <c r="B59" i="4"/>
  <c r="B635" i="4"/>
  <c r="B491" i="4"/>
  <c r="B155" i="4"/>
  <c r="B11" i="4"/>
  <c r="B1626" i="4"/>
  <c r="B1610" i="4"/>
  <c r="B1546" i="4"/>
  <c r="B1530" i="4"/>
  <c r="B1482" i="4"/>
  <c r="B1466" i="4"/>
  <c r="B1450" i="4"/>
  <c r="B1418" i="4"/>
  <c r="B1402" i="4"/>
  <c r="B1386" i="4"/>
  <c r="B1370" i="4"/>
  <c r="B1322" i="4"/>
  <c r="B1258" i="4"/>
  <c r="B1242" i="4"/>
  <c r="B1226" i="4"/>
  <c r="B1210" i="4"/>
  <c r="B1194" i="4"/>
  <c r="B1178" i="4"/>
  <c r="B1162" i="4"/>
  <c r="B1146" i="4"/>
  <c r="B1130" i="4"/>
  <c r="B1114" i="4"/>
  <c r="B1098" i="4"/>
  <c r="B1082" i="4"/>
  <c r="B1066" i="4"/>
  <c r="B1034" i="4"/>
  <c r="B1018" i="4"/>
  <c r="B1002" i="4"/>
  <c r="B986" i="4"/>
  <c r="B970" i="4"/>
  <c r="B938" i="4"/>
  <c r="B922" i="4"/>
  <c r="B906" i="4"/>
  <c r="B874" i="4"/>
  <c r="B858" i="4"/>
  <c r="B842" i="4"/>
  <c r="B826" i="4"/>
  <c r="B810" i="4"/>
  <c r="B794" i="4"/>
  <c r="B778" i="4"/>
  <c r="B746" i="4"/>
  <c r="B730" i="4"/>
  <c r="B714" i="4"/>
  <c r="B682" i="4"/>
  <c r="B650" i="4"/>
  <c r="B634" i="4"/>
  <c r="B618" i="4"/>
  <c r="B586" i="4"/>
  <c r="B538" i="4"/>
  <c r="B506" i="4"/>
  <c r="B490" i="4"/>
  <c r="B474" i="4"/>
  <c r="B458" i="4"/>
  <c r="B394" i="4"/>
  <c r="B378" i="4"/>
  <c r="B362" i="4"/>
  <c r="B330" i="4"/>
  <c r="B314" i="4"/>
  <c r="B298" i="4"/>
  <c r="B266" i="4"/>
  <c r="B250" i="4"/>
  <c r="B651" i="4"/>
  <c r="B504" i="4"/>
  <c r="B1625" i="4"/>
  <c r="B1241" i="4"/>
  <c r="B601" i="4"/>
  <c r="B75" i="4"/>
  <c r="B360" i="4"/>
  <c r="B1608" i="4"/>
  <c r="B1576" i="4"/>
  <c r="B1336" i="4"/>
  <c r="B1288" i="4"/>
  <c r="B1224" i="4"/>
  <c r="B1048" i="4"/>
  <c r="B824" i="4"/>
  <c r="B696" i="4"/>
  <c r="B440" i="4"/>
  <c r="B40" i="4"/>
  <c r="B1537" i="4"/>
  <c r="B897" i="4"/>
  <c r="B587" i="4"/>
  <c r="B43" i="4"/>
  <c r="B680" i="4"/>
  <c r="B1592" i="4"/>
  <c r="B1528" i="4"/>
  <c r="B1400" i="4"/>
  <c r="B1272" i="4"/>
  <c r="B567" i="4"/>
  <c r="B359" i="4"/>
  <c r="B999" i="4"/>
  <c r="B919" i="4"/>
  <c r="B1335" i="4"/>
  <c r="B681" i="4"/>
  <c r="B1493" i="4"/>
  <c r="B1607" i="4"/>
  <c r="B216" i="4"/>
  <c r="B969" i="4"/>
  <c r="B903" i="4"/>
  <c r="B1507" i="4"/>
  <c r="B1475" i="4"/>
  <c r="B1347" i="4"/>
  <c r="B1315" i="4"/>
  <c r="B1299" i="4"/>
  <c r="B1235" i="4"/>
  <c r="B1203" i="4"/>
  <c r="B281" i="4"/>
  <c r="B151" i="4"/>
  <c r="B1031" i="4"/>
  <c r="B1618" i="4"/>
  <c r="B1490" i="4"/>
  <c r="B1426" i="4"/>
  <c r="B1106" i="4"/>
  <c r="B738" i="4"/>
  <c r="B546" i="4"/>
  <c r="B402" i="4"/>
  <c r="B306" i="4"/>
  <c r="B274" i="4"/>
  <c r="B34" i="4"/>
  <c r="B1046" i="4"/>
  <c r="B761" i="4"/>
  <c r="B1620" i="4"/>
  <c r="B1316" i="4"/>
  <c r="B1032" i="4"/>
  <c r="B760" i="4"/>
  <c r="B1603" i="4"/>
  <c r="B1571" i="4"/>
  <c r="B1555" i="4"/>
  <c r="B1491" i="4"/>
  <c r="B1427" i="4"/>
  <c r="B1411" i="4"/>
  <c r="B1379" i="4"/>
  <c r="B1363" i="4"/>
  <c r="B1331" i="4"/>
  <c r="B1251" i="4"/>
  <c r="B1219" i="4"/>
  <c r="B592" i="4"/>
  <c r="B523" i="4"/>
  <c r="B896" i="4"/>
  <c r="B521" i="4"/>
  <c r="B144" i="4"/>
  <c r="B1088" i="4"/>
  <c r="B1024" i="4"/>
  <c r="B967" i="4"/>
  <c r="B889" i="4"/>
  <c r="B823" i="4"/>
  <c r="B745" i="4"/>
  <c r="B1553" i="4"/>
  <c r="B1489" i="4"/>
  <c r="B1425" i="4"/>
  <c r="B1217" i="4"/>
  <c r="B1153" i="4"/>
  <c r="B1121" i="4"/>
  <c r="B1009" i="4"/>
  <c r="B273" i="4"/>
  <c r="B976" i="4"/>
  <c r="B1365" i="4"/>
  <c r="B585" i="4"/>
  <c r="B520" i="4"/>
  <c r="B471" i="4"/>
  <c r="B32" i="4"/>
  <c r="B1019" i="4"/>
  <c r="B888" i="4"/>
  <c r="B1513" i="4"/>
  <c r="B1584" i="4"/>
  <c r="B1552" i="4"/>
  <c r="B1152" i="4"/>
  <c r="B704" i="4"/>
  <c r="B457" i="4"/>
  <c r="B272" i="4"/>
  <c r="B199" i="4"/>
  <c r="B1081" i="4"/>
  <c r="B1017" i="4"/>
  <c r="B743" i="4"/>
  <c r="B1615" i="4"/>
  <c r="B1599" i="4"/>
  <c r="B1583" i="4"/>
  <c r="B1567" i="4"/>
  <c r="B1327" i="4"/>
  <c r="B1039" i="4"/>
  <c r="B1007" i="4"/>
  <c r="B895" i="4"/>
  <c r="B207" i="4"/>
  <c r="B568" i="4"/>
  <c r="B249" i="4"/>
  <c r="B1001" i="4"/>
  <c r="B937" i="4"/>
  <c r="B871" i="4"/>
  <c r="B792" i="4"/>
  <c r="B1352" i="4"/>
  <c r="B1568" i="4"/>
  <c r="B1516" i="4"/>
  <c r="B1500" i="4"/>
  <c r="B1484" i="4"/>
  <c r="B1436" i="4"/>
  <c r="B1420" i="4"/>
  <c r="B1388" i="4"/>
  <c r="B1372" i="4"/>
  <c r="B1340" i="4"/>
  <c r="B1324" i="4"/>
  <c r="B1308" i="4"/>
  <c r="B1100" i="4"/>
  <c r="B1068" i="4"/>
  <c r="B1052" i="4"/>
  <c r="B956" i="4"/>
  <c r="B940" i="4"/>
  <c r="B924" i="4"/>
  <c r="B908" i="4"/>
  <c r="B892" i="4"/>
  <c r="B828" i="4"/>
  <c r="B796" i="4"/>
  <c r="B780" i="4"/>
  <c r="B700" i="4"/>
  <c r="B684" i="4"/>
  <c r="B460" i="4"/>
  <c r="B857" i="4"/>
  <c r="B713" i="4"/>
  <c r="B632" i="4"/>
  <c r="N3" i="4"/>
  <c r="R4" i="4" s="1"/>
  <c r="M3" i="4"/>
  <c r="Q4" i="4" s="1"/>
  <c r="B1545" i="4"/>
  <c r="B1531" i="4"/>
  <c r="B1483" i="4"/>
  <c r="B1451" i="4"/>
  <c r="B1243" i="4"/>
  <c r="B1131" i="4"/>
  <c r="B1115" i="4"/>
  <c r="B1099" i="4"/>
  <c r="B1067" i="4"/>
  <c r="B1003" i="4"/>
  <c r="B987" i="4"/>
  <c r="B955" i="4"/>
  <c r="B939" i="4"/>
  <c r="B907" i="4"/>
  <c r="B891" i="4"/>
  <c r="B875" i="4"/>
  <c r="B859" i="4"/>
  <c r="B843" i="4"/>
  <c r="B827" i="4"/>
  <c r="B795" i="4"/>
  <c r="B747" i="4"/>
  <c r="B715" i="4"/>
  <c r="B683" i="4"/>
  <c r="B667" i="4"/>
  <c r="B619" i="4"/>
  <c r="B571" i="4"/>
  <c r="B555" i="4"/>
  <c r="B539" i="4"/>
  <c r="B507" i="4"/>
  <c r="B459" i="4"/>
  <c r="B443" i="4"/>
  <c r="B411" i="4"/>
  <c r="B379" i="4"/>
  <c r="B363" i="4"/>
  <c r="B347" i="4"/>
  <c r="B331" i="4"/>
  <c r="B315" i="4"/>
  <c r="B299" i="4"/>
  <c r="B267" i="4"/>
  <c r="B251" i="4"/>
  <c r="B235" i="4"/>
  <c r="B219" i="4"/>
  <c r="B203" i="4"/>
  <c r="B171" i="4"/>
  <c r="B139" i="4"/>
  <c r="B123" i="4"/>
  <c r="B107" i="4"/>
  <c r="B91" i="4"/>
  <c r="B501" i="4"/>
  <c r="B936" i="4"/>
  <c r="B666" i="4"/>
  <c r="B248" i="4"/>
  <c r="B1064" i="4"/>
  <c r="B441" i="4"/>
  <c r="B1338" i="4"/>
  <c r="B954" i="4"/>
  <c r="B602" i="4"/>
  <c r="B570" i="4"/>
  <c r="B554" i="4"/>
  <c r="B522" i="4"/>
  <c r="B442" i="4"/>
  <c r="B426" i="4"/>
  <c r="B410" i="4"/>
  <c r="B346" i="4"/>
  <c r="B282" i="4"/>
  <c r="B624" i="4"/>
  <c r="B985" i="4"/>
  <c r="B855" i="4"/>
  <c r="B782" i="4"/>
  <c r="B1417" i="4"/>
  <c r="B1385" i="4"/>
  <c r="B121" i="4"/>
  <c r="B856" i="4"/>
  <c r="B1354" i="4"/>
  <c r="B890" i="4"/>
  <c r="B698" i="4"/>
  <c r="B57" i="4"/>
  <c r="B2" i="4"/>
  <c r="T18" i="4"/>
  <c r="T19" i="4" s="1"/>
  <c r="B921" i="4"/>
  <c r="B779" i="4"/>
  <c r="B1544" i="4"/>
  <c r="B1496" i="4"/>
  <c r="B1464" i="4"/>
  <c r="B1432" i="4"/>
  <c r="B1384" i="4"/>
  <c r="B1368" i="4"/>
  <c r="B1320" i="4"/>
  <c r="B1192" i="4"/>
  <c r="B1000" i="4"/>
  <c r="B935" i="4"/>
  <c r="B1050" i="4"/>
  <c r="B762" i="4"/>
  <c r="B617" i="4"/>
  <c r="B489" i="4"/>
  <c r="B852" i="4"/>
  <c r="B697" i="4"/>
  <c r="B1296" i="4"/>
  <c r="B1624" i="4"/>
  <c r="B1560" i="4"/>
  <c r="B1512" i="4"/>
  <c r="B1480" i="4"/>
  <c r="B1448" i="4"/>
  <c r="B1256" i="4"/>
  <c r="B1240" i="4"/>
  <c r="B1208" i="4"/>
  <c r="B544" i="4"/>
  <c r="B361" i="4"/>
  <c r="B297" i="4"/>
  <c r="B231" i="4"/>
  <c r="B105" i="4"/>
  <c r="B1113" i="4"/>
  <c r="B983" i="4"/>
  <c r="B846" i="4"/>
  <c r="B777" i="4"/>
  <c r="B1623" i="4"/>
  <c r="B1303" i="4"/>
  <c r="B870" i="4"/>
  <c r="B742" i="4"/>
  <c r="B710" i="4"/>
  <c r="B550" i="4"/>
  <c r="B534" i="4"/>
  <c r="B502" i="4"/>
  <c r="B390" i="4"/>
  <c r="B374" i="4"/>
  <c r="B326" i="4"/>
  <c r="B294" i="4"/>
  <c r="B230" i="4"/>
  <c r="B198" i="4"/>
  <c r="B38" i="4"/>
  <c r="B22" i="4"/>
  <c r="B1045" i="4"/>
  <c r="B1013" i="4"/>
  <c r="B901" i="4"/>
  <c r="B853" i="4"/>
  <c r="B741" i="4"/>
  <c r="B709" i="4"/>
  <c r="B645" i="4"/>
  <c r="B437" i="4"/>
  <c r="B229" i="4"/>
  <c r="B213" i="4"/>
  <c r="B197" i="4"/>
  <c r="B165" i="4"/>
  <c r="B149" i="4"/>
  <c r="B117" i="4"/>
  <c r="B21" i="4"/>
  <c r="B1317" i="4"/>
  <c r="B1097" i="4"/>
  <c r="B1412" i="4"/>
  <c r="B1204" i="4"/>
  <c r="B1172" i="4"/>
  <c r="B1108" i="4"/>
  <c r="B1060" i="4"/>
  <c r="B1044" i="4"/>
  <c r="B996" i="4"/>
  <c r="B948" i="4"/>
  <c r="B788" i="4"/>
  <c r="B580" i="4"/>
  <c r="B564" i="4"/>
  <c r="B532" i="4"/>
  <c r="B452" i="4"/>
  <c r="B436" i="4"/>
  <c r="B404" i="4"/>
  <c r="B372" i="4"/>
  <c r="B308" i="4"/>
  <c r="B164" i="4"/>
  <c r="B68" i="4"/>
  <c r="B1033" i="4"/>
  <c r="B1187" i="4"/>
  <c r="B1171" i="4"/>
  <c r="B1155" i="4"/>
  <c r="B1139" i="4"/>
  <c r="B1123" i="4"/>
  <c r="B1107" i="4"/>
  <c r="B1091" i="4"/>
  <c r="B1075" i="4"/>
  <c r="B1059" i="4"/>
  <c r="B1043" i="4"/>
  <c r="B1027" i="4"/>
  <c r="B1011" i="4"/>
  <c r="B995" i="4"/>
  <c r="B979" i="4"/>
  <c r="B963" i="4"/>
  <c r="B947" i="4"/>
  <c r="B931" i="4"/>
  <c r="B915" i="4"/>
  <c r="B899" i="4"/>
  <c r="B883" i="4"/>
  <c r="B867" i="4"/>
  <c r="B851" i="4"/>
  <c r="B835" i="4"/>
  <c r="B819" i="4"/>
  <c r="B803" i="4"/>
  <c r="B787" i="4"/>
  <c r="B771" i="4"/>
  <c r="B755" i="4"/>
  <c r="B739" i="4"/>
  <c r="B723" i="4"/>
  <c r="B707" i="4"/>
  <c r="B691" i="4"/>
  <c r="B675" i="4"/>
  <c r="B547" i="4"/>
  <c r="B243" i="4"/>
  <c r="B211" i="4"/>
  <c r="B1209" i="4"/>
  <c r="B1575" i="4"/>
  <c r="B1559" i="4"/>
  <c r="B1543" i="4"/>
  <c r="B1527" i="4"/>
  <c r="B1511" i="4"/>
  <c r="B1495" i="4"/>
  <c r="B1463" i="4"/>
  <c r="B1431" i="4"/>
  <c r="B1399" i="4"/>
  <c r="B1383" i="4"/>
  <c r="B1367" i="4"/>
  <c r="B1319" i="4"/>
  <c r="B1287" i="4"/>
  <c r="B1271" i="4"/>
  <c r="B1255" i="4"/>
  <c r="B1239" i="4"/>
  <c r="B1223" i="4"/>
  <c r="B1191" i="4"/>
  <c r="B1175" i="4"/>
  <c r="B1143" i="4"/>
  <c r="B1127" i="4"/>
  <c r="B659" i="4"/>
  <c r="B643" i="4"/>
  <c r="B627" i="4"/>
  <c r="B611" i="4"/>
  <c r="B595" i="4"/>
  <c r="B579" i="4"/>
  <c r="B563" i="4"/>
  <c r="B531" i="4"/>
  <c r="B515" i="4"/>
  <c r="B499" i="4"/>
  <c r="B483" i="4"/>
  <c r="B467" i="4"/>
  <c r="B451" i="4"/>
  <c r="B435" i="4"/>
  <c r="B419" i="4"/>
  <c r="B403" i="4"/>
  <c r="B387" i="4"/>
  <c r="B371" i="4"/>
  <c r="B355" i="4"/>
  <c r="B339" i="4"/>
  <c r="B323" i="4"/>
  <c r="B307" i="4"/>
  <c r="B291" i="4"/>
  <c r="B275" i="4"/>
  <c r="B259" i="4"/>
  <c r="B227" i="4"/>
  <c r="B195" i="4"/>
  <c r="B179" i="4"/>
  <c r="B163" i="4"/>
  <c r="B147" i="4"/>
  <c r="B131" i="4"/>
  <c r="B115" i="4"/>
  <c r="B99" i="4"/>
  <c r="B83" i="4"/>
  <c r="B67" i="4"/>
  <c r="B51" i="4"/>
  <c r="B35" i="4"/>
  <c r="B19" i="4"/>
  <c r="B3" i="4"/>
  <c r="B1362" i="4"/>
  <c r="B1346" i="4"/>
  <c r="B1330" i="4"/>
  <c r="B1298" i="4"/>
  <c r="B1282" i="4"/>
  <c r="B1250" i="4"/>
  <c r="B1218" i="4"/>
  <c r="B1202" i="4"/>
  <c r="B1186" i="4"/>
  <c r="B1154" i="4"/>
  <c r="B1138" i="4"/>
  <c r="B1122" i="4"/>
  <c r="B1090" i="4"/>
  <c r="B1074" i="4"/>
  <c r="B1058" i="4"/>
  <c r="B1042" i="4"/>
  <c r="B1010" i="4"/>
  <c r="B994" i="4"/>
  <c r="B978" i="4"/>
  <c r="B962" i="4"/>
  <c r="B946" i="4"/>
  <c r="B930" i="4"/>
  <c r="B914" i="4"/>
  <c r="B898" i="4"/>
  <c r="B882" i="4"/>
  <c r="B866" i="4"/>
  <c r="B850" i="4"/>
  <c r="B834" i="4"/>
  <c r="B818" i="4"/>
  <c r="B786" i="4"/>
  <c r="B770" i="4"/>
  <c r="B754" i="4"/>
  <c r="B722" i="4"/>
  <c r="B706" i="4"/>
  <c r="B690" i="4"/>
  <c r="B674" i="4"/>
  <c r="B658" i="4"/>
  <c r="B642" i="4"/>
  <c r="B626" i="4"/>
  <c r="B610" i="4"/>
  <c r="B594" i="4"/>
  <c r="B578" i="4"/>
  <c r="B562" i="4"/>
  <c r="B530" i="4"/>
  <c r="B514" i="4"/>
  <c r="B498" i="4"/>
  <c r="B482" i="4"/>
  <c r="B466" i="4"/>
  <c r="B450" i="4"/>
  <c r="B434" i="4"/>
  <c r="B418" i="4"/>
  <c r="B386" i="4"/>
  <c r="B370" i="4"/>
  <c r="B354" i="4"/>
  <c r="B338" i="4"/>
  <c r="B322" i="4"/>
  <c r="B290" i="4"/>
  <c r="B258" i="4"/>
  <c r="B242" i="4"/>
  <c r="B226" i="4"/>
  <c r="B210" i="4"/>
  <c r="B194" i="4"/>
  <c r="B178" i="4"/>
  <c r="B162" i="4"/>
  <c r="B146" i="4"/>
  <c r="B130" i="4"/>
  <c r="B114" i="4"/>
  <c r="B98" i="4"/>
  <c r="B82" i="4"/>
  <c r="B50" i="4"/>
  <c r="B18" i="4"/>
  <c r="B1617" i="4"/>
  <c r="B1601" i="4"/>
  <c r="B1585" i="4"/>
  <c r="B1569" i="4"/>
  <c r="B1521" i="4"/>
  <c r="B1505" i="4"/>
  <c r="B1473" i="4"/>
  <c r="B1457" i="4"/>
  <c r="B1441" i="4"/>
  <c r="B1409" i="4"/>
  <c r="B1393" i="4"/>
  <c r="B1377" i="4"/>
  <c r="B1361" i="4"/>
  <c r="B1345" i="4"/>
  <c r="B1329" i="4"/>
  <c r="B1313" i="4"/>
  <c r="B1297" i="4"/>
  <c r="B1281" i="4"/>
  <c r="B1265" i="4"/>
  <c r="B1249" i="4"/>
  <c r="B1233" i="4"/>
  <c r="B1201" i="4"/>
  <c r="B1185" i="4"/>
  <c r="B1169" i="4"/>
  <c r="B1137" i="4"/>
  <c r="B1105" i="4"/>
  <c r="B1089" i="4"/>
  <c r="B1073" i="4"/>
  <c r="B1057" i="4"/>
  <c r="B1041" i="4"/>
  <c r="B1025" i="4"/>
  <c r="B993" i="4"/>
  <c r="B977" i="4"/>
  <c r="B961" i="4"/>
  <c r="B945" i="4"/>
  <c r="B929" i="4"/>
  <c r="B913" i="4"/>
  <c r="B881" i="4"/>
  <c r="B865" i="4"/>
  <c r="B849" i="4"/>
  <c r="B833" i="4"/>
  <c r="B817" i="4"/>
  <c r="B801" i="4"/>
  <c r="B785" i="4"/>
  <c r="B769" i="4"/>
  <c r="B753" i="4"/>
  <c r="B737" i="4"/>
  <c r="B721" i="4"/>
  <c r="B705" i="4"/>
  <c r="B689" i="4"/>
  <c r="B673" i="4"/>
  <c r="B657" i="4"/>
  <c r="B641" i="4"/>
  <c r="B593" i="4"/>
  <c r="B577" i="4"/>
  <c r="B561" i="4"/>
  <c r="B545" i="4"/>
  <c r="B529" i="4"/>
  <c r="B513" i="4"/>
  <c r="B497" i="4"/>
  <c r="B481" i="4"/>
  <c r="B465" i="4"/>
  <c r="B433" i="4"/>
  <c r="B417" i="4"/>
  <c r="B401" i="4"/>
  <c r="B385" i="4"/>
  <c r="B369" i="4"/>
  <c r="B353" i="4"/>
  <c r="B321" i="4"/>
  <c r="B305" i="4"/>
  <c r="B289" i="4"/>
  <c r="B257" i="4"/>
  <c r="B241" i="4"/>
  <c r="B209" i="4"/>
  <c r="B177" i="4"/>
  <c r="B161" i="4"/>
  <c r="B145" i="4"/>
  <c r="B129" i="4"/>
  <c r="B113" i="4"/>
  <c r="B81" i="4"/>
  <c r="B49" i="4"/>
  <c r="B33" i="4"/>
  <c r="B17" i="4"/>
  <c r="B1616" i="4"/>
  <c r="B1600" i="4"/>
  <c r="B1536" i="4"/>
  <c r="B1504" i="4"/>
  <c r="B1488" i="4"/>
  <c r="B1472" i="4"/>
  <c r="B1456" i="4"/>
  <c r="B1440" i="4"/>
  <c r="B1424" i="4"/>
  <c r="B1408" i="4"/>
  <c r="B1392" i="4"/>
  <c r="B1376" i="4"/>
  <c r="B1360" i="4"/>
  <c r="B1328" i="4"/>
  <c r="B1312" i="4"/>
  <c r="B1280" i="4"/>
  <c r="B1264" i="4"/>
  <c r="B1248" i="4"/>
  <c r="B1232" i="4"/>
  <c r="B1200" i="4"/>
  <c r="B1184" i="4"/>
  <c r="B1136" i="4"/>
  <c r="B1120" i="4"/>
  <c r="B1104" i="4"/>
  <c r="B1072" i="4"/>
  <c r="B1056" i="4"/>
  <c r="B1008" i="4"/>
  <c r="B992" i="4"/>
  <c r="B960" i="4"/>
  <c r="B928" i="4"/>
  <c r="B912" i="4"/>
  <c r="B880" i="4"/>
  <c r="B864" i="4"/>
  <c r="B848" i="4"/>
  <c r="B832" i="4"/>
  <c r="B816" i="4"/>
  <c r="B800" i="4"/>
  <c r="B768" i="4"/>
  <c r="B752" i="4"/>
  <c r="B736" i="4"/>
  <c r="B720" i="4"/>
  <c r="B688" i="4"/>
  <c r="B672" i="4"/>
  <c r="B656" i="4"/>
  <c r="B640" i="4"/>
  <c r="B576" i="4"/>
  <c r="B560" i="4"/>
  <c r="B528" i="4"/>
  <c r="B512" i="4"/>
  <c r="B464" i="4"/>
  <c r="B432" i="4"/>
  <c r="B416" i="4"/>
  <c r="B400" i="4"/>
  <c r="B352" i="4"/>
  <c r="B320" i="4"/>
  <c r="B304" i="4"/>
  <c r="B256" i="4"/>
  <c r="B240" i="4"/>
  <c r="B208" i="4"/>
  <c r="B176" i="4"/>
  <c r="B160" i="4"/>
  <c r="B112" i="4"/>
  <c r="B96" i="4"/>
  <c r="B1551" i="4"/>
  <c r="B1535" i="4"/>
  <c r="B1519" i="4"/>
  <c r="B1503" i="4"/>
  <c r="B1487" i="4"/>
  <c r="B1471" i="4"/>
  <c r="B1455" i="4"/>
  <c r="B1439" i="4"/>
  <c r="B1423" i="4"/>
  <c r="B1407" i="4"/>
  <c r="B1391" i="4"/>
  <c r="B1375" i="4"/>
  <c r="B1359" i="4"/>
  <c r="B1343" i="4"/>
  <c r="B1311" i="4"/>
  <c r="B1295" i="4"/>
  <c r="B1279" i="4"/>
  <c r="B1263" i="4"/>
  <c r="B1247" i="4"/>
  <c r="B1231" i="4"/>
  <c r="B1215" i="4"/>
  <c r="B1199" i="4"/>
  <c r="B1183" i="4"/>
  <c r="B1167" i="4"/>
  <c r="B1151" i="4"/>
  <c r="B1135" i="4"/>
  <c r="B1119" i="4"/>
  <c r="B1103" i="4"/>
  <c r="B1087" i="4"/>
  <c r="B1071" i="4"/>
  <c r="B1055" i="4"/>
  <c r="B1023" i="4"/>
  <c r="B991" i="4"/>
  <c r="B975" i="4"/>
  <c r="B959" i="4"/>
  <c r="B943" i="4"/>
  <c r="B927" i="4"/>
  <c r="B911" i="4"/>
  <c r="B879" i="4"/>
  <c r="B863" i="4"/>
  <c r="B831" i="4"/>
  <c r="B815" i="4"/>
  <c r="B799" i="4"/>
  <c r="B783" i="4"/>
  <c r="B767" i="4"/>
  <c r="B751" i="4"/>
  <c r="B735" i="4"/>
  <c r="B719" i="4"/>
  <c r="B703" i="4"/>
  <c r="B687" i="4"/>
  <c r="B671" i="4"/>
  <c r="B655" i="4"/>
  <c r="B639" i="4"/>
  <c r="B623" i="4"/>
  <c r="B607" i="4"/>
  <c r="B591" i="4"/>
  <c r="B575" i="4"/>
  <c r="B559" i="4"/>
  <c r="B543" i="4"/>
  <c r="B527" i="4"/>
  <c r="B511" i="4"/>
  <c r="B495" i="4"/>
  <c r="B479" i="4"/>
  <c r="B463" i="4"/>
  <c r="B447" i="4"/>
  <c r="B431" i="4"/>
  <c r="B415" i="4"/>
  <c r="B399" i="4"/>
  <c r="B367" i="4"/>
  <c r="B351" i="4"/>
  <c r="B335" i="4"/>
  <c r="B319" i="4"/>
  <c r="B287" i="4"/>
  <c r="B271" i="4"/>
  <c r="B255" i="4"/>
  <c r="B239" i="4"/>
  <c r="B223" i="4"/>
  <c r="B191" i="4"/>
  <c r="B175" i="4"/>
  <c r="B159" i="4"/>
  <c r="B143" i="4"/>
  <c r="B111" i="4"/>
  <c r="B95" i="4"/>
  <c r="B79" i="4"/>
  <c r="B63" i="4"/>
  <c r="B47" i="4"/>
  <c r="B31" i="4"/>
  <c r="B15" i="4"/>
  <c r="B1422" i="4"/>
  <c r="B1374" i="4"/>
  <c r="B1358" i="4"/>
  <c r="B1342" i="4"/>
  <c r="B1310" i="4"/>
  <c r="B1294" i="4"/>
  <c r="B1278" i="4"/>
  <c r="B1262" i="4"/>
  <c r="B1246" i="4"/>
  <c r="B1230" i="4"/>
  <c r="B1214" i="4"/>
  <c r="B1198" i="4"/>
  <c r="B1182" i="4"/>
  <c r="B1166" i="4"/>
  <c r="B1150" i="4"/>
  <c r="B1134" i="4"/>
  <c r="B1118" i="4"/>
  <c r="B1102" i="4"/>
  <c r="B1086" i="4"/>
  <c r="B1070" i="4"/>
  <c r="B1054" i="4"/>
  <c r="B1038" i="4"/>
  <c r="B1022" i="4"/>
  <c r="B1006" i="4"/>
  <c r="B990" i="4"/>
  <c r="B974" i="4"/>
  <c r="B958" i="4"/>
  <c r="B942" i="4"/>
  <c r="B926" i="4"/>
  <c r="B910" i="4"/>
  <c r="B894" i="4"/>
  <c r="B878" i="4"/>
  <c r="B862" i="4"/>
  <c r="B830" i="4"/>
  <c r="B798" i="4"/>
  <c r="B766" i="4"/>
  <c r="B750" i="4"/>
  <c r="B734" i="4"/>
  <c r="B718" i="4"/>
  <c r="B702" i="4"/>
  <c r="B686" i="4"/>
  <c r="B670" i="4"/>
  <c r="B654" i="4"/>
  <c r="B638" i="4"/>
  <c r="B622" i="4"/>
  <c r="B606" i="4"/>
  <c r="B590" i="4"/>
  <c r="B574" i="4"/>
  <c r="B558" i="4"/>
  <c r="B542" i="4"/>
  <c r="B510" i="4"/>
  <c r="B494" i="4"/>
  <c r="B462" i="4"/>
  <c r="B446" i="4"/>
  <c r="B430" i="4"/>
  <c r="B414" i="4"/>
  <c r="B382" i="4"/>
  <c r="B366" i="4"/>
  <c r="B350" i="4"/>
  <c r="B334" i="4"/>
  <c r="B318" i="4"/>
  <c r="B302" i="4"/>
  <c r="B286" i="4"/>
  <c r="B270" i="4"/>
  <c r="B254" i="4"/>
  <c r="B238" i="4"/>
  <c r="B222" i="4"/>
  <c r="B206" i="4"/>
  <c r="B174" i="4"/>
  <c r="B158" i="4"/>
  <c r="B142" i="4"/>
  <c r="B110" i="4"/>
  <c r="B94" i="4"/>
  <c r="B62" i="4"/>
  <c r="B46" i="4"/>
  <c r="B30" i="4"/>
  <c r="B14" i="4"/>
  <c r="B1389" i="4"/>
  <c r="B1373" i="4"/>
  <c r="B1357" i="4"/>
  <c r="B1341" i="4"/>
  <c r="B1325" i="4"/>
  <c r="B1309" i="4"/>
  <c r="B1293" i="4"/>
  <c r="B1277" i="4"/>
  <c r="B1261" i="4"/>
  <c r="B1245" i="4"/>
  <c r="B1229" i="4"/>
  <c r="B1213" i="4"/>
  <c r="B1197" i="4"/>
  <c r="B1181" i="4"/>
  <c r="B1165" i="4"/>
  <c r="B1149" i="4"/>
  <c r="B1133" i="4"/>
  <c r="B1117" i="4"/>
  <c r="B1085" i="4"/>
  <c r="B1069" i="4"/>
  <c r="B1053" i="4"/>
  <c r="B1037" i="4"/>
  <c r="B1021" i="4"/>
  <c r="B1005" i="4"/>
  <c r="B989" i="4"/>
  <c r="B973" i="4"/>
  <c r="B957" i="4"/>
  <c r="B941" i="4"/>
  <c r="B925" i="4"/>
  <c r="B909" i="4"/>
  <c r="B893" i="4"/>
  <c r="B877" i="4"/>
  <c r="B861" i="4"/>
  <c r="B845" i="4"/>
  <c r="B829" i="4"/>
  <c r="B813" i="4"/>
  <c r="B797" i="4"/>
  <c r="B781" i="4"/>
  <c r="B749" i="4"/>
  <c r="B733" i="4"/>
  <c r="B701" i="4"/>
  <c r="B685" i="4"/>
  <c r="B669" i="4"/>
  <c r="B653" i="4"/>
  <c r="B637" i="4"/>
  <c r="B605" i="4"/>
  <c r="B589" i="4"/>
  <c r="B573" i="4"/>
  <c r="B557" i="4"/>
  <c r="B541" i="4"/>
  <c r="B525" i="4"/>
  <c r="B509" i="4"/>
  <c r="B493" i="4"/>
  <c r="B477" i="4"/>
  <c r="B445" i="4"/>
  <c r="B413" i="4"/>
  <c r="B365" i="4"/>
  <c r="B349" i="4"/>
  <c r="B333" i="4"/>
  <c r="B317" i="4"/>
  <c r="B301" i="4"/>
  <c r="B285" i="4"/>
  <c r="B269" i="4"/>
  <c r="B253" i="4"/>
  <c r="B237" i="4"/>
  <c r="B221" i="4"/>
  <c r="B173" i="4"/>
  <c r="B157" i="4"/>
  <c r="B141" i="4"/>
  <c r="B125" i="4"/>
  <c r="B109" i="4"/>
  <c r="B93" i="4"/>
  <c r="B77" i="4"/>
  <c r="B61" i="4"/>
  <c r="B45" i="4"/>
  <c r="B29" i="4"/>
  <c r="B13" i="4"/>
  <c r="B604" i="4"/>
  <c r="B588" i="4"/>
  <c r="B572" i="4"/>
  <c r="B556" i="4"/>
  <c r="B540" i="4"/>
  <c r="B524" i="4"/>
  <c r="B476" i="4"/>
  <c r="B444" i="4"/>
  <c r="B412" i="4"/>
  <c r="B332" i="4"/>
  <c r="B316" i="4"/>
  <c r="B300" i="4"/>
  <c r="B284" i="4"/>
  <c r="B268" i="4"/>
  <c r="B204" i="4"/>
  <c r="B188" i="4"/>
  <c r="B172" i="4"/>
  <c r="B156" i="4"/>
  <c r="B140" i="4"/>
  <c r="B60" i="4"/>
  <c r="B44" i="4"/>
  <c r="B28" i="4"/>
  <c r="B12" i="4"/>
  <c r="B234" i="4"/>
  <c r="B218" i="4"/>
  <c r="B202" i="4"/>
  <c r="B186" i="4"/>
  <c r="B170" i="4"/>
  <c r="B154" i="4"/>
  <c r="B138" i="4"/>
  <c r="B122" i="4"/>
  <c r="B106" i="4"/>
  <c r="B90" i="4"/>
  <c r="B74" i="4"/>
  <c r="B58" i="4"/>
  <c r="B42" i="4"/>
  <c r="B26" i="4"/>
  <c r="B10" i="4"/>
  <c r="B1609" i="4"/>
  <c r="B1593" i="4"/>
  <c r="B1577" i="4"/>
  <c r="B1561" i="4"/>
  <c r="B1529" i="4"/>
  <c r="B1497" i="4"/>
  <c r="B1481" i="4"/>
  <c r="B1465" i="4"/>
  <c r="B1449" i="4"/>
  <c r="B1433" i="4"/>
  <c r="B1401" i="4"/>
  <c r="B1369" i="4"/>
  <c r="B1353" i="4"/>
  <c r="B1337" i="4"/>
  <c r="B1321" i="4"/>
  <c r="B1305" i="4"/>
  <c r="B1273" i="4"/>
  <c r="B1257" i="4"/>
  <c r="B1225" i="4"/>
  <c r="B1065" i="4"/>
  <c r="B873" i="4"/>
  <c r="B809" i="4"/>
  <c r="B793" i="4"/>
  <c r="B633" i="4"/>
  <c r="B409" i="4"/>
  <c r="B185" i="4"/>
  <c r="G5" i="2"/>
  <c r="N2" i="15" l="1" a="1"/>
  <c r="N2" i="15" s="1"/>
  <c r="J2" i="13" a="1"/>
  <c r="J2" i="13" s="1"/>
  <c r="M2" i="15" a="1"/>
  <c r="M2" i="15" s="1"/>
  <c r="K2" i="10" a="1"/>
  <c r="K2" i="10" s="1"/>
  <c r="L2" i="15" a="1"/>
  <c r="L2" i="15" s="1"/>
  <c r="N2" i="12" a="1"/>
  <c r="N2" i="12" s="1"/>
  <c r="J2" i="10" a="1"/>
  <c r="J2" i="10" s="1"/>
  <c r="K2" i="15" a="1"/>
  <c r="K2" i="15" s="1"/>
  <c r="M2" i="12" a="1"/>
  <c r="M2" i="12" s="1"/>
  <c r="J2" i="15" a="1"/>
  <c r="J2" i="15" s="1"/>
  <c r="L2" i="12" a="1"/>
  <c r="L2" i="12" s="1"/>
  <c r="N2" i="9" a="1"/>
  <c r="N2" i="9" s="1"/>
  <c r="K2" i="12" a="1"/>
  <c r="K2" i="12" s="1"/>
  <c r="N2" i="14" a="1"/>
  <c r="N2" i="14" s="1"/>
  <c r="J2" i="12" a="1"/>
  <c r="J2" i="12" s="1"/>
  <c r="L2" i="9" a="1"/>
  <c r="L2" i="9" s="1"/>
  <c r="M2" i="14" a="1"/>
  <c r="M2" i="14" s="1"/>
  <c r="K2" i="9" a="1"/>
  <c r="K2" i="9" s="1"/>
  <c r="L2" i="14" a="1"/>
  <c r="L2" i="14" s="1"/>
  <c r="N2" i="11" a="1"/>
  <c r="N2" i="11" s="1"/>
  <c r="J2" i="9" a="1"/>
  <c r="J2" i="9" s="1"/>
  <c r="K2" i="14" a="1"/>
  <c r="K2" i="14" s="1"/>
  <c r="M2" i="11" a="1"/>
  <c r="M2" i="11" s="1"/>
  <c r="J2" i="14" a="1"/>
  <c r="J2" i="14" s="1"/>
  <c r="L2" i="11" a="1"/>
  <c r="L2" i="11" s="1"/>
  <c r="J2" i="5" a="1"/>
  <c r="J2" i="5" s="1"/>
  <c r="L2" i="13" a="1"/>
  <c r="L2" i="13" s="1"/>
  <c r="N2" i="10" a="1"/>
  <c r="N2" i="10" s="1"/>
  <c r="K2" i="13" a="1"/>
  <c r="K2" i="13" s="1"/>
  <c r="M2" i="13" a="1"/>
  <c r="M2" i="13" s="1"/>
  <c r="K2" i="11" a="1"/>
  <c r="K2" i="11" s="1"/>
  <c r="J2" i="11" a="1"/>
  <c r="J2" i="11" s="1"/>
  <c r="M2" i="10" a="1"/>
  <c r="M2" i="10" s="1"/>
  <c r="L2" i="10" a="1"/>
  <c r="L2" i="10" s="1"/>
  <c r="M2" i="9" a="1"/>
  <c r="M2" i="9" s="1"/>
  <c r="N2" i="13" a="1"/>
  <c r="N2" i="13" s="1"/>
  <c r="L2" i="5" a="1"/>
  <c r="L2" i="5" s="1"/>
  <c r="L2" i="6" a="1"/>
  <c r="L2" i="6" s="1"/>
  <c r="N2" i="5" a="1"/>
  <c r="N2" i="5" s="1"/>
  <c r="L2" i="8" a="1"/>
  <c r="L2" i="8" s="1"/>
  <c r="M2" i="8" a="1"/>
  <c r="M2" i="8" s="1"/>
  <c r="L2" i="2" a="1"/>
  <c r="L2" i="2" s="1"/>
  <c r="N2" i="8" a="1"/>
  <c r="N2" i="8" s="1"/>
  <c r="K2" i="2" a="1"/>
  <c r="K2" i="2" s="1"/>
  <c r="J2" i="6" a="1"/>
  <c r="J2" i="6" s="1"/>
  <c r="J2" i="2" a="1"/>
  <c r="J2" i="2" s="1"/>
  <c r="M2" i="2" a="1"/>
  <c r="M2" i="2" s="1"/>
  <c r="N2" i="2" a="1"/>
  <c r="N2" i="2" s="1"/>
  <c r="N2" i="6" a="1"/>
  <c r="N2" i="6" s="1"/>
  <c r="M2" i="6" a="1"/>
  <c r="M2" i="6" s="1"/>
  <c r="K2" i="6" a="1"/>
  <c r="K2" i="6" s="1"/>
  <c r="M2" i="5" a="1"/>
  <c r="M2" i="5" s="1"/>
  <c r="J2" i="8" a="1"/>
  <c r="J2" i="8" s="1"/>
  <c r="K2" i="5" a="1"/>
  <c r="K2" i="5" s="1"/>
  <c r="K2" i="8" a="1"/>
  <c r="K2" i="8" s="1"/>
  <c r="C21" i="9" l="1"/>
  <c r="C13" i="9"/>
  <c r="C19" i="9"/>
  <c r="C20" i="9"/>
  <c r="C22" i="9"/>
  <c r="C16" i="9"/>
  <c r="C18" i="9"/>
  <c r="C12" i="9"/>
  <c r="C15" i="9"/>
  <c r="C14" i="9"/>
  <c r="C10" i="9"/>
  <c r="C17" i="9"/>
  <c r="C11" i="9"/>
  <c r="B20" i="6"/>
  <c r="B19" i="6"/>
  <c r="B22" i="6"/>
  <c r="B21" i="6"/>
  <c r="B12" i="11"/>
  <c r="B13" i="11"/>
  <c r="B19" i="11"/>
  <c r="B17" i="11"/>
  <c r="B15" i="11"/>
  <c r="B11" i="11"/>
  <c r="B10" i="11"/>
  <c r="B22" i="11"/>
  <c r="B14" i="11"/>
  <c r="B21" i="11"/>
  <c r="B18" i="11"/>
  <c r="B20" i="11"/>
  <c r="B16" i="11"/>
  <c r="D22" i="5"/>
  <c r="D20" i="5"/>
  <c r="D21" i="5"/>
  <c r="D19" i="5"/>
  <c r="D21" i="6"/>
  <c r="D20" i="6"/>
  <c r="D22" i="6"/>
  <c r="D19" i="6"/>
  <c r="E13" i="9"/>
  <c r="E19" i="9"/>
  <c r="E15" i="9"/>
  <c r="E11" i="9"/>
  <c r="E21" i="9"/>
  <c r="E20" i="9"/>
  <c r="E22" i="9"/>
  <c r="E18" i="9"/>
  <c r="E14" i="9"/>
  <c r="E10" i="9"/>
  <c r="E17" i="9"/>
  <c r="E16" i="9"/>
  <c r="E12" i="9"/>
  <c r="C20" i="13"/>
  <c r="C16" i="13"/>
  <c r="C12" i="13"/>
  <c r="C22" i="13"/>
  <c r="C18" i="13"/>
  <c r="C19" i="13"/>
  <c r="C21" i="13"/>
  <c r="C15" i="13"/>
  <c r="C11" i="13"/>
  <c r="C14" i="13"/>
  <c r="C10" i="13"/>
  <c r="C17" i="13"/>
  <c r="C13" i="13"/>
  <c r="C22" i="12"/>
  <c r="C18" i="12"/>
  <c r="C14" i="12"/>
  <c r="C10" i="12"/>
  <c r="C21" i="12"/>
  <c r="C17" i="12"/>
  <c r="C13" i="12"/>
  <c r="C20" i="12"/>
  <c r="C16" i="12"/>
  <c r="C12" i="12"/>
  <c r="C15" i="12"/>
  <c r="C11" i="12"/>
  <c r="C19" i="12"/>
  <c r="B21" i="5"/>
  <c r="B20" i="5"/>
  <c r="B22" i="5"/>
  <c r="B19" i="5"/>
  <c r="B10" i="13"/>
  <c r="B21" i="13"/>
  <c r="B17" i="13"/>
  <c r="B13" i="13"/>
  <c r="B16" i="13"/>
  <c r="B20" i="13"/>
  <c r="B11" i="13"/>
  <c r="B15" i="13"/>
  <c r="B22" i="13"/>
  <c r="B12" i="13"/>
  <c r="B19" i="13"/>
  <c r="B18" i="13"/>
  <c r="B14" i="13"/>
  <c r="D22" i="2"/>
  <c r="D19" i="2"/>
  <c r="D21" i="2"/>
  <c r="D20" i="2"/>
  <c r="E17" i="10"/>
  <c r="E13" i="10"/>
  <c r="E20" i="10"/>
  <c r="E16" i="10"/>
  <c r="E12" i="10"/>
  <c r="E14" i="10"/>
  <c r="E11" i="10"/>
  <c r="E18" i="10"/>
  <c r="E22" i="10"/>
  <c r="E19" i="10"/>
  <c r="E15" i="10"/>
  <c r="E10" i="10"/>
  <c r="E21" i="10"/>
  <c r="C19" i="11"/>
  <c r="C15" i="11"/>
  <c r="C12" i="11"/>
  <c r="C11" i="11"/>
  <c r="C18" i="11"/>
  <c r="C14" i="11"/>
  <c r="C17" i="11"/>
  <c r="C10" i="11"/>
  <c r="C22" i="11"/>
  <c r="C21" i="11"/>
  <c r="C16" i="11"/>
  <c r="C13" i="11"/>
  <c r="C20" i="11"/>
  <c r="D14" i="12"/>
  <c r="D10" i="12"/>
  <c r="D20" i="12"/>
  <c r="D16" i="12"/>
  <c r="D12" i="12"/>
  <c r="D15" i="12"/>
  <c r="D21" i="12"/>
  <c r="D17" i="12"/>
  <c r="D19" i="12"/>
  <c r="D13" i="12"/>
  <c r="D22" i="12"/>
  <c r="D11" i="12"/>
  <c r="D18" i="12"/>
  <c r="E19" i="2"/>
  <c r="E22" i="2"/>
  <c r="E20" i="2"/>
  <c r="E21" i="2"/>
  <c r="B21" i="2"/>
  <c r="B20" i="2"/>
  <c r="B19" i="2"/>
  <c r="B22" i="2"/>
  <c r="B12" i="15"/>
  <c r="B13" i="15"/>
  <c r="B10" i="15"/>
  <c r="B19" i="15"/>
  <c r="B15" i="15"/>
  <c r="B21" i="15"/>
  <c r="B11" i="15"/>
  <c r="B22" i="15"/>
  <c r="B18" i="15"/>
  <c r="B14" i="15"/>
  <c r="B20" i="15"/>
  <c r="B16" i="15"/>
  <c r="B17" i="15"/>
  <c r="E21" i="6"/>
  <c r="E20" i="6"/>
  <c r="E19" i="6"/>
  <c r="E22" i="6"/>
  <c r="D11" i="11"/>
  <c r="D22" i="11"/>
  <c r="D18" i="11"/>
  <c r="D14" i="11"/>
  <c r="D10" i="11"/>
  <c r="D12" i="11"/>
  <c r="D21" i="11"/>
  <c r="D17" i="11"/>
  <c r="D13" i="11"/>
  <c r="D20" i="11"/>
  <c r="D16" i="11"/>
  <c r="D19" i="11"/>
  <c r="D15" i="11"/>
  <c r="B19" i="12"/>
  <c r="B15" i="12"/>
  <c r="B11" i="12"/>
  <c r="B16" i="12"/>
  <c r="B22" i="12"/>
  <c r="B18" i="12"/>
  <c r="B14" i="12"/>
  <c r="B10" i="12"/>
  <c r="B20" i="12"/>
  <c r="B21" i="12"/>
  <c r="B17" i="12"/>
  <c r="B13" i="12"/>
  <c r="B12" i="12"/>
  <c r="C19" i="2"/>
  <c r="C21" i="2"/>
  <c r="C20" i="2"/>
  <c r="C22" i="2"/>
  <c r="B17" i="14"/>
  <c r="B13" i="14"/>
  <c r="B22" i="14"/>
  <c r="B20" i="14"/>
  <c r="B12" i="14"/>
  <c r="B16" i="14"/>
  <c r="B18" i="14"/>
  <c r="B15" i="14"/>
  <c r="B11" i="14"/>
  <c r="B19" i="14"/>
  <c r="B14" i="14"/>
  <c r="B10" i="14"/>
  <c r="B21" i="14"/>
  <c r="E17" i="12"/>
  <c r="E13" i="12"/>
  <c r="E16" i="12"/>
  <c r="E12" i="12"/>
  <c r="E22" i="12"/>
  <c r="E14" i="12"/>
  <c r="E11" i="12"/>
  <c r="E18" i="12"/>
  <c r="E19" i="12"/>
  <c r="E15" i="12"/>
  <c r="E20" i="12"/>
  <c r="E10" i="12"/>
  <c r="E21" i="12"/>
  <c r="E15" i="14"/>
  <c r="E12" i="14"/>
  <c r="E22" i="14"/>
  <c r="E18" i="14"/>
  <c r="E14" i="14"/>
  <c r="E10" i="14"/>
  <c r="E16" i="14"/>
  <c r="E21" i="14"/>
  <c r="E17" i="14"/>
  <c r="E13" i="14"/>
  <c r="E20" i="14"/>
  <c r="E19" i="14"/>
  <c r="E11" i="14"/>
  <c r="E20" i="8"/>
  <c r="E22" i="8"/>
  <c r="E21" i="8"/>
  <c r="E19" i="8"/>
  <c r="D21" i="8"/>
  <c r="D20" i="8"/>
  <c r="D22" i="8"/>
  <c r="D19" i="8"/>
  <c r="C19" i="15"/>
  <c r="C15" i="15"/>
  <c r="C16" i="15"/>
  <c r="C11" i="15"/>
  <c r="C22" i="15"/>
  <c r="C13" i="15"/>
  <c r="C18" i="15"/>
  <c r="C14" i="15"/>
  <c r="C20" i="15"/>
  <c r="C10" i="15"/>
  <c r="C21" i="15"/>
  <c r="C17" i="15"/>
  <c r="C12" i="15"/>
  <c r="D19" i="13"/>
  <c r="D21" i="13"/>
  <c r="D17" i="13"/>
  <c r="D15" i="13"/>
  <c r="D11" i="13"/>
  <c r="D22" i="13"/>
  <c r="D18" i="13"/>
  <c r="D10" i="13"/>
  <c r="D13" i="13"/>
  <c r="D20" i="13"/>
  <c r="D14" i="13"/>
  <c r="D16" i="13"/>
  <c r="D12" i="13"/>
  <c r="C18" i="8"/>
  <c r="C19" i="8"/>
  <c r="C22" i="8"/>
  <c r="C21" i="8"/>
  <c r="C20" i="8"/>
  <c r="E18" i="13"/>
  <c r="E14" i="13"/>
  <c r="E19" i="13"/>
  <c r="E15" i="13"/>
  <c r="E10" i="13"/>
  <c r="E21" i="13"/>
  <c r="E17" i="13"/>
  <c r="E13" i="13"/>
  <c r="E20" i="13"/>
  <c r="E16" i="13"/>
  <c r="E12" i="13"/>
  <c r="E11" i="13"/>
  <c r="E22" i="13"/>
  <c r="E14" i="11"/>
  <c r="E15" i="11"/>
  <c r="E21" i="11"/>
  <c r="E17" i="11"/>
  <c r="E13" i="11"/>
  <c r="E20" i="11"/>
  <c r="E16" i="11"/>
  <c r="E12" i="11"/>
  <c r="E19" i="11"/>
  <c r="E11" i="11"/>
  <c r="E22" i="11"/>
  <c r="E18" i="11"/>
  <c r="E10" i="11"/>
  <c r="B16" i="10"/>
  <c r="B12" i="10"/>
  <c r="B10" i="10"/>
  <c r="B21" i="10"/>
  <c r="B17" i="10"/>
  <c r="B18" i="10"/>
  <c r="B19" i="10"/>
  <c r="B15" i="10"/>
  <c r="B14" i="10"/>
  <c r="B11" i="10"/>
  <c r="B22" i="10"/>
  <c r="B13" i="10"/>
  <c r="B20" i="10"/>
  <c r="B20" i="8"/>
  <c r="B19" i="8"/>
  <c r="B22" i="8"/>
  <c r="B21" i="8"/>
  <c r="E12" i="5"/>
  <c r="E19" i="5"/>
  <c r="E21" i="5"/>
  <c r="E22" i="5"/>
  <c r="E20" i="5"/>
  <c r="D20" i="9"/>
  <c r="D16" i="9"/>
  <c r="D12" i="9"/>
  <c r="D21" i="9"/>
  <c r="D10" i="9"/>
  <c r="D19" i="9"/>
  <c r="D22" i="9"/>
  <c r="D15" i="9"/>
  <c r="D11" i="9"/>
  <c r="D18" i="9"/>
  <c r="D14" i="9"/>
  <c r="D17" i="9"/>
  <c r="D13" i="9"/>
  <c r="C16" i="14"/>
  <c r="C12" i="14"/>
  <c r="C17" i="14"/>
  <c r="C19" i="14"/>
  <c r="C15" i="14"/>
  <c r="C11" i="14"/>
  <c r="C10" i="14"/>
  <c r="C22" i="14"/>
  <c r="C14" i="14"/>
  <c r="C21" i="14"/>
  <c r="C18" i="14"/>
  <c r="C13" i="14"/>
  <c r="C20" i="14"/>
  <c r="D11" i="15"/>
  <c r="D18" i="15"/>
  <c r="D16" i="15"/>
  <c r="D14" i="15"/>
  <c r="D10" i="15"/>
  <c r="D20" i="15"/>
  <c r="D21" i="15"/>
  <c r="D17" i="15"/>
  <c r="D13" i="15"/>
  <c r="D12" i="15"/>
  <c r="D19" i="15"/>
  <c r="D15" i="15"/>
  <c r="D22" i="15"/>
  <c r="C18" i="6"/>
  <c r="C21" i="6"/>
  <c r="C20" i="6"/>
  <c r="C22" i="6"/>
  <c r="C19" i="6"/>
  <c r="C19" i="10"/>
  <c r="C17" i="10"/>
  <c r="C15" i="10"/>
  <c r="C11" i="10"/>
  <c r="C22" i="10"/>
  <c r="C13" i="10"/>
  <c r="C18" i="10"/>
  <c r="C21" i="10"/>
  <c r="C14" i="10"/>
  <c r="C10" i="10"/>
  <c r="C20" i="10"/>
  <c r="C12" i="10"/>
  <c r="C16" i="10"/>
  <c r="B18" i="9"/>
  <c r="B14" i="9"/>
  <c r="B10" i="9"/>
  <c r="B21" i="9"/>
  <c r="B17" i="9"/>
  <c r="B13" i="9"/>
  <c r="B19" i="9"/>
  <c r="B20" i="9"/>
  <c r="B16" i="9"/>
  <c r="B12" i="9"/>
  <c r="B15" i="9"/>
  <c r="B11" i="9"/>
  <c r="B22" i="9"/>
  <c r="C20" i="5"/>
  <c r="C22" i="5"/>
  <c r="C21" i="5"/>
  <c r="C19" i="5"/>
  <c r="D15" i="10"/>
  <c r="D11" i="10"/>
  <c r="D22" i="10"/>
  <c r="D18" i="10"/>
  <c r="D20" i="10"/>
  <c r="D16" i="10"/>
  <c r="D14" i="10"/>
  <c r="D10" i="10"/>
  <c r="D21" i="10"/>
  <c r="D17" i="10"/>
  <c r="D13" i="10"/>
  <c r="D12" i="10"/>
  <c r="D19" i="10"/>
  <c r="D20" i="14"/>
  <c r="D19" i="14"/>
  <c r="D15" i="14"/>
  <c r="D16" i="14"/>
  <c r="D11" i="14"/>
  <c r="D22" i="14"/>
  <c r="D13" i="14"/>
  <c r="D18" i="14"/>
  <c r="D21" i="14"/>
  <c r="D17" i="14"/>
  <c r="D14" i="14"/>
  <c r="D10" i="14"/>
  <c r="D12" i="14"/>
  <c r="E14" i="15"/>
  <c r="E10" i="15"/>
  <c r="E21" i="15"/>
  <c r="E17" i="15"/>
  <c r="E13" i="15"/>
  <c r="E12" i="15"/>
  <c r="E11" i="15"/>
  <c r="E16" i="15"/>
  <c r="E20" i="15"/>
  <c r="E15" i="15"/>
  <c r="E19" i="15"/>
  <c r="E22" i="15"/>
  <c r="E18" i="15"/>
  <c r="C16" i="5"/>
  <c r="C17" i="5"/>
  <c r="C12" i="5"/>
  <c r="C11" i="5"/>
  <c r="C13" i="5"/>
  <c r="C15" i="5"/>
  <c r="C18" i="5"/>
  <c r="C14" i="5"/>
  <c r="C10" i="5"/>
  <c r="E18" i="5"/>
  <c r="E16" i="5"/>
  <c r="C11" i="8"/>
  <c r="E13" i="5"/>
  <c r="E14" i="5"/>
  <c r="C12" i="8"/>
  <c r="C15" i="8"/>
  <c r="E11" i="5"/>
  <c r="C13" i="8"/>
  <c r="E17" i="5"/>
  <c r="E15" i="5"/>
  <c r="C16" i="8"/>
  <c r="E10" i="5"/>
  <c r="C17" i="8"/>
  <c r="C10" i="8"/>
  <c r="C14" i="8"/>
  <c r="C17" i="6"/>
  <c r="C16" i="6"/>
  <c r="C13" i="6"/>
  <c r="C12" i="6"/>
  <c r="C10" i="6"/>
  <c r="C14" i="6"/>
  <c r="C11" i="6"/>
  <c r="C15" i="6"/>
  <c r="B18" i="8"/>
  <c r="B14" i="8"/>
  <c r="B10" i="8"/>
  <c r="B17" i="8"/>
  <c r="B13" i="8"/>
  <c r="B11" i="8"/>
  <c r="B16" i="8"/>
  <c r="B15" i="8"/>
  <c r="B12" i="8"/>
  <c r="B15" i="5"/>
  <c r="B13" i="5"/>
  <c r="B14" i="5"/>
  <c r="B18" i="5"/>
  <c r="B11" i="5"/>
  <c r="B10" i="5"/>
  <c r="B16" i="5"/>
  <c r="B12" i="5"/>
  <c r="B17" i="5"/>
  <c r="D12" i="5"/>
  <c r="D18" i="5"/>
  <c r="D14" i="5"/>
  <c r="D10" i="5"/>
  <c r="D13" i="5"/>
  <c r="D15" i="5"/>
  <c r="D11" i="5"/>
  <c r="D17" i="5"/>
  <c r="D16" i="5"/>
  <c r="B15" i="6"/>
  <c r="B11" i="6"/>
  <c r="B16" i="6"/>
  <c r="B14" i="6"/>
  <c r="B13" i="6"/>
  <c r="B12" i="6"/>
  <c r="B10" i="6"/>
  <c r="B18" i="6"/>
  <c r="B17" i="6"/>
  <c r="D15" i="6"/>
  <c r="D11" i="6"/>
  <c r="D17" i="6"/>
  <c r="D13" i="6"/>
  <c r="D16" i="6"/>
  <c r="D14" i="6"/>
  <c r="D18" i="6"/>
  <c r="D12" i="6"/>
  <c r="D10" i="6"/>
  <c r="E17" i="6"/>
  <c r="E16" i="6"/>
  <c r="E13" i="6"/>
  <c r="E12" i="6"/>
  <c r="E11" i="6"/>
  <c r="E10" i="6"/>
  <c r="E18" i="6"/>
  <c r="E14" i="6"/>
  <c r="E15" i="6"/>
  <c r="E13" i="2"/>
  <c r="E12" i="2"/>
  <c r="E10" i="2"/>
  <c r="E17" i="2"/>
  <c r="E16" i="2"/>
  <c r="E15" i="2"/>
  <c r="E11" i="2"/>
  <c r="E14" i="2"/>
  <c r="E18" i="2"/>
  <c r="D18" i="2"/>
  <c r="D12" i="2"/>
  <c r="D15" i="2"/>
  <c r="D11" i="2"/>
  <c r="D14" i="2"/>
  <c r="D10" i="2"/>
  <c r="D16" i="2"/>
  <c r="D13" i="2"/>
  <c r="D17" i="2"/>
  <c r="B17" i="2"/>
  <c r="B16" i="2"/>
  <c r="B13" i="2"/>
  <c r="B15" i="2"/>
  <c r="B18" i="2"/>
  <c r="B11" i="2"/>
  <c r="B14" i="2"/>
  <c r="B10" i="2"/>
  <c r="B12" i="2"/>
  <c r="E18" i="8"/>
  <c r="E14" i="8"/>
  <c r="E17" i="8"/>
  <c r="E10" i="8"/>
  <c r="E13" i="8"/>
  <c r="E16" i="8"/>
  <c r="E11" i="8"/>
  <c r="E12" i="8"/>
  <c r="E15" i="8"/>
  <c r="C13" i="2"/>
  <c r="C12" i="2"/>
  <c r="C18" i="2"/>
  <c r="C14" i="2"/>
  <c r="C17" i="2"/>
  <c r="C11" i="2"/>
  <c r="C15" i="2"/>
  <c r="C10" i="2"/>
  <c r="C16" i="2"/>
  <c r="D18" i="8"/>
  <c r="D14" i="8"/>
  <c r="D10" i="8"/>
  <c r="D12" i="8"/>
  <c r="D13" i="8"/>
  <c r="D17" i="8"/>
  <c r="D16" i="8"/>
  <c r="D11" i="8"/>
  <c r="D15" i="8"/>
  <c r="D23" i="10" l="1"/>
  <c r="E23" i="14"/>
  <c r="E23" i="9"/>
  <c r="C23" i="13"/>
  <c r="D23" i="15"/>
  <c r="B23" i="14"/>
  <c r="D23" i="12"/>
  <c r="B23" i="10"/>
  <c r="C23" i="9"/>
  <c r="B23" i="9"/>
  <c r="C23" i="15"/>
  <c r="E23" i="12"/>
  <c r="E23" i="11"/>
  <c r="B23" i="11"/>
  <c r="E23" i="10"/>
  <c r="B23" i="12"/>
  <c r="D23" i="11"/>
  <c r="C23" i="11"/>
  <c r="E23" i="15"/>
  <c r="C23" i="10"/>
  <c r="D23" i="13"/>
  <c r="B23" i="15"/>
  <c r="C23" i="12"/>
  <c r="D23" i="9"/>
  <c r="E23" i="13"/>
  <c r="C23" i="14"/>
  <c r="B23" i="13"/>
  <c r="D23" i="14"/>
  <c r="D23" i="8"/>
  <c r="B23" i="8"/>
  <c r="E23" i="8"/>
  <c r="C23" i="8"/>
  <c r="D23" i="6"/>
  <c r="C23" i="6"/>
  <c r="E23" i="6"/>
  <c r="B23" i="6"/>
  <c r="E23" i="5"/>
  <c r="B23" i="5"/>
  <c r="C23" i="5"/>
  <c r="D23" i="5"/>
  <c r="C23" i="2"/>
  <c r="D23" i="2"/>
  <c r="E23" i="2"/>
  <c r="B23" i="2"/>
  <c r="D202" i="1" a="1"/>
  <c r="D202" i="1" s="1"/>
  <c r="D203" i="1" a="1"/>
  <c r="D203" i="1" s="1"/>
  <c r="D204" i="1" a="1"/>
  <c r="D204" i="1" s="1"/>
  <c r="D205" i="1" a="1"/>
  <c r="D205" i="1" s="1"/>
  <c r="D206" i="1" a="1"/>
  <c r="D206" i="1" s="1"/>
  <c r="D207" i="1" a="1"/>
  <c r="D207" i="1" s="1"/>
  <c r="D208" i="1" a="1"/>
  <c r="D208" i="1" s="1"/>
  <c r="D209" i="1" a="1"/>
  <c r="D209" i="1" s="1"/>
  <c r="D210" i="1" a="1"/>
  <c r="D210" i="1" s="1"/>
  <c r="D211" i="1" a="1"/>
  <c r="D211" i="1" s="1"/>
  <c r="D212" i="1" a="1"/>
  <c r="D212" i="1" s="1"/>
  <c r="D213" i="1" a="1"/>
  <c r="D213" i="1" s="1"/>
  <c r="D214" i="1" a="1"/>
  <c r="D214" i="1" s="1"/>
  <c r="D215" i="1" a="1"/>
  <c r="D215" i="1" s="1"/>
  <c r="D216" i="1" a="1"/>
  <c r="D216" i="1" s="1"/>
  <c r="D217" i="1" a="1"/>
  <c r="D217" i="1" s="1"/>
  <c r="D218" i="1" a="1"/>
  <c r="D218" i="1" s="1"/>
  <c r="D219" i="1" a="1"/>
  <c r="D219" i="1" s="1"/>
  <c r="D220" i="1" a="1"/>
  <c r="D220" i="1" s="1"/>
  <c r="D221" i="1" a="1"/>
  <c r="D221" i="1" s="1"/>
  <c r="D222" i="1" a="1"/>
  <c r="D222" i="1" s="1"/>
  <c r="D223" i="1" a="1"/>
  <c r="D223" i="1" s="1"/>
  <c r="D224" i="1" a="1"/>
  <c r="D224" i="1" s="1"/>
  <c r="D225" i="1" a="1"/>
  <c r="D225" i="1" s="1"/>
  <c r="D226" i="1" a="1"/>
  <c r="D226" i="1" s="1"/>
  <c r="D227" i="1" a="1"/>
  <c r="D227" i="1" s="1"/>
  <c r="D228" i="1" a="1"/>
  <c r="D228" i="1" s="1"/>
  <c r="D229" i="1" a="1"/>
  <c r="D229" i="1" s="1"/>
  <c r="D230" i="1" a="1"/>
  <c r="D230" i="1" s="1"/>
  <c r="D231" i="1" a="1"/>
  <c r="D231" i="1" s="1"/>
  <c r="D232" i="1" a="1"/>
  <c r="D232" i="1" s="1"/>
  <c r="D233" i="1" a="1"/>
  <c r="D233" i="1" s="1"/>
  <c r="D234" i="1" a="1"/>
  <c r="D234" i="1" s="1"/>
  <c r="D235" i="1" a="1"/>
  <c r="D235" i="1" s="1"/>
  <c r="D236" i="1" a="1"/>
  <c r="D236" i="1" s="1"/>
  <c r="D237" i="1" a="1"/>
  <c r="D237" i="1" s="1"/>
  <c r="D238" i="1" a="1"/>
  <c r="D238" i="1" s="1"/>
  <c r="D239" i="1" a="1"/>
  <c r="D239" i="1" s="1"/>
  <c r="D240" i="1" a="1"/>
  <c r="D240" i="1" s="1"/>
  <c r="D241" i="1" a="1"/>
  <c r="D241" i="1" s="1"/>
  <c r="D242" i="1" a="1"/>
  <c r="D242" i="1" s="1"/>
  <c r="D243" i="1" a="1"/>
  <c r="D243" i="1" s="1"/>
  <c r="D244" i="1" a="1"/>
  <c r="D244" i="1" s="1"/>
  <c r="D245" i="1" a="1"/>
  <c r="D245" i="1" s="1"/>
  <c r="D246" i="1" a="1"/>
  <c r="D246" i="1" s="1"/>
  <c r="D247" i="1" a="1"/>
  <c r="D247" i="1" s="1"/>
  <c r="D248" i="1" a="1"/>
  <c r="D248" i="1" s="1"/>
  <c r="D249" i="1" a="1"/>
  <c r="D249" i="1" s="1"/>
  <c r="D250" i="1" a="1"/>
  <c r="D250" i="1" s="1"/>
  <c r="D251" i="1" a="1"/>
  <c r="D251" i="1" s="1"/>
  <c r="D252" i="1" a="1"/>
  <c r="D252" i="1" s="1"/>
  <c r="D253" i="1" a="1"/>
  <c r="D253" i="1" s="1"/>
  <c r="D254" i="1" a="1"/>
  <c r="D254" i="1" s="1"/>
  <c r="D255" i="1" a="1"/>
  <c r="D255" i="1" s="1"/>
  <c r="D256" i="1" a="1"/>
  <c r="D256" i="1" s="1"/>
  <c r="D257" i="1" a="1"/>
  <c r="D257" i="1" s="1"/>
  <c r="D258" i="1" a="1"/>
  <c r="D258" i="1" s="1"/>
  <c r="D259" i="1" a="1"/>
  <c r="D259" i="1" s="1"/>
  <c r="D260" i="1" a="1"/>
  <c r="D260" i="1" s="1"/>
  <c r="D261" i="1" a="1"/>
  <c r="D261" i="1" s="1"/>
  <c r="D262" i="1" a="1"/>
  <c r="D262" i="1" s="1"/>
  <c r="D263" i="1" a="1"/>
  <c r="D263" i="1" s="1"/>
  <c r="D264" i="1" a="1"/>
  <c r="D264" i="1" s="1"/>
  <c r="D265" i="1" a="1"/>
  <c r="D265" i="1" s="1"/>
  <c r="D266" i="1" a="1"/>
  <c r="D266" i="1" s="1"/>
  <c r="D267" i="1" a="1"/>
  <c r="D267" i="1" s="1"/>
  <c r="D268" i="1" a="1"/>
  <c r="D268" i="1" s="1"/>
  <c r="D269" i="1" a="1"/>
  <c r="D269" i="1" s="1"/>
  <c r="D270" i="1" a="1"/>
  <c r="D270" i="1" s="1"/>
  <c r="D271" i="1" a="1"/>
  <c r="D271" i="1" s="1"/>
  <c r="D272" i="1" a="1"/>
  <c r="D272" i="1" s="1"/>
  <c r="D273" i="1" a="1"/>
  <c r="D273" i="1" s="1"/>
  <c r="D274" i="1" a="1"/>
  <c r="D274" i="1" s="1"/>
  <c r="D275" i="1" a="1"/>
  <c r="D275" i="1" s="1"/>
  <c r="D276" i="1" a="1"/>
  <c r="D276" i="1" s="1"/>
  <c r="D277" i="1" a="1"/>
  <c r="D277" i="1" s="1"/>
  <c r="D278" i="1" a="1"/>
  <c r="D278" i="1" s="1"/>
  <c r="D279" i="1" a="1"/>
  <c r="D279" i="1" s="1"/>
  <c r="D280" i="1" a="1"/>
  <c r="D280" i="1" s="1"/>
  <c r="D281" i="1" a="1"/>
  <c r="D281" i="1" s="1"/>
  <c r="D282" i="1" a="1"/>
  <c r="D282" i="1" s="1"/>
  <c r="D283" i="1" a="1"/>
  <c r="D283" i="1" s="1"/>
  <c r="D284" i="1" a="1"/>
  <c r="D284" i="1" s="1"/>
  <c r="D285" i="1" a="1"/>
  <c r="D285" i="1" s="1"/>
  <c r="D286" i="1" a="1"/>
  <c r="D286" i="1" s="1"/>
  <c r="D287" i="1" a="1"/>
  <c r="D287" i="1" s="1"/>
  <c r="D288" i="1" a="1"/>
  <c r="D288" i="1" s="1"/>
  <c r="D289" i="1" a="1"/>
  <c r="D289" i="1" s="1"/>
  <c r="D290" i="1" a="1"/>
  <c r="D290" i="1" s="1"/>
  <c r="D291" i="1" a="1"/>
  <c r="D291" i="1" s="1"/>
  <c r="D292" i="1" a="1"/>
  <c r="D292" i="1" s="1"/>
  <c r="D293" i="1" a="1"/>
  <c r="D293" i="1" s="1"/>
  <c r="D294" i="1" a="1"/>
  <c r="D294" i="1" s="1"/>
  <c r="D295" i="1" a="1"/>
  <c r="D295" i="1" s="1"/>
  <c r="D296" i="1" a="1"/>
  <c r="D296" i="1" s="1"/>
  <c r="D297" i="1" a="1"/>
  <c r="D297" i="1" s="1"/>
  <c r="D298" i="1" a="1"/>
  <c r="D298" i="1" s="1"/>
  <c r="D299" i="1" a="1"/>
  <c r="D299" i="1" s="1"/>
  <c r="D300" i="1" a="1"/>
  <c r="D300" i="1" s="1"/>
  <c r="D301" i="1" a="1"/>
  <c r="D301" i="1" s="1"/>
  <c r="D302" i="1" a="1"/>
  <c r="D302" i="1" s="1"/>
  <c r="D303" i="1" a="1"/>
  <c r="D303" i="1" s="1"/>
  <c r="D304" i="1" a="1"/>
  <c r="D304" i="1" s="1"/>
  <c r="D305" i="1" a="1"/>
  <c r="D305" i="1" s="1"/>
  <c r="D306" i="1" a="1"/>
  <c r="D306" i="1" s="1"/>
  <c r="D307" i="1" a="1"/>
  <c r="D307" i="1" s="1"/>
  <c r="D308" i="1" a="1"/>
  <c r="D308" i="1" s="1"/>
  <c r="D309" i="1" a="1"/>
  <c r="D309" i="1" s="1"/>
  <c r="D310" i="1" a="1"/>
  <c r="D310" i="1" s="1"/>
  <c r="D311" i="1" a="1"/>
  <c r="D311" i="1" s="1"/>
  <c r="D312" i="1" a="1"/>
  <c r="D312" i="1" s="1"/>
  <c r="D313" i="1" a="1"/>
  <c r="D313" i="1" s="1"/>
  <c r="D314" i="1" a="1"/>
  <c r="D314" i="1" s="1"/>
  <c r="D315" i="1" a="1"/>
  <c r="D315" i="1" s="1"/>
  <c r="D316" i="1" a="1"/>
  <c r="D316" i="1" s="1"/>
  <c r="D317" i="1" a="1"/>
  <c r="D317" i="1" s="1"/>
  <c r="D318" i="1" a="1"/>
  <c r="D318" i="1" s="1"/>
  <c r="D319" i="1" a="1"/>
  <c r="D319" i="1" s="1"/>
  <c r="D320" i="1" a="1"/>
  <c r="D320" i="1" s="1"/>
  <c r="D321" i="1" a="1"/>
  <c r="D321" i="1" s="1"/>
  <c r="D322" i="1" a="1"/>
  <c r="D322" i="1" s="1"/>
  <c r="D323" i="1" a="1"/>
  <c r="D323" i="1" s="1"/>
  <c r="D324" i="1" a="1"/>
  <c r="D324" i="1" s="1"/>
  <c r="D325" i="1" a="1"/>
  <c r="D325" i="1" s="1"/>
  <c r="D326" i="1" a="1"/>
  <c r="D326" i="1" s="1"/>
  <c r="D327" i="1" a="1"/>
  <c r="D327" i="1" s="1"/>
  <c r="D328" i="1" a="1"/>
  <c r="D328" i="1" s="1"/>
  <c r="D329" i="1" a="1"/>
  <c r="D329" i="1" s="1"/>
  <c r="D330" i="1" a="1"/>
  <c r="D330" i="1" s="1"/>
  <c r="D331" i="1" a="1"/>
  <c r="D331" i="1" s="1"/>
  <c r="D332" i="1" a="1"/>
  <c r="D332" i="1" s="1"/>
  <c r="D333" i="1" a="1"/>
  <c r="D333" i="1" s="1"/>
  <c r="D334" i="1" a="1"/>
  <c r="D334" i="1" s="1"/>
  <c r="D335" i="1" a="1"/>
  <c r="D335" i="1" s="1"/>
  <c r="D336" i="1" a="1"/>
  <c r="D336" i="1" s="1"/>
  <c r="D337" i="1" a="1"/>
  <c r="D337" i="1" s="1"/>
  <c r="D338" i="1" a="1"/>
  <c r="D338" i="1" s="1"/>
  <c r="D339" i="1" a="1"/>
  <c r="D339" i="1" s="1"/>
  <c r="D340" i="1" a="1"/>
  <c r="D340" i="1" s="1"/>
  <c r="D341" i="1" a="1"/>
  <c r="D341" i="1" s="1"/>
  <c r="D342" i="1" a="1"/>
  <c r="D342" i="1" s="1"/>
  <c r="D343" i="1" a="1"/>
  <c r="D343" i="1" s="1"/>
  <c r="D344" i="1" a="1"/>
  <c r="D344" i="1" s="1"/>
  <c r="D345" i="1" a="1"/>
  <c r="D345" i="1" s="1"/>
  <c r="D346" i="1" a="1"/>
  <c r="D346" i="1" s="1"/>
  <c r="D347" i="1" a="1"/>
  <c r="D347" i="1" s="1"/>
  <c r="D348" i="1" a="1"/>
  <c r="D348" i="1" s="1"/>
  <c r="D349" i="1" a="1"/>
  <c r="D349" i="1" s="1"/>
  <c r="D350" i="1" a="1"/>
  <c r="D350" i="1" s="1"/>
  <c r="D351" i="1" a="1"/>
  <c r="D351" i="1" s="1"/>
  <c r="D352" i="1" a="1"/>
  <c r="D352" i="1" s="1"/>
  <c r="D353" i="1" a="1"/>
  <c r="D353" i="1" s="1"/>
  <c r="D354" i="1" a="1"/>
  <c r="D354" i="1" s="1"/>
  <c r="D355" i="1" a="1"/>
  <c r="D355" i="1" s="1"/>
  <c r="D356" i="1" a="1"/>
  <c r="D356" i="1" s="1"/>
  <c r="D357" i="1" a="1"/>
  <c r="D357" i="1" s="1"/>
  <c r="D358" i="1" a="1"/>
  <c r="D358" i="1" s="1"/>
  <c r="D359" i="1" a="1"/>
  <c r="D359" i="1" s="1"/>
  <c r="D360" i="1" a="1"/>
  <c r="D360" i="1" s="1"/>
  <c r="D361" i="1" a="1"/>
  <c r="D361" i="1" s="1"/>
  <c r="D362" i="1" a="1"/>
  <c r="D362" i="1" s="1"/>
  <c r="D363" i="1" a="1"/>
  <c r="D363" i="1" s="1"/>
  <c r="D364" i="1" a="1"/>
  <c r="D364" i="1" s="1"/>
  <c r="D365" i="1" a="1"/>
  <c r="D365" i="1" s="1"/>
  <c r="D366" i="1" a="1"/>
  <c r="D366" i="1" s="1"/>
  <c r="D367" i="1" a="1"/>
  <c r="D367" i="1" s="1"/>
  <c r="D368" i="1" a="1"/>
  <c r="D368" i="1" s="1"/>
  <c r="D369" i="1" a="1"/>
  <c r="D369" i="1" s="1"/>
  <c r="D370" i="1" a="1"/>
  <c r="D370" i="1" s="1"/>
  <c r="D371" i="1" a="1"/>
  <c r="D371" i="1" s="1"/>
  <c r="D372" i="1" a="1"/>
  <c r="D372" i="1" s="1"/>
  <c r="D373" i="1" a="1"/>
  <c r="D373" i="1" s="1"/>
  <c r="D374" i="1" a="1"/>
  <c r="D374" i="1" s="1"/>
  <c r="D375" i="1" a="1"/>
  <c r="D375" i="1" s="1"/>
  <c r="D376" i="1" a="1"/>
  <c r="D376" i="1" s="1"/>
  <c r="D377" i="1" a="1"/>
  <c r="D377" i="1" s="1"/>
  <c r="D378" i="1" a="1"/>
  <c r="D378" i="1" s="1"/>
  <c r="D379" i="1" a="1"/>
  <c r="D379" i="1" s="1"/>
  <c r="D380" i="1" a="1"/>
  <c r="D380" i="1" s="1"/>
  <c r="D381" i="1" a="1"/>
  <c r="D381" i="1" s="1"/>
  <c r="D382" i="1" a="1"/>
  <c r="D382" i="1" s="1"/>
  <c r="D383" i="1" a="1"/>
  <c r="D383" i="1" s="1"/>
  <c r="D384" i="1" a="1"/>
  <c r="D384" i="1" s="1"/>
  <c r="D385" i="1" a="1"/>
  <c r="D385" i="1" s="1"/>
  <c r="D386" i="1" a="1"/>
  <c r="D386" i="1" s="1"/>
  <c r="D387" i="1" a="1"/>
  <c r="D387" i="1" s="1"/>
  <c r="D388" i="1" a="1"/>
  <c r="D388" i="1" s="1"/>
  <c r="D389" i="1" a="1"/>
  <c r="D389" i="1" s="1"/>
  <c r="D390" i="1" a="1"/>
  <c r="D390" i="1" s="1"/>
  <c r="D391" i="1" a="1"/>
  <c r="D391" i="1" s="1"/>
  <c r="D392" i="1" a="1"/>
  <c r="D392" i="1" s="1"/>
  <c r="D393" i="1" a="1"/>
  <c r="D393" i="1" s="1"/>
  <c r="D394" i="1" a="1"/>
  <c r="D394" i="1" s="1"/>
  <c r="D395" i="1" a="1"/>
  <c r="D395" i="1" s="1"/>
  <c r="D396" i="1" a="1"/>
  <c r="D396" i="1" s="1"/>
  <c r="D397" i="1" a="1"/>
  <c r="D397" i="1" s="1"/>
  <c r="D398" i="1" a="1"/>
  <c r="D398" i="1" s="1"/>
  <c r="D399" i="1" a="1"/>
  <c r="D399" i="1" s="1"/>
  <c r="D400" i="1" a="1"/>
  <c r="D400" i="1" s="1"/>
  <c r="D401" i="1" a="1"/>
  <c r="D401" i="1" s="1"/>
  <c r="D402" i="1" a="1"/>
  <c r="D402" i="1" s="1"/>
  <c r="D403" i="1" a="1"/>
  <c r="D403" i="1" s="1"/>
  <c r="D404" i="1" a="1"/>
  <c r="D404" i="1" s="1"/>
  <c r="D405" i="1" a="1"/>
  <c r="D405" i="1" s="1"/>
  <c r="D406" i="1" a="1"/>
  <c r="D406" i="1" s="1"/>
  <c r="D407" i="1" a="1"/>
  <c r="D407" i="1" s="1"/>
  <c r="D408" i="1" a="1"/>
  <c r="D408" i="1" s="1"/>
  <c r="D409" i="1" a="1"/>
  <c r="D409" i="1" s="1"/>
  <c r="D410" i="1" a="1"/>
  <c r="D410" i="1" s="1"/>
  <c r="D411" i="1" a="1"/>
  <c r="D411" i="1" s="1"/>
  <c r="D412" i="1" a="1"/>
  <c r="D412" i="1" s="1"/>
  <c r="D413" i="1" a="1"/>
  <c r="D413" i="1" s="1"/>
  <c r="D414" i="1" a="1"/>
  <c r="D414" i="1" s="1"/>
  <c r="D415" i="1" a="1"/>
  <c r="D415" i="1" s="1"/>
  <c r="D416" i="1" a="1"/>
  <c r="D416" i="1" s="1"/>
  <c r="D417" i="1" a="1"/>
  <c r="D417" i="1" s="1"/>
  <c r="D418" i="1" a="1"/>
  <c r="D418" i="1" s="1"/>
  <c r="D419" i="1" a="1"/>
  <c r="D419" i="1" s="1"/>
  <c r="D420" i="1" a="1"/>
  <c r="D420" i="1" s="1"/>
  <c r="D421" i="1" a="1"/>
  <c r="D421" i="1" s="1"/>
  <c r="D422" i="1" a="1"/>
  <c r="D422" i="1" s="1"/>
  <c r="D423" i="1" a="1"/>
  <c r="D423" i="1" s="1"/>
  <c r="D424" i="1" a="1"/>
  <c r="D424" i="1" s="1"/>
  <c r="D425" i="1" a="1"/>
  <c r="D425" i="1" s="1"/>
  <c r="D426" i="1" a="1"/>
  <c r="D426" i="1" s="1"/>
  <c r="D427" i="1" a="1"/>
  <c r="D427" i="1" s="1"/>
  <c r="D428" i="1" a="1"/>
  <c r="D428" i="1" s="1"/>
  <c r="D429" i="1" a="1"/>
  <c r="D429" i="1" s="1"/>
  <c r="D430" i="1" a="1"/>
  <c r="D430" i="1" s="1"/>
  <c r="D431" i="1" a="1"/>
  <c r="D431" i="1" s="1"/>
  <c r="D432" i="1" a="1"/>
  <c r="D432" i="1" s="1"/>
  <c r="D433" i="1" a="1"/>
  <c r="D433" i="1" s="1"/>
  <c r="D434" i="1" a="1"/>
  <c r="D434" i="1" s="1"/>
  <c r="D435" i="1" a="1"/>
  <c r="D435" i="1" s="1"/>
  <c r="D436" i="1" a="1"/>
  <c r="D436" i="1" s="1"/>
  <c r="D437" i="1" a="1"/>
  <c r="D437" i="1" s="1"/>
  <c r="D438" i="1" a="1"/>
  <c r="D438" i="1" s="1"/>
  <c r="D439" i="1" a="1"/>
  <c r="D439" i="1" s="1"/>
  <c r="D440" i="1" a="1"/>
  <c r="D440" i="1" s="1"/>
  <c r="D441" i="1" a="1"/>
  <c r="D441" i="1" s="1"/>
  <c r="D442" i="1" a="1"/>
  <c r="D442" i="1" s="1"/>
  <c r="D443" i="1" a="1"/>
  <c r="D443" i="1" s="1"/>
  <c r="D444" i="1" a="1"/>
  <c r="D444" i="1" s="1"/>
  <c r="D445" i="1" a="1"/>
  <c r="D445" i="1" s="1"/>
  <c r="D446" i="1" a="1"/>
  <c r="D446" i="1" s="1"/>
  <c r="D447" i="1" a="1"/>
  <c r="D447" i="1" s="1"/>
  <c r="D448" i="1" a="1"/>
  <c r="D448" i="1" s="1"/>
  <c r="D449" i="1" a="1"/>
  <c r="D449" i="1" s="1"/>
  <c r="D450" i="1" a="1"/>
  <c r="D450" i="1" s="1"/>
  <c r="D451" i="1" a="1"/>
  <c r="D451" i="1" s="1"/>
  <c r="D452" i="1" a="1"/>
  <c r="D452" i="1" s="1"/>
  <c r="D453" i="1" a="1"/>
  <c r="D453" i="1" s="1"/>
  <c r="D454" i="1" a="1"/>
  <c r="D454" i="1" s="1"/>
  <c r="D455" i="1" a="1"/>
  <c r="D455" i="1" s="1"/>
  <c r="D456" i="1" a="1"/>
  <c r="D456" i="1" s="1"/>
  <c r="D457" i="1" a="1"/>
  <c r="D457" i="1" s="1"/>
  <c r="D458" i="1" a="1"/>
  <c r="D458" i="1" s="1"/>
  <c r="D459" i="1" a="1"/>
  <c r="D459" i="1" s="1"/>
  <c r="D460" i="1" a="1"/>
  <c r="D460" i="1" s="1"/>
  <c r="D461" i="1" a="1"/>
  <c r="D461" i="1" s="1"/>
  <c r="D462" i="1" a="1"/>
  <c r="D462" i="1" s="1"/>
  <c r="D463" i="1" a="1"/>
  <c r="D463" i="1" s="1"/>
  <c r="D464" i="1" a="1"/>
  <c r="D464" i="1" s="1"/>
  <c r="D465" i="1" a="1"/>
  <c r="D465" i="1" s="1"/>
  <c r="D466" i="1" a="1"/>
  <c r="D466" i="1" s="1"/>
  <c r="D467" i="1" a="1"/>
  <c r="D467" i="1" s="1"/>
  <c r="D468" i="1" a="1"/>
  <c r="D468" i="1" s="1"/>
  <c r="D469" i="1" a="1"/>
  <c r="D469" i="1" s="1"/>
  <c r="D470" i="1" a="1"/>
  <c r="D470" i="1" s="1"/>
  <c r="D471" i="1" a="1"/>
  <c r="D471" i="1" s="1"/>
  <c r="D472" i="1" a="1"/>
  <c r="D472" i="1" s="1"/>
  <c r="D473" i="1" a="1"/>
  <c r="D473" i="1" s="1"/>
  <c r="D474" i="1" a="1"/>
  <c r="D474" i="1" s="1"/>
  <c r="D475" i="1" a="1"/>
  <c r="D475" i="1" s="1"/>
  <c r="D476" i="1" a="1"/>
  <c r="D476" i="1" s="1"/>
  <c r="D477" i="1" a="1"/>
  <c r="D477" i="1" s="1"/>
  <c r="D478" i="1" a="1"/>
  <c r="D478" i="1" s="1"/>
  <c r="D479" i="1" a="1"/>
  <c r="D479" i="1" s="1"/>
  <c r="D480" i="1" a="1"/>
  <c r="D480" i="1" s="1"/>
  <c r="D481" i="1" a="1"/>
  <c r="D481" i="1" s="1"/>
  <c r="D482" i="1" a="1"/>
  <c r="D482" i="1" s="1"/>
  <c r="D483" i="1" a="1"/>
  <c r="D483" i="1" s="1"/>
  <c r="D484" i="1" a="1"/>
  <c r="D484" i="1" s="1"/>
  <c r="D485" i="1" a="1"/>
  <c r="D485" i="1" s="1"/>
  <c r="D486" i="1" a="1"/>
  <c r="D486" i="1" s="1"/>
  <c r="D487" i="1" a="1"/>
  <c r="D487" i="1" s="1"/>
  <c r="D488" i="1" a="1"/>
  <c r="D488" i="1" s="1"/>
  <c r="D489" i="1" a="1"/>
  <c r="D489" i="1" s="1"/>
  <c r="D490" i="1" a="1"/>
  <c r="D490" i="1" s="1"/>
  <c r="D491" i="1" a="1"/>
  <c r="D491" i="1" s="1"/>
  <c r="D492" i="1" a="1"/>
  <c r="D492" i="1" s="1"/>
  <c r="D493" i="1" a="1"/>
  <c r="D493" i="1" s="1"/>
  <c r="D494" i="1" a="1"/>
  <c r="D494" i="1" s="1"/>
  <c r="D495" i="1" a="1"/>
  <c r="D495" i="1" s="1"/>
  <c r="D496" i="1" a="1"/>
  <c r="D496" i="1" s="1"/>
  <c r="D497" i="1" a="1"/>
  <c r="D497" i="1" s="1"/>
  <c r="D498" i="1" a="1"/>
  <c r="D498" i="1" s="1"/>
  <c r="D499" i="1" a="1"/>
  <c r="D499" i="1" s="1"/>
  <c r="D500" i="1" a="1"/>
  <c r="D500" i="1" s="1"/>
  <c r="D501" i="1" a="1"/>
  <c r="D501" i="1" s="1"/>
  <c r="D502" i="1" a="1"/>
  <c r="D502" i="1" s="1"/>
  <c r="D503" i="1" a="1"/>
  <c r="D503" i="1" s="1"/>
  <c r="D504" i="1" a="1"/>
  <c r="D504" i="1" s="1"/>
  <c r="D505" i="1" a="1"/>
  <c r="D505" i="1" s="1"/>
  <c r="D506" i="1" a="1"/>
  <c r="D506" i="1" s="1"/>
  <c r="D507" i="1" a="1"/>
  <c r="D507" i="1" s="1"/>
  <c r="D508" i="1" a="1"/>
  <c r="D508" i="1" s="1"/>
  <c r="D509" i="1" a="1"/>
  <c r="D509" i="1" s="1"/>
  <c r="D510" i="1" a="1"/>
  <c r="D510" i="1" s="1"/>
  <c r="D511" i="1" a="1"/>
  <c r="D511" i="1" s="1"/>
  <c r="D512" i="1" a="1"/>
  <c r="D512" i="1" s="1"/>
  <c r="D513" i="1" a="1"/>
  <c r="D513" i="1" s="1"/>
  <c r="D514" i="1" a="1"/>
  <c r="D514" i="1" s="1"/>
  <c r="D515" i="1" a="1"/>
  <c r="D515" i="1" s="1"/>
  <c r="D516" i="1" a="1"/>
  <c r="D516" i="1" s="1"/>
  <c r="D517" i="1" a="1"/>
  <c r="D517" i="1" s="1"/>
  <c r="D518" i="1" a="1"/>
  <c r="D518" i="1" s="1"/>
  <c r="D519" i="1" a="1"/>
  <c r="D519" i="1" s="1"/>
  <c r="D520" i="1" a="1"/>
  <c r="D520" i="1" s="1"/>
  <c r="D521" i="1" a="1"/>
  <c r="D521" i="1" s="1"/>
  <c r="D522" i="1" a="1"/>
  <c r="D522" i="1" s="1"/>
  <c r="D523" i="1" a="1"/>
  <c r="D523" i="1" s="1"/>
  <c r="D524" i="1" a="1"/>
  <c r="D524" i="1" s="1"/>
  <c r="D525" i="1" a="1"/>
  <c r="D525" i="1" s="1"/>
  <c r="D526" i="1" a="1"/>
  <c r="D526" i="1" s="1"/>
  <c r="D527" i="1" a="1"/>
  <c r="D527" i="1" s="1"/>
  <c r="D528" i="1" a="1"/>
  <c r="D528" i="1" s="1"/>
  <c r="D529" i="1" a="1"/>
  <c r="D529" i="1" s="1"/>
  <c r="D530" i="1" a="1"/>
  <c r="D530" i="1" s="1"/>
  <c r="D531" i="1" a="1"/>
  <c r="D531" i="1" s="1"/>
  <c r="D532" i="1" a="1"/>
  <c r="D532" i="1" s="1"/>
  <c r="D533" i="1" a="1"/>
  <c r="D533" i="1" s="1"/>
  <c r="D534" i="1" a="1"/>
  <c r="D534" i="1" s="1"/>
  <c r="D535" i="1" a="1"/>
  <c r="D535" i="1" s="1"/>
  <c r="D536" i="1" a="1"/>
  <c r="D536" i="1" s="1"/>
  <c r="D537" i="1" a="1"/>
  <c r="D537" i="1" s="1"/>
  <c r="D538" i="1" a="1"/>
  <c r="D538" i="1" s="1"/>
  <c r="D539" i="1" a="1"/>
  <c r="D539" i="1" s="1"/>
  <c r="D540" i="1" a="1"/>
  <c r="D540" i="1" s="1"/>
  <c r="D541" i="1" a="1"/>
  <c r="D541" i="1" s="1"/>
  <c r="D542" i="1" a="1"/>
  <c r="D542" i="1" s="1"/>
  <c r="D543" i="1" a="1"/>
  <c r="D543" i="1" s="1"/>
  <c r="D544" i="1" a="1"/>
  <c r="D544" i="1" s="1"/>
  <c r="D545" i="1" a="1"/>
  <c r="D545" i="1" s="1"/>
  <c r="D546" i="1" a="1"/>
  <c r="D546" i="1" s="1"/>
  <c r="D547" i="1" a="1"/>
  <c r="D547" i="1" s="1"/>
  <c r="D548" i="1" a="1"/>
  <c r="D548" i="1" s="1"/>
  <c r="D549" i="1" a="1"/>
  <c r="D549" i="1" s="1"/>
  <c r="D550" i="1" a="1"/>
  <c r="D550" i="1" s="1"/>
  <c r="D551" i="1" a="1"/>
  <c r="D551" i="1" s="1"/>
  <c r="D552" i="1" a="1"/>
  <c r="D552" i="1" s="1"/>
  <c r="D553" i="1" a="1"/>
  <c r="D553" i="1" s="1"/>
  <c r="D554" i="1" a="1"/>
  <c r="D554" i="1" s="1"/>
  <c r="D555" i="1" a="1"/>
  <c r="D555" i="1" s="1"/>
  <c r="D556" i="1" a="1"/>
  <c r="D556" i="1" s="1"/>
  <c r="D557" i="1" a="1"/>
  <c r="D557" i="1" s="1"/>
  <c r="D558" i="1" a="1"/>
  <c r="D558" i="1" s="1"/>
  <c r="D559" i="1" a="1"/>
  <c r="D559" i="1" s="1"/>
  <c r="D560" i="1" a="1"/>
  <c r="D560" i="1" s="1"/>
  <c r="D561" i="1" a="1"/>
  <c r="D561" i="1" s="1"/>
  <c r="D562" i="1" a="1"/>
  <c r="D562" i="1" s="1"/>
  <c r="D563" i="1" a="1"/>
  <c r="D563" i="1" s="1"/>
  <c r="D564" i="1" a="1"/>
  <c r="D564" i="1" s="1"/>
  <c r="D565" i="1" a="1"/>
  <c r="D565" i="1" s="1"/>
  <c r="D566" i="1" a="1"/>
  <c r="D566" i="1" s="1"/>
  <c r="D567" i="1" a="1"/>
  <c r="D567" i="1" s="1"/>
  <c r="D568" i="1" a="1"/>
  <c r="D568" i="1" s="1"/>
  <c r="D569" i="1" a="1"/>
  <c r="D569" i="1" s="1"/>
  <c r="D570" i="1" a="1"/>
  <c r="D570" i="1" s="1"/>
  <c r="D571" i="1" a="1"/>
  <c r="D571" i="1" s="1"/>
  <c r="D572" i="1" a="1"/>
  <c r="D572" i="1" s="1"/>
  <c r="D573" i="1" a="1"/>
  <c r="D573" i="1" s="1"/>
  <c r="D574" i="1" a="1"/>
  <c r="D574" i="1" s="1"/>
  <c r="D575" i="1" a="1"/>
  <c r="D575" i="1" s="1"/>
  <c r="D576" i="1" a="1"/>
  <c r="D576" i="1" s="1"/>
  <c r="D577" i="1" a="1"/>
  <c r="D577" i="1" s="1"/>
  <c r="D578" i="1" a="1"/>
  <c r="D578" i="1" s="1"/>
  <c r="D579" i="1" a="1"/>
  <c r="D579" i="1" s="1"/>
  <c r="D580" i="1" a="1"/>
  <c r="D580" i="1" s="1"/>
  <c r="D581" i="1" a="1"/>
  <c r="D581" i="1" s="1"/>
  <c r="D582" i="1" a="1"/>
  <c r="D582" i="1" s="1"/>
  <c r="D583" i="1" a="1"/>
  <c r="D583" i="1" s="1"/>
  <c r="D584" i="1" a="1"/>
  <c r="D584" i="1" s="1"/>
  <c r="D585" i="1" a="1"/>
  <c r="D585" i="1" s="1"/>
  <c r="D586" i="1" a="1"/>
  <c r="D586" i="1" s="1"/>
  <c r="D587" i="1" a="1"/>
  <c r="D587" i="1" s="1"/>
  <c r="D588" i="1" a="1"/>
  <c r="D588" i="1" s="1"/>
  <c r="D589" i="1" a="1"/>
  <c r="D589" i="1" s="1"/>
  <c r="D590" i="1" a="1"/>
  <c r="D590" i="1" s="1"/>
  <c r="D591" i="1" a="1"/>
  <c r="D591" i="1" s="1"/>
  <c r="D592" i="1" a="1"/>
  <c r="D592" i="1" s="1"/>
  <c r="D593" i="1" a="1"/>
  <c r="D593" i="1" s="1"/>
  <c r="D594" i="1" a="1"/>
  <c r="D594" i="1" s="1"/>
  <c r="D595" i="1" a="1"/>
  <c r="D595" i="1" s="1"/>
  <c r="D596" i="1" a="1"/>
  <c r="D596" i="1" s="1"/>
  <c r="D597" i="1" a="1"/>
  <c r="D597" i="1" s="1"/>
  <c r="D598" i="1" a="1"/>
  <c r="D598" i="1" s="1"/>
  <c r="D599" i="1" a="1"/>
  <c r="D599" i="1" s="1"/>
  <c r="D600" i="1" a="1"/>
  <c r="D600" i="1" s="1"/>
  <c r="D601" i="1" a="1"/>
  <c r="D601" i="1" s="1"/>
  <c r="D602" i="1" a="1"/>
  <c r="D602" i="1" s="1"/>
  <c r="D603" i="1" a="1"/>
  <c r="D603" i="1" s="1"/>
  <c r="D604" i="1" a="1"/>
  <c r="D604" i="1" s="1"/>
  <c r="D605" i="1" a="1"/>
  <c r="D605" i="1" s="1"/>
  <c r="D606" i="1" a="1"/>
  <c r="D606" i="1" s="1"/>
  <c r="D607" i="1" a="1"/>
  <c r="D607" i="1" s="1"/>
  <c r="D608" i="1" a="1"/>
  <c r="D608" i="1" s="1"/>
  <c r="D609" i="1" a="1"/>
  <c r="D609" i="1" s="1"/>
  <c r="D610" i="1" a="1"/>
  <c r="D610" i="1" s="1"/>
  <c r="D611" i="1" a="1"/>
  <c r="D611" i="1" s="1"/>
  <c r="D612" i="1" a="1"/>
  <c r="D612" i="1" s="1"/>
  <c r="D613" i="1" a="1"/>
  <c r="D613" i="1" s="1"/>
  <c r="D614" i="1" a="1"/>
  <c r="D614" i="1" s="1"/>
  <c r="D615" i="1" a="1"/>
  <c r="D615" i="1" s="1"/>
  <c r="D616" i="1" a="1"/>
  <c r="D616" i="1" s="1"/>
  <c r="D617" i="1" a="1"/>
  <c r="D617" i="1" s="1"/>
  <c r="D618" i="1" a="1"/>
  <c r="D618" i="1" s="1"/>
  <c r="D619" i="1" a="1"/>
  <c r="D619" i="1" s="1"/>
  <c r="D620" i="1" a="1"/>
  <c r="D620" i="1" s="1"/>
  <c r="D621" i="1" a="1"/>
  <c r="D621" i="1" s="1"/>
  <c r="D622" i="1" a="1"/>
  <c r="D622" i="1" s="1"/>
  <c r="D623" i="1" a="1"/>
  <c r="D623" i="1" s="1"/>
  <c r="D624" i="1" a="1"/>
  <c r="D624" i="1" s="1"/>
  <c r="D625" i="1" a="1"/>
  <c r="D625" i="1" s="1"/>
  <c r="D626" i="1" a="1"/>
  <c r="D626" i="1" s="1"/>
  <c r="D627" i="1" a="1"/>
  <c r="D627" i="1" s="1"/>
  <c r="D628" i="1" a="1"/>
  <c r="D628" i="1" s="1"/>
  <c r="D629" i="1" a="1"/>
  <c r="D629" i="1" s="1"/>
  <c r="D630" i="1" a="1"/>
  <c r="D630" i="1" s="1"/>
  <c r="D631" i="1" a="1"/>
  <c r="D631" i="1" s="1"/>
  <c r="D632" i="1" a="1"/>
  <c r="D632" i="1" s="1"/>
  <c r="D633" i="1" a="1"/>
  <c r="D633" i="1" s="1"/>
  <c r="D634" i="1" a="1"/>
  <c r="D634" i="1" s="1"/>
  <c r="D635" i="1" a="1"/>
  <c r="D635" i="1" s="1"/>
  <c r="D636" i="1" a="1"/>
  <c r="D636" i="1" s="1"/>
  <c r="D637" i="1" a="1"/>
  <c r="D637" i="1" s="1"/>
  <c r="D638" i="1" a="1"/>
  <c r="D638" i="1" s="1"/>
  <c r="D639" i="1" a="1"/>
  <c r="D639" i="1" s="1"/>
  <c r="D640" i="1" a="1"/>
  <c r="D640" i="1" s="1"/>
  <c r="D641" i="1" a="1"/>
  <c r="D641" i="1" s="1"/>
  <c r="D642" i="1" a="1"/>
  <c r="D642" i="1" s="1"/>
  <c r="D643" i="1" a="1"/>
  <c r="D643" i="1" s="1"/>
  <c r="D644" i="1" a="1"/>
  <c r="D644" i="1" s="1"/>
  <c r="D645" i="1" a="1"/>
  <c r="D645" i="1" s="1"/>
  <c r="D646" i="1" a="1"/>
  <c r="D646" i="1" s="1"/>
  <c r="D647" i="1" a="1"/>
  <c r="D647" i="1" s="1"/>
  <c r="D648" i="1" a="1"/>
  <c r="D648" i="1" s="1"/>
  <c r="D649" i="1" a="1"/>
  <c r="D649" i="1" s="1"/>
  <c r="D650" i="1" a="1"/>
  <c r="D650" i="1" s="1"/>
  <c r="D651" i="1" a="1"/>
  <c r="D651" i="1" s="1"/>
  <c r="D652" i="1" a="1"/>
  <c r="D652" i="1" s="1"/>
  <c r="D653" i="1" a="1"/>
  <c r="D653" i="1" s="1"/>
  <c r="D654" i="1" a="1"/>
  <c r="D654" i="1" s="1"/>
  <c r="D655" i="1" a="1"/>
  <c r="D655" i="1" s="1"/>
  <c r="D656" i="1" a="1"/>
  <c r="D656" i="1" s="1"/>
  <c r="D657" i="1" a="1"/>
  <c r="D657" i="1" s="1"/>
  <c r="D658" i="1" a="1"/>
  <c r="D658" i="1" s="1"/>
  <c r="D659" i="1" a="1"/>
  <c r="D659" i="1" s="1"/>
  <c r="D660" i="1" a="1"/>
  <c r="D660" i="1" s="1"/>
  <c r="D661" i="1" a="1"/>
  <c r="D661" i="1" s="1"/>
  <c r="D662" i="1" a="1"/>
  <c r="D662" i="1" s="1"/>
  <c r="D663" i="1" a="1"/>
  <c r="D663" i="1" s="1"/>
  <c r="D664" i="1" a="1"/>
  <c r="D664" i="1" s="1"/>
  <c r="D665" i="1" a="1"/>
  <c r="D665" i="1" s="1"/>
  <c r="D666" i="1" a="1"/>
  <c r="D666" i="1" s="1"/>
  <c r="D667" i="1" a="1"/>
  <c r="D667" i="1" s="1"/>
  <c r="D668" i="1" a="1"/>
  <c r="D668" i="1" s="1"/>
  <c r="D669" i="1" a="1"/>
  <c r="D669" i="1" s="1"/>
  <c r="D670" i="1" a="1"/>
  <c r="D670" i="1" s="1"/>
  <c r="D671" i="1" a="1"/>
  <c r="D671" i="1" s="1"/>
  <c r="D672" i="1" a="1"/>
  <c r="D672" i="1" s="1"/>
  <c r="D673" i="1" a="1"/>
  <c r="D673" i="1" s="1"/>
  <c r="D674" i="1" a="1"/>
  <c r="D674" i="1" s="1"/>
  <c r="D675" i="1" a="1"/>
  <c r="D675" i="1" s="1"/>
  <c r="D676" i="1" a="1"/>
  <c r="D676" i="1" s="1"/>
  <c r="D677" i="1" a="1"/>
  <c r="D677" i="1" s="1"/>
  <c r="D678" i="1" a="1"/>
  <c r="D678" i="1" s="1"/>
  <c r="D679" i="1" a="1"/>
  <c r="D679" i="1" s="1"/>
  <c r="D680" i="1" a="1"/>
  <c r="D680" i="1" s="1"/>
  <c r="D681" i="1" a="1"/>
  <c r="D681" i="1" s="1"/>
  <c r="D682" i="1" a="1"/>
  <c r="D682" i="1" s="1"/>
  <c r="D683" i="1" a="1"/>
  <c r="D683" i="1" s="1"/>
  <c r="D684" i="1" a="1"/>
  <c r="D684" i="1" s="1"/>
  <c r="D685" i="1" a="1"/>
  <c r="D685" i="1" s="1"/>
  <c r="D686" i="1" a="1"/>
  <c r="D686" i="1" s="1"/>
  <c r="D687" i="1" a="1"/>
  <c r="D687" i="1" s="1"/>
  <c r="D688" i="1" a="1"/>
  <c r="D688" i="1" s="1"/>
  <c r="D689" i="1" a="1"/>
  <c r="D689" i="1" s="1"/>
  <c r="D690" i="1" a="1"/>
  <c r="D690" i="1" s="1"/>
  <c r="D691" i="1" a="1"/>
  <c r="D691" i="1" s="1"/>
  <c r="D692" i="1" a="1"/>
  <c r="D692" i="1" s="1"/>
  <c r="D693" i="1" a="1"/>
  <c r="D693" i="1" s="1"/>
  <c r="D694" i="1" a="1"/>
  <c r="D694" i="1" s="1"/>
  <c r="D695" i="1" a="1"/>
  <c r="D695" i="1" s="1"/>
  <c r="D696" i="1" a="1"/>
  <c r="D696" i="1" s="1"/>
  <c r="D697" i="1" a="1"/>
  <c r="D697" i="1" s="1"/>
  <c r="D698" i="1" a="1"/>
  <c r="D698" i="1" s="1"/>
  <c r="D699" i="1" a="1"/>
  <c r="D699" i="1" s="1"/>
  <c r="D700" i="1" a="1"/>
  <c r="D700" i="1" s="1"/>
  <c r="D701" i="1" a="1"/>
  <c r="D701" i="1" s="1"/>
  <c r="D702" i="1" a="1"/>
  <c r="D702" i="1" s="1"/>
  <c r="D703" i="1" a="1"/>
  <c r="D703" i="1" s="1"/>
  <c r="D704" i="1" a="1"/>
  <c r="D704" i="1" s="1"/>
  <c r="D705" i="1" a="1"/>
  <c r="D705" i="1" s="1"/>
  <c r="D706" i="1" a="1"/>
  <c r="D706" i="1" s="1"/>
  <c r="D707" i="1" a="1"/>
  <c r="D707" i="1" s="1"/>
  <c r="D708" i="1" a="1"/>
  <c r="D708" i="1" s="1"/>
  <c r="D709" i="1" a="1"/>
  <c r="D709" i="1" s="1"/>
  <c r="D710" i="1" a="1"/>
  <c r="D710" i="1" s="1"/>
  <c r="D711" i="1" a="1"/>
  <c r="D711" i="1" s="1"/>
  <c r="D712" i="1" a="1"/>
  <c r="D712" i="1" s="1"/>
  <c r="D713" i="1" a="1"/>
  <c r="D713" i="1" s="1"/>
  <c r="D714" i="1" a="1"/>
  <c r="D714" i="1" s="1"/>
  <c r="D715" i="1" a="1"/>
  <c r="D715" i="1" s="1"/>
  <c r="D716" i="1" a="1"/>
  <c r="D716" i="1" s="1"/>
  <c r="D717" i="1" a="1"/>
  <c r="D717" i="1" s="1"/>
  <c r="D718" i="1" a="1"/>
  <c r="D718" i="1" s="1"/>
  <c r="D719" i="1" a="1"/>
  <c r="D719" i="1" s="1"/>
  <c r="D720" i="1" a="1"/>
  <c r="D720" i="1" s="1"/>
  <c r="D721" i="1" a="1"/>
  <c r="D721" i="1" s="1"/>
  <c r="D722" i="1" a="1"/>
  <c r="D722" i="1" s="1"/>
  <c r="D723" i="1" a="1"/>
  <c r="D723" i="1" s="1"/>
  <c r="D724" i="1" a="1"/>
  <c r="D724" i="1" s="1"/>
  <c r="D725" i="1" a="1"/>
  <c r="D725" i="1" s="1"/>
  <c r="D726" i="1" a="1"/>
  <c r="D726" i="1" s="1"/>
  <c r="D727" i="1" a="1"/>
  <c r="D727" i="1" s="1"/>
  <c r="D728" i="1" a="1"/>
  <c r="D728" i="1" s="1"/>
  <c r="D729" i="1" a="1"/>
  <c r="D729" i="1" s="1"/>
  <c r="D730" i="1" a="1"/>
  <c r="D730" i="1" s="1"/>
  <c r="D731" i="1" a="1"/>
  <c r="D731" i="1" s="1"/>
  <c r="D732" i="1" a="1"/>
  <c r="D732" i="1" s="1"/>
  <c r="D733" i="1" a="1"/>
  <c r="D733" i="1" s="1"/>
  <c r="D734" i="1" a="1"/>
  <c r="D734" i="1" s="1"/>
  <c r="D735" i="1" a="1"/>
  <c r="D735" i="1" s="1"/>
  <c r="D736" i="1" a="1"/>
  <c r="D736" i="1" s="1"/>
  <c r="D737" i="1" a="1"/>
  <c r="D737" i="1" s="1"/>
  <c r="D738" i="1" a="1"/>
  <c r="D738" i="1" s="1"/>
  <c r="D739" i="1" a="1"/>
  <c r="D739" i="1" s="1"/>
  <c r="D740" i="1" a="1"/>
  <c r="D740" i="1" s="1"/>
  <c r="D741" i="1" a="1"/>
  <c r="D741" i="1" s="1"/>
  <c r="D742" i="1" a="1"/>
  <c r="D742" i="1" s="1"/>
  <c r="D743" i="1" a="1"/>
  <c r="D743" i="1" s="1"/>
  <c r="D744" i="1" a="1"/>
  <c r="D744" i="1" s="1"/>
  <c r="D745" i="1" a="1"/>
  <c r="D745" i="1" s="1"/>
  <c r="D746" i="1" a="1"/>
  <c r="D746" i="1" s="1"/>
  <c r="D747" i="1" a="1"/>
  <c r="D747" i="1" s="1"/>
  <c r="D748" i="1" a="1"/>
  <c r="D748" i="1" s="1"/>
  <c r="D749" i="1" a="1"/>
  <c r="D749" i="1" s="1"/>
  <c r="D750" i="1" a="1"/>
  <c r="D750" i="1" s="1"/>
  <c r="D751" i="1" a="1"/>
  <c r="D751" i="1" s="1"/>
  <c r="D752" i="1" a="1"/>
  <c r="D752" i="1" s="1"/>
  <c r="D753" i="1" a="1"/>
  <c r="D753" i="1" s="1"/>
  <c r="D754" i="1" a="1"/>
  <c r="D754" i="1" s="1"/>
  <c r="D755" i="1" a="1"/>
  <c r="D755" i="1" s="1"/>
  <c r="D756" i="1" a="1"/>
  <c r="D756" i="1" s="1"/>
  <c r="D757" i="1" a="1"/>
  <c r="D757" i="1" s="1"/>
  <c r="D758" i="1" a="1"/>
  <c r="D758" i="1" s="1"/>
  <c r="D759" i="1" a="1"/>
  <c r="D759" i="1" s="1"/>
  <c r="D760" i="1" a="1"/>
  <c r="D760" i="1" s="1"/>
  <c r="D761" i="1" a="1"/>
  <c r="D761" i="1" s="1"/>
  <c r="D762" i="1" a="1"/>
  <c r="D762" i="1" s="1"/>
  <c r="D763" i="1" a="1"/>
  <c r="D763" i="1" s="1"/>
  <c r="D764" i="1" a="1"/>
  <c r="D764" i="1" s="1"/>
  <c r="D765" i="1" a="1"/>
  <c r="D765" i="1" s="1"/>
  <c r="D766" i="1" a="1"/>
  <c r="D766" i="1" s="1"/>
  <c r="D767" i="1" a="1"/>
  <c r="D767" i="1" s="1"/>
  <c r="D768" i="1" a="1"/>
  <c r="D768" i="1" s="1"/>
  <c r="D769" i="1" a="1"/>
  <c r="D769" i="1" s="1"/>
  <c r="D770" i="1" a="1"/>
  <c r="D770" i="1" s="1"/>
  <c r="D771" i="1" a="1"/>
  <c r="D771" i="1" s="1"/>
  <c r="D772" i="1" a="1"/>
  <c r="D772" i="1" s="1"/>
  <c r="D773" i="1" a="1"/>
  <c r="D773" i="1" s="1"/>
  <c r="D774" i="1" a="1"/>
  <c r="D774" i="1" s="1"/>
  <c r="D775" i="1" a="1"/>
  <c r="D775" i="1" s="1"/>
  <c r="D776" i="1" a="1"/>
  <c r="D776" i="1" s="1"/>
  <c r="D777" i="1" a="1"/>
  <c r="D777" i="1" s="1"/>
  <c r="D778" i="1" a="1"/>
  <c r="D778" i="1" s="1"/>
  <c r="D779" i="1" a="1"/>
  <c r="D779" i="1" s="1"/>
  <c r="D780" i="1" a="1"/>
  <c r="D780" i="1" s="1"/>
  <c r="D781" i="1" a="1"/>
  <c r="D781" i="1" s="1"/>
  <c r="D782" i="1" a="1"/>
  <c r="D782" i="1" s="1"/>
  <c r="D783" i="1" a="1"/>
  <c r="D783" i="1" s="1"/>
  <c r="D784" i="1" a="1"/>
  <c r="D784" i="1" s="1"/>
  <c r="D785" i="1" a="1"/>
  <c r="D785" i="1" s="1"/>
  <c r="D786" i="1" a="1"/>
  <c r="D786" i="1" s="1"/>
  <c r="D787" i="1" a="1"/>
  <c r="D787" i="1" s="1"/>
  <c r="D788" i="1" a="1"/>
  <c r="D788" i="1" s="1"/>
  <c r="D789" i="1" a="1"/>
  <c r="D789" i="1" s="1"/>
  <c r="D790" i="1" a="1"/>
  <c r="D790" i="1" s="1"/>
  <c r="D791" i="1" a="1"/>
  <c r="D791" i="1" s="1"/>
  <c r="D792" i="1" a="1"/>
  <c r="D792" i="1" s="1"/>
  <c r="D793" i="1" a="1"/>
  <c r="D793" i="1" s="1"/>
  <c r="D794" i="1" a="1"/>
  <c r="D794" i="1" s="1"/>
  <c r="D795" i="1" a="1"/>
  <c r="D795" i="1" s="1"/>
  <c r="D796" i="1" a="1"/>
  <c r="D796" i="1" s="1"/>
  <c r="D797" i="1" a="1"/>
  <c r="D797" i="1" s="1"/>
  <c r="D798" i="1" a="1"/>
  <c r="D798" i="1" s="1"/>
  <c r="D799" i="1" a="1"/>
  <c r="D799" i="1" s="1"/>
  <c r="D800" i="1" a="1"/>
  <c r="D800" i="1" s="1"/>
  <c r="D801" i="1" a="1"/>
  <c r="D801" i="1" s="1"/>
  <c r="D802" i="1" a="1"/>
  <c r="D802" i="1" s="1"/>
  <c r="D803" i="1" a="1"/>
  <c r="D803" i="1" s="1"/>
  <c r="D804" i="1" a="1"/>
  <c r="D804" i="1" s="1"/>
  <c r="D805" i="1" a="1"/>
  <c r="D805" i="1" s="1"/>
  <c r="D806" i="1" a="1"/>
  <c r="D806" i="1" s="1"/>
  <c r="D807" i="1" a="1"/>
  <c r="D807" i="1" s="1"/>
  <c r="D808" i="1" a="1"/>
  <c r="D808" i="1" s="1"/>
  <c r="D809" i="1" a="1"/>
  <c r="D809" i="1" s="1"/>
  <c r="D810" i="1" a="1"/>
  <c r="D810" i="1" s="1"/>
  <c r="D811" i="1" a="1"/>
  <c r="D811" i="1" s="1"/>
  <c r="D812" i="1" a="1"/>
  <c r="D812" i="1" s="1"/>
  <c r="D813" i="1" a="1"/>
  <c r="D813" i="1" s="1"/>
  <c r="D814" i="1" a="1"/>
  <c r="D814" i="1" s="1"/>
  <c r="D815" i="1" a="1"/>
  <c r="D815" i="1" s="1"/>
  <c r="D816" i="1" a="1"/>
  <c r="D816" i="1" s="1"/>
  <c r="D817" i="1" a="1"/>
  <c r="D817" i="1" s="1"/>
  <c r="D818" i="1" a="1"/>
  <c r="D818" i="1" s="1"/>
  <c r="D819" i="1" a="1"/>
  <c r="D819" i="1" s="1"/>
  <c r="D820" i="1" a="1"/>
  <c r="D820" i="1" s="1"/>
  <c r="D821" i="1" a="1"/>
  <c r="D821" i="1" s="1"/>
  <c r="D822" i="1" a="1"/>
  <c r="D822" i="1" s="1"/>
  <c r="D823" i="1" a="1"/>
  <c r="D823" i="1" s="1"/>
  <c r="D824" i="1" a="1"/>
  <c r="D824" i="1" s="1"/>
  <c r="D825" i="1" a="1"/>
  <c r="D825" i="1" s="1"/>
  <c r="D826" i="1" a="1"/>
  <c r="D826" i="1" s="1"/>
  <c r="D827" i="1" a="1"/>
  <c r="D827" i="1" s="1"/>
  <c r="D828" i="1" a="1"/>
  <c r="D828" i="1" s="1"/>
  <c r="D829" i="1" a="1"/>
  <c r="D829" i="1" s="1"/>
  <c r="D830" i="1" a="1"/>
  <c r="D830" i="1" s="1"/>
  <c r="D831" i="1" a="1"/>
  <c r="D831" i="1" s="1"/>
  <c r="D832" i="1" a="1"/>
  <c r="D832" i="1" s="1"/>
  <c r="D833" i="1" a="1"/>
  <c r="D833" i="1" s="1"/>
  <c r="D834" i="1" a="1"/>
  <c r="D834" i="1" s="1"/>
  <c r="D835" i="1" a="1"/>
  <c r="D835" i="1" s="1"/>
  <c r="D836" i="1" a="1"/>
  <c r="D836" i="1" s="1"/>
  <c r="D837" i="1" a="1"/>
  <c r="D837" i="1" s="1"/>
  <c r="D838" i="1" a="1"/>
  <c r="D838" i="1" s="1"/>
  <c r="D839" i="1" a="1"/>
  <c r="D839" i="1" s="1"/>
  <c r="D840" i="1" a="1"/>
  <c r="D840" i="1" s="1"/>
  <c r="D841" i="1" a="1"/>
  <c r="D841" i="1" s="1"/>
  <c r="D842" i="1" a="1"/>
  <c r="D842" i="1" s="1"/>
  <c r="D843" i="1" a="1"/>
  <c r="D843" i="1" s="1"/>
  <c r="D844" i="1" a="1"/>
  <c r="D844" i="1" s="1"/>
  <c r="D845" i="1" a="1"/>
  <c r="D845" i="1" s="1"/>
  <c r="D846" i="1" a="1"/>
  <c r="D846" i="1" s="1"/>
  <c r="D847" i="1" a="1"/>
  <c r="D847" i="1" s="1"/>
  <c r="D848" i="1" a="1"/>
  <c r="D848" i="1" s="1"/>
  <c r="D849" i="1" a="1"/>
  <c r="D849" i="1" s="1"/>
  <c r="D850" i="1" a="1"/>
  <c r="D850" i="1" s="1"/>
  <c r="D851" i="1" a="1"/>
  <c r="D851" i="1" s="1"/>
  <c r="D852" i="1" a="1"/>
  <c r="D852" i="1" s="1"/>
  <c r="D853" i="1" a="1"/>
  <c r="D853" i="1" s="1"/>
  <c r="D854" i="1" a="1"/>
  <c r="D854" i="1" s="1"/>
  <c r="D855" i="1" a="1"/>
  <c r="D855" i="1" s="1"/>
  <c r="D856" i="1" a="1"/>
  <c r="D856" i="1" s="1"/>
  <c r="D857" i="1" a="1"/>
  <c r="D857" i="1" s="1"/>
  <c r="D858" i="1" a="1"/>
  <c r="D858" i="1" s="1"/>
  <c r="D859" i="1" a="1"/>
  <c r="D859" i="1" s="1"/>
  <c r="D860" i="1" a="1"/>
  <c r="D860" i="1" s="1"/>
  <c r="D861" i="1" a="1"/>
  <c r="D861" i="1" s="1"/>
  <c r="D862" i="1" a="1"/>
  <c r="D862" i="1" s="1"/>
  <c r="D863" i="1" a="1"/>
  <c r="D863" i="1" s="1"/>
  <c r="D864" i="1" a="1"/>
  <c r="D864" i="1" s="1"/>
  <c r="D865" i="1" a="1"/>
  <c r="D865" i="1" s="1"/>
  <c r="D866" i="1" a="1"/>
  <c r="D866" i="1" s="1"/>
  <c r="D867" i="1" a="1"/>
  <c r="D867" i="1" s="1"/>
  <c r="D868" i="1" a="1"/>
  <c r="D868" i="1" s="1"/>
  <c r="D869" i="1" a="1"/>
  <c r="D869" i="1" s="1"/>
  <c r="D870" i="1" a="1"/>
  <c r="D870" i="1" s="1"/>
  <c r="D871" i="1" a="1"/>
  <c r="D871" i="1" s="1"/>
  <c r="D872" i="1" a="1"/>
  <c r="D872" i="1" s="1"/>
  <c r="D873" i="1" a="1"/>
  <c r="D873" i="1" s="1"/>
  <c r="D874" i="1" a="1"/>
  <c r="D874" i="1" s="1"/>
  <c r="D875" i="1" a="1"/>
  <c r="D875" i="1" s="1"/>
  <c r="D876" i="1" a="1"/>
  <c r="D876" i="1" s="1"/>
  <c r="D877" i="1" a="1"/>
  <c r="D877" i="1" s="1"/>
  <c r="D878" i="1" a="1"/>
  <c r="D878" i="1" s="1"/>
  <c r="D879" i="1" a="1"/>
  <c r="D879" i="1" s="1"/>
  <c r="D880" i="1" a="1"/>
  <c r="D880" i="1" s="1"/>
  <c r="D881" i="1" a="1"/>
  <c r="D881" i="1" s="1"/>
  <c r="D882" i="1" a="1"/>
  <c r="D882" i="1" s="1"/>
  <c r="D883" i="1" a="1"/>
  <c r="D883" i="1" s="1"/>
  <c r="D884" i="1" a="1"/>
  <c r="D884" i="1" s="1"/>
  <c r="D885" i="1" a="1"/>
  <c r="D885" i="1" s="1"/>
  <c r="D886" i="1" a="1"/>
  <c r="D886" i="1" s="1"/>
  <c r="D887" i="1" a="1"/>
  <c r="D887" i="1" s="1"/>
  <c r="D888" i="1" a="1"/>
  <c r="D888" i="1" s="1"/>
  <c r="D889" i="1" a="1"/>
  <c r="D889" i="1" s="1"/>
  <c r="D890" i="1" a="1"/>
  <c r="D890" i="1" s="1"/>
  <c r="D891" i="1" a="1"/>
  <c r="D891" i="1" s="1"/>
  <c r="D892" i="1" a="1"/>
  <c r="D892" i="1" s="1"/>
  <c r="D893" i="1" a="1"/>
  <c r="D893" i="1" s="1"/>
  <c r="D894" i="1" a="1"/>
  <c r="D894" i="1" s="1"/>
  <c r="D895" i="1" a="1"/>
  <c r="D895" i="1" s="1"/>
  <c r="D896" i="1" a="1"/>
  <c r="D896" i="1" s="1"/>
  <c r="D897" i="1" a="1"/>
  <c r="D897" i="1" s="1"/>
  <c r="D898" i="1" a="1"/>
  <c r="D898" i="1" s="1"/>
  <c r="D899" i="1" a="1"/>
  <c r="D899" i="1" s="1"/>
  <c r="D900" i="1" a="1"/>
  <c r="D900" i="1" s="1"/>
  <c r="D901" i="1" a="1"/>
  <c r="D901" i="1" s="1"/>
  <c r="D902" i="1" a="1"/>
  <c r="D902" i="1" s="1"/>
  <c r="D903" i="1" a="1"/>
  <c r="D903" i="1" s="1"/>
  <c r="D904" i="1" a="1"/>
  <c r="D904" i="1" s="1"/>
  <c r="D905" i="1" a="1"/>
  <c r="D905" i="1" s="1"/>
  <c r="D906" i="1" a="1"/>
  <c r="D906" i="1" s="1"/>
  <c r="D907" i="1" a="1"/>
  <c r="D907" i="1" s="1"/>
  <c r="D908" i="1" a="1"/>
  <c r="D908" i="1" s="1"/>
  <c r="D909" i="1" a="1"/>
  <c r="D909" i="1" s="1"/>
  <c r="D910" i="1" a="1"/>
  <c r="D910" i="1" s="1"/>
  <c r="D911" i="1" a="1"/>
  <c r="D911" i="1" s="1"/>
  <c r="D912" i="1" a="1"/>
  <c r="D912" i="1" s="1"/>
  <c r="D913" i="1" a="1"/>
  <c r="D913" i="1" s="1"/>
  <c r="D914" i="1" a="1"/>
  <c r="D914" i="1" s="1"/>
  <c r="D915" i="1" a="1"/>
  <c r="D915" i="1" s="1"/>
  <c r="D916" i="1" a="1"/>
  <c r="D916" i="1" s="1"/>
  <c r="D917" i="1" a="1"/>
  <c r="D917" i="1" s="1"/>
  <c r="D918" i="1" a="1"/>
  <c r="D918" i="1" s="1"/>
  <c r="D919" i="1" a="1"/>
  <c r="D919" i="1" s="1"/>
  <c r="D920" i="1" a="1"/>
  <c r="D920" i="1" s="1"/>
  <c r="D921" i="1" a="1"/>
  <c r="D921" i="1" s="1"/>
  <c r="D922" i="1" a="1"/>
  <c r="D922" i="1" s="1"/>
  <c r="D923" i="1" a="1"/>
  <c r="D923" i="1" s="1"/>
  <c r="D924" i="1" a="1"/>
  <c r="D924" i="1" s="1"/>
  <c r="D925" i="1" a="1"/>
  <c r="D925" i="1" s="1"/>
  <c r="D926" i="1" a="1"/>
  <c r="D926" i="1" s="1"/>
  <c r="D927" i="1" a="1"/>
  <c r="D927" i="1" s="1"/>
  <c r="D928" i="1" a="1"/>
  <c r="D928" i="1" s="1"/>
  <c r="D929" i="1" a="1"/>
  <c r="D929" i="1" s="1"/>
  <c r="D930" i="1" a="1"/>
  <c r="D930" i="1" s="1"/>
  <c r="D931" i="1" a="1"/>
  <c r="D931" i="1" s="1"/>
  <c r="D932" i="1" a="1"/>
  <c r="D932" i="1" s="1"/>
  <c r="D933" i="1" a="1"/>
  <c r="D933" i="1" s="1"/>
  <c r="D934" i="1" a="1"/>
  <c r="D934" i="1" s="1"/>
  <c r="D935" i="1" a="1"/>
  <c r="D935" i="1" s="1"/>
  <c r="D936" i="1" a="1"/>
  <c r="D936" i="1" s="1"/>
  <c r="D937" i="1" a="1"/>
  <c r="D937" i="1" s="1"/>
  <c r="D938" i="1" a="1"/>
  <c r="D938" i="1" s="1"/>
  <c r="D939" i="1" a="1"/>
  <c r="D939" i="1" s="1"/>
  <c r="D940" i="1" a="1"/>
  <c r="D940" i="1" s="1"/>
  <c r="D941" i="1" a="1"/>
  <c r="D941" i="1" s="1"/>
  <c r="D942" i="1" a="1"/>
  <c r="D942" i="1" s="1"/>
  <c r="D943" i="1" a="1"/>
  <c r="D943" i="1" s="1"/>
  <c r="D944" i="1" a="1"/>
  <c r="D944" i="1" s="1"/>
  <c r="D945" i="1" a="1"/>
  <c r="D945" i="1" s="1"/>
  <c r="D946" i="1" a="1"/>
  <c r="D946" i="1" s="1"/>
  <c r="D947" i="1" a="1"/>
  <c r="D947" i="1" s="1"/>
  <c r="D948" i="1" a="1"/>
  <c r="D948" i="1" s="1"/>
  <c r="D949" i="1" a="1"/>
  <c r="D949" i="1" s="1"/>
  <c r="D950" i="1" a="1"/>
  <c r="D950" i="1" s="1"/>
  <c r="D951" i="1" a="1"/>
  <c r="D951" i="1" s="1"/>
  <c r="D952" i="1" a="1"/>
  <c r="D952" i="1" s="1"/>
  <c r="D953" i="1" a="1"/>
  <c r="D953" i="1" s="1"/>
  <c r="D954" i="1" a="1"/>
  <c r="D954" i="1" s="1"/>
  <c r="D955" i="1" a="1"/>
  <c r="D955" i="1" s="1"/>
  <c r="D956" i="1" a="1"/>
  <c r="D956" i="1" s="1"/>
  <c r="D957" i="1" a="1"/>
  <c r="D957" i="1" s="1"/>
  <c r="D958" i="1" a="1"/>
  <c r="D958" i="1" s="1"/>
  <c r="D959" i="1" a="1"/>
  <c r="D959" i="1" s="1"/>
  <c r="D960" i="1" a="1"/>
  <c r="D960" i="1" s="1"/>
  <c r="D961" i="1" a="1"/>
  <c r="D961" i="1" s="1"/>
  <c r="D962" i="1" a="1"/>
  <c r="D962" i="1" s="1"/>
  <c r="D963" i="1" a="1"/>
  <c r="D963" i="1" s="1"/>
  <c r="D964" i="1" a="1"/>
  <c r="D964" i="1" s="1"/>
  <c r="D965" i="1" a="1"/>
  <c r="D965" i="1" s="1"/>
  <c r="D966" i="1" a="1"/>
  <c r="D966" i="1" s="1"/>
  <c r="D967" i="1" a="1"/>
  <c r="D967" i="1" s="1"/>
  <c r="D968" i="1" a="1"/>
  <c r="D968" i="1" s="1"/>
  <c r="D969" i="1" a="1"/>
  <c r="D969" i="1" s="1"/>
  <c r="D970" i="1" a="1"/>
  <c r="D970" i="1" s="1"/>
  <c r="D971" i="1" a="1"/>
  <c r="D971" i="1" s="1"/>
  <c r="D972" i="1" a="1"/>
  <c r="D972" i="1" s="1"/>
  <c r="D973" i="1" a="1"/>
  <c r="D973" i="1" s="1"/>
  <c r="D974" i="1" a="1"/>
  <c r="D974" i="1" s="1"/>
  <c r="D975" i="1" a="1"/>
  <c r="D975" i="1" s="1"/>
  <c r="D976" i="1" a="1"/>
  <c r="D976" i="1" s="1"/>
  <c r="D977" i="1" a="1"/>
  <c r="D977" i="1" s="1"/>
  <c r="D978" i="1" a="1"/>
  <c r="D978" i="1" s="1"/>
  <c r="D979" i="1" a="1"/>
  <c r="D979" i="1" s="1"/>
  <c r="D980" i="1" a="1"/>
  <c r="D980" i="1" s="1"/>
  <c r="D981" i="1" a="1"/>
  <c r="D981" i="1" s="1"/>
  <c r="D982" i="1" a="1"/>
  <c r="D982" i="1" s="1"/>
  <c r="D983" i="1" a="1"/>
  <c r="D983" i="1" s="1"/>
  <c r="D984" i="1" a="1"/>
  <c r="D984" i="1" s="1"/>
  <c r="D985" i="1" a="1"/>
  <c r="D985" i="1" s="1"/>
  <c r="D986" i="1" a="1"/>
  <c r="D986" i="1" s="1"/>
  <c r="D987" i="1" a="1"/>
  <c r="D987" i="1" s="1"/>
  <c r="D988" i="1" a="1"/>
  <c r="D988" i="1" s="1"/>
  <c r="D989" i="1" a="1"/>
  <c r="D989" i="1" s="1"/>
  <c r="D990" i="1" a="1"/>
  <c r="D990" i="1" s="1"/>
  <c r="D991" i="1" a="1"/>
  <c r="D991" i="1" s="1"/>
  <c r="D992" i="1" a="1"/>
  <c r="D992" i="1" s="1"/>
  <c r="D993" i="1" a="1"/>
  <c r="D993" i="1" s="1"/>
  <c r="D994" i="1" a="1"/>
  <c r="D994" i="1" s="1"/>
  <c r="D995" i="1" a="1"/>
  <c r="D995" i="1" s="1"/>
  <c r="D996" i="1" a="1"/>
  <c r="D996" i="1" s="1"/>
  <c r="D997" i="1" a="1"/>
  <c r="D997" i="1" s="1"/>
  <c r="D998" i="1" a="1"/>
  <c r="D998" i="1" s="1"/>
  <c r="D999" i="1" a="1"/>
  <c r="D999" i="1" s="1"/>
  <c r="D1000" i="1" a="1"/>
  <c r="D1000" i="1" s="1"/>
  <c r="D1001" i="1" a="1"/>
  <c r="D1001" i="1" s="1"/>
  <c r="D1002" i="1" a="1"/>
  <c r="D1002" i="1" s="1"/>
  <c r="D1003" i="1" a="1"/>
  <c r="D1003" i="1" s="1"/>
  <c r="D1004" i="1" a="1"/>
  <c r="D1004" i="1" s="1"/>
  <c r="D1005" i="1" a="1"/>
  <c r="D1005" i="1" s="1"/>
  <c r="D1006" i="1" a="1"/>
  <c r="D1006" i="1" s="1"/>
  <c r="D1007" i="1" a="1"/>
  <c r="D1007" i="1" s="1"/>
  <c r="D1008" i="1" a="1"/>
  <c r="D1008" i="1" s="1"/>
  <c r="D1009" i="1" a="1"/>
  <c r="D1009" i="1" s="1"/>
  <c r="D1010" i="1" a="1"/>
  <c r="D1010" i="1" s="1"/>
  <c r="D1011" i="1" a="1"/>
  <c r="D1011" i="1" s="1"/>
  <c r="D1012" i="1" a="1"/>
  <c r="D1012" i="1" s="1"/>
  <c r="D1013" i="1" a="1"/>
  <c r="D1013" i="1" s="1"/>
  <c r="D1014" i="1" a="1"/>
  <c r="D1014" i="1" s="1"/>
  <c r="D1015" i="1" a="1"/>
  <c r="D1015" i="1" s="1"/>
  <c r="D1016" i="1" a="1"/>
  <c r="D1016" i="1" s="1"/>
  <c r="D1017" i="1" a="1"/>
  <c r="D1017" i="1" s="1"/>
  <c r="D1018" i="1" a="1"/>
  <c r="D1018" i="1" s="1"/>
  <c r="D1019" i="1" a="1"/>
  <c r="D1019" i="1" s="1"/>
  <c r="D1020" i="1" a="1"/>
  <c r="D1020" i="1" s="1"/>
  <c r="D1021" i="1" a="1"/>
  <c r="D1021" i="1" s="1"/>
  <c r="D1022" i="1" a="1"/>
  <c r="D1022" i="1" s="1"/>
  <c r="D1023" i="1" a="1"/>
  <c r="D1023" i="1" s="1"/>
  <c r="D1024" i="1" a="1"/>
  <c r="D1024" i="1" s="1"/>
  <c r="D1025" i="1" a="1"/>
  <c r="D1025" i="1" s="1"/>
  <c r="D1026" i="1" a="1"/>
  <c r="D1026" i="1" s="1"/>
  <c r="D1027" i="1" a="1"/>
  <c r="D1027" i="1" s="1"/>
  <c r="D1028" i="1" a="1"/>
  <c r="D1028" i="1" s="1"/>
  <c r="D1029" i="1" a="1"/>
  <c r="D1029" i="1" s="1"/>
  <c r="D1030" i="1" a="1"/>
  <c r="D1030" i="1" s="1"/>
  <c r="D1031" i="1" a="1"/>
  <c r="D1031" i="1" s="1"/>
  <c r="D1032" i="1" a="1"/>
  <c r="D1032" i="1" s="1"/>
  <c r="D1033" i="1" a="1"/>
  <c r="D1033" i="1" s="1"/>
  <c r="D1034" i="1" a="1"/>
  <c r="D1034" i="1" s="1"/>
  <c r="D1035" i="1" a="1"/>
  <c r="D1035" i="1" s="1"/>
  <c r="D1036" i="1" a="1"/>
  <c r="D1036" i="1" s="1"/>
  <c r="D1037" i="1" a="1"/>
  <c r="D1037" i="1" s="1"/>
  <c r="D1038" i="1" a="1"/>
  <c r="D1038" i="1" s="1"/>
  <c r="D1039" i="1" a="1"/>
  <c r="D1039" i="1" s="1"/>
  <c r="D1040" i="1" a="1"/>
  <c r="D1040" i="1" s="1"/>
  <c r="D1041" i="1" a="1"/>
  <c r="D1041" i="1" s="1"/>
  <c r="D1042" i="1" a="1"/>
  <c r="D1042" i="1" s="1"/>
  <c r="D1043" i="1" a="1"/>
  <c r="D1043" i="1" s="1"/>
  <c r="D1044" i="1" a="1"/>
  <c r="D1044" i="1" s="1"/>
  <c r="D1045" i="1" a="1"/>
  <c r="D1045" i="1" s="1"/>
  <c r="D1046" i="1" a="1"/>
  <c r="D1046" i="1" s="1"/>
  <c r="D1047" i="1" a="1"/>
  <c r="D1047" i="1" s="1"/>
  <c r="D1048" i="1" a="1"/>
  <c r="D1048" i="1" s="1"/>
  <c r="D1049" i="1" a="1"/>
  <c r="D1049" i="1" s="1"/>
  <c r="D1050" i="1" a="1"/>
  <c r="D1050" i="1" s="1"/>
  <c r="D1051" i="1" a="1"/>
  <c r="D1051" i="1" s="1"/>
  <c r="D1052" i="1" a="1"/>
  <c r="D1052" i="1" s="1"/>
  <c r="D1053" i="1" a="1"/>
  <c r="D1053" i="1" s="1"/>
  <c r="D1054" i="1" a="1"/>
  <c r="D1054" i="1" s="1"/>
  <c r="D1055" i="1" a="1"/>
  <c r="D1055" i="1" s="1"/>
  <c r="D1056" i="1" a="1"/>
  <c r="D1056" i="1" s="1"/>
  <c r="D1057" i="1" a="1"/>
  <c r="D1057" i="1" s="1"/>
  <c r="D1058" i="1" a="1"/>
  <c r="D1058" i="1" s="1"/>
  <c r="D1059" i="1" a="1"/>
  <c r="D1059" i="1" s="1"/>
  <c r="D1060" i="1" a="1"/>
  <c r="D1060" i="1" s="1"/>
  <c r="D1061" i="1" a="1"/>
  <c r="D1061" i="1" s="1"/>
  <c r="D1062" i="1" a="1"/>
  <c r="D1062" i="1" s="1"/>
  <c r="D1063" i="1" a="1"/>
  <c r="D1063" i="1" s="1"/>
  <c r="D1064" i="1" a="1"/>
  <c r="D1064" i="1" s="1"/>
  <c r="D1065" i="1" a="1"/>
  <c r="D1065" i="1" s="1"/>
  <c r="D1066" i="1" a="1"/>
  <c r="D1066" i="1" s="1"/>
  <c r="D1067" i="1" a="1"/>
  <c r="D1067" i="1" s="1"/>
  <c r="D1068" i="1" a="1"/>
  <c r="D1068" i="1" s="1"/>
  <c r="D1069" i="1" a="1"/>
  <c r="D1069" i="1" s="1"/>
  <c r="D1070" i="1" a="1"/>
  <c r="D1070" i="1" s="1"/>
  <c r="D1071" i="1" a="1"/>
  <c r="D1071" i="1" s="1"/>
  <c r="D1072" i="1" a="1"/>
  <c r="D1072" i="1" s="1"/>
  <c r="D1073" i="1" a="1"/>
  <c r="D1073" i="1" s="1"/>
  <c r="D1074" i="1" a="1"/>
  <c r="D1074" i="1" s="1"/>
  <c r="D1075" i="1" a="1"/>
  <c r="D1075" i="1" s="1"/>
  <c r="D1076" i="1" a="1"/>
  <c r="D1076" i="1" s="1"/>
  <c r="D1077" i="1" a="1"/>
  <c r="D1077" i="1" s="1"/>
  <c r="D1078" i="1" a="1"/>
  <c r="D1078" i="1" s="1"/>
  <c r="D1079" i="1" a="1"/>
  <c r="D1079" i="1" s="1"/>
  <c r="D1080" i="1" a="1"/>
  <c r="D1080" i="1" s="1"/>
  <c r="D1081" i="1" a="1"/>
  <c r="D1081" i="1" s="1"/>
  <c r="D1082" i="1" a="1"/>
  <c r="D1082" i="1" s="1"/>
  <c r="D1083" i="1" a="1"/>
  <c r="D1083" i="1" s="1"/>
  <c r="D1084" i="1" a="1"/>
  <c r="D1084" i="1" s="1"/>
  <c r="D1085" i="1" a="1"/>
  <c r="D1085" i="1" s="1"/>
  <c r="D1086" i="1" a="1"/>
  <c r="D1086" i="1" s="1"/>
  <c r="D1087" i="1" a="1"/>
  <c r="D1087" i="1" s="1"/>
  <c r="D1088" i="1" a="1"/>
  <c r="D1088" i="1" s="1"/>
  <c r="D1089" i="1" a="1"/>
  <c r="D1089" i="1" s="1"/>
  <c r="D1090" i="1" a="1"/>
  <c r="D1090" i="1" s="1"/>
  <c r="D1091" i="1" a="1"/>
  <c r="D1091" i="1" s="1"/>
  <c r="D1092" i="1" a="1"/>
  <c r="D1092" i="1" s="1"/>
  <c r="D1093" i="1" a="1"/>
  <c r="D1093" i="1" s="1"/>
  <c r="D1094" i="1" a="1"/>
  <c r="D1094" i="1" s="1"/>
  <c r="D1095" i="1" a="1"/>
  <c r="D1095" i="1" s="1"/>
  <c r="D1096" i="1" a="1"/>
  <c r="D1096" i="1" s="1"/>
  <c r="D1097" i="1" a="1"/>
  <c r="D1097" i="1" s="1"/>
  <c r="D1098" i="1" a="1"/>
  <c r="D1098" i="1" s="1"/>
  <c r="D1099" i="1" a="1"/>
  <c r="D1099" i="1" s="1"/>
  <c r="D1100" i="1" a="1"/>
  <c r="D1100" i="1" s="1"/>
  <c r="D1101" i="1" a="1"/>
  <c r="D1101" i="1" s="1"/>
  <c r="D1102" i="1" a="1"/>
  <c r="D1102" i="1" s="1"/>
  <c r="D1103" i="1" a="1"/>
  <c r="D1103" i="1" s="1"/>
  <c r="D1104" i="1" a="1"/>
  <c r="D1104" i="1" s="1"/>
  <c r="D1105" i="1" a="1"/>
  <c r="D1105" i="1" s="1"/>
  <c r="D1106" i="1" a="1"/>
  <c r="D1106" i="1" s="1"/>
  <c r="D1107" i="1" a="1"/>
  <c r="D1107" i="1" s="1"/>
  <c r="D1108" i="1" a="1"/>
  <c r="D1108" i="1" s="1"/>
  <c r="D1109" i="1" a="1"/>
  <c r="D1109" i="1" s="1"/>
  <c r="D1110" i="1" a="1"/>
  <c r="D1110" i="1" s="1"/>
  <c r="D1111" i="1" a="1"/>
  <c r="D1111" i="1" s="1"/>
  <c r="D1112" i="1" a="1"/>
  <c r="D1112" i="1" s="1"/>
  <c r="D1113" i="1" a="1"/>
  <c r="D1113" i="1" s="1"/>
  <c r="D1114" i="1" a="1"/>
  <c r="D1114" i="1" s="1"/>
  <c r="D1115" i="1" a="1"/>
  <c r="D1115" i="1" s="1"/>
  <c r="D1116" i="1" a="1"/>
  <c r="D1116" i="1" s="1"/>
  <c r="D1117" i="1" a="1"/>
  <c r="D1117" i="1" s="1"/>
  <c r="D1118" i="1" a="1"/>
  <c r="D1118" i="1" s="1"/>
  <c r="D1119" i="1" a="1"/>
  <c r="D1119" i="1" s="1"/>
  <c r="D1120" i="1" a="1"/>
  <c r="D1120" i="1" s="1"/>
  <c r="D1121" i="1" a="1"/>
  <c r="D1121" i="1" s="1"/>
  <c r="D1122" i="1" a="1"/>
  <c r="D1122" i="1" s="1"/>
  <c r="D1123" i="1" a="1"/>
  <c r="D1123" i="1" s="1"/>
  <c r="D1124" i="1" a="1"/>
  <c r="D1124" i="1" s="1"/>
  <c r="D1125" i="1" a="1"/>
  <c r="D1125" i="1" s="1"/>
  <c r="D1126" i="1" a="1"/>
  <c r="D1126" i="1" s="1"/>
  <c r="D1127" i="1" a="1"/>
  <c r="D1127" i="1" s="1"/>
  <c r="D1128" i="1" a="1"/>
  <c r="D1128" i="1" s="1"/>
  <c r="D1129" i="1" a="1"/>
  <c r="D1129" i="1" s="1"/>
  <c r="D1130" i="1" a="1"/>
  <c r="D1130" i="1" s="1"/>
  <c r="D1131" i="1" a="1"/>
  <c r="D1131" i="1" s="1"/>
  <c r="D1132" i="1" a="1"/>
  <c r="D1132" i="1" s="1"/>
  <c r="D1133" i="1" a="1"/>
  <c r="D1133" i="1" s="1"/>
  <c r="D1134" i="1" a="1"/>
  <c r="D1134" i="1" s="1"/>
  <c r="D1135" i="1" a="1"/>
  <c r="D1135" i="1" s="1"/>
  <c r="D1136" i="1" a="1"/>
  <c r="D1136" i="1" s="1"/>
  <c r="D1137" i="1" a="1"/>
  <c r="D1137" i="1" s="1"/>
  <c r="D1138" i="1" a="1"/>
  <c r="D1138" i="1" s="1"/>
  <c r="D1139" i="1" a="1"/>
  <c r="D1139" i="1" s="1"/>
  <c r="D1140" i="1" a="1"/>
  <c r="D1140" i="1" s="1"/>
  <c r="D1141" i="1" a="1"/>
  <c r="D1141" i="1" s="1"/>
  <c r="D1142" i="1" a="1"/>
  <c r="D1142" i="1" s="1"/>
  <c r="D1143" i="1" a="1"/>
  <c r="D1143" i="1" s="1"/>
  <c r="D1144" i="1" a="1"/>
  <c r="D1144" i="1" s="1"/>
  <c r="D1145" i="1" a="1"/>
  <c r="D1145" i="1" s="1"/>
  <c r="D1146" i="1" a="1"/>
  <c r="D1146" i="1" s="1"/>
  <c r="D1147" i="1" a="1"/>
  <c r="D1147" i="1" s="1"/>
  <c r="D1148" i="1" a="1"/>
  <c r="D1148" i="1" s="1"/>
  <c r="D1149" i="1" a="1"/>
  <c r="D1149" i="1" s="1"/>
  <c r="D1150" i="1" a="1"/>
  <c r="D1150" i="1" s="1"/>
  <c r="D1151" i="1" a="1"/>
  <c r="D1151" i="1" s="1"/>
  <c r="D1152" i="1" a="1"/>
  <c r="D1152" i="1" s="1"/>
  <c r="D1153" i="1" a="1"/>
  <c r="D1153" i="1" s="1"/>
  <c r="D1154" i="1" a="1"/>
  <c r="D1154" i="1" s="1"/>
  <c r="D1155" i="1" a="1"/>
  <c r="D1155" i="1" s="1"/>
  <c r="D1156" i="1" a="1"/>
  <c r="D1156" i="1" s="1"/>
  <c r="D1157" i="1" a="1"/>
  <c r="D1157" i="1" s="1"/>
  <c r="D1158" i="1" a="1"/>
  <c r="D1158" i="1" s="1"/>
  <c r="D1159" i="1" a="1"/>
  <c r="D1159" i="1" s="1"/>
  <c r="D1160" i="1" a="1"/>
  <c r="D1160" i="1" s="1"/>
  <c r="D1161" i="1" a="1"/>
  <c r="D1161" i="1" s="1"/>
  <c r="D1162" i="1" a="1"/>
  <c r="D1162" i="1" s="1"/>
  <c r="D1163" i="1" a="1"/>
  <c r="D1163" i="1" s="1"/>
  <c r="D1164" i="1" a="1"/>
  <c r="D1164" i="1" s="1"/>
  <c r="D1165" i="1" a="1"/>
  <c r="D1165" i="1" s="1"/>
  <c r="D1166" i="1" a="1"/>
  <c r="D1166" i="1" s="1"/>
  <c r="D1167" i="1" a="1"/>
  <c r="D1167" i="1" s="1"/>
  <c r="D1168" i="1" a="1"/>
  <c r="D1168" i="1" s="1"/>
  <c r="D1169" i="1" a="1"/>
  <c r="D1169" i="1" s="1"/>
  <c r="D1170" i="1" a="1"/>
  <c r="D1170" i="1" s="1"/>
  <c r="D1171" i="1" a="1"/>
  <c r="D1171" i="1" s="1"/>
  <c r="D1172" i="1" a="1"/>
  <c r="D1172" i="1" s="1"/>
  <c r="D1173" i="1" a="1"/>
  <c r="D1173" i="1" s="1"/>
  <c r="D1174" i="1" a="1"/>
  <c r="D1174" i="1" s="1"/>
  <c r="D1175" i="1" a="1"/>
  <c r="D1175" i="1" s="1"/>
  <c r="D1176" i="1" a="1"/>
  <c r="D1176" i="1" s="1"/>
  <c r="D1177" i="1" a="1"/>
  <c r="D1177" i="1" s="1"/>
  <c r="D1178" i="1" a="1"/>
  <c r="D1178" i="1" s="1"/>
  <c r="D1179" i="1" a="1"/>
  <c r="D1179" i="1" s="1"/>
  <c r="D1180" i="1" a="1"/>
  <c r="D1180" i="1" s="1"/>
  <c r="D1181" i="1" a="1"/>
  <c r="D1181" i="1" s="1"/>
  <c r="D1182" i="1" a="1"/>
  <c r="D1182" i="1" s="1"/>
  <c r="D1183" i="1" a="1"/>
  <c r="D1183" i="1" s="1"/>
  <c r="D1184" i="1" a="1"/>
  <c r="D1184" i="1" s="1"/>
  <c r="D1185" i="1" a="1"/>
  <c r="D1185" i="1" s="1"/>
  <c r="D1186" i="1" a="1"/>
  <c r="D1186" i="1" s="1"/>
  <c r="D1187" i="1" a="1"/>
  <c r="D1187" i="1" s="1"/>
  <c r="D1188" i="1" a="1"/>
  <c r="D1188" i="1" s="1"/>
  <c r="D1189" i="1" a="1"/>
  <c r="D1189" i="1" s="1"/>
  <c r="D1190" i="1" a="1"/>
  <c r="D1190" i="1" s="1"/>
  <c r="D1191" i="1" a="1"/>
  <c r="D1191" i="1" s="1"/>
  <c r="D1192" i="1" a="1"/>
  <c r="D1192" i="1" s="1"/>
  <c r="D1193" i="1" a="1"/>
  <c r="D1193" i="1" s="1"/>
  <c r="D1194" i="1" a="1"/>
  <c r="D1194" i="1" s="1"/>
  <c r="D1195" i="1" a="1"/>
  <c r="D1195" i="1" s="1"/>
  <c r="D1196" i="1" a="1"/>
  <c r="D1196" i="1" s="1"/>
  <c r="D1197" i="1" a="1"/>
  <c r="D1197" i="1" s="1"/>
  <c r="D1198" i="1" a="1"/>
  <c r="D1198" i="1" s="1"/>
  <c r="D1199" i="1" a="1"/>
  <c r="D1199" i="1" s="1"/>
  <c r="D1200" i="1" a="1"/>
  <c r="D1200" i="1" s="1"/>
  <c r="D1201" i="1" a="1"/>
  <c r="D1201" i="1" s="1"/>
  <c r="D1202" i="1" a="1"/>
  <c r="D1202" i="1" s="1"/>
  <c r="D1203" i="1" a="1"/>
  <c r="D1203" i="1" s="1"/>
  <c r="D1204" i="1" a="1"/>
  <c r="D1204" i="1" s="1"/>
  <c r="D1205" i="1" a="1"/>
  <c r="D1205" i="1" s="1"/>
  <c r="D1206" i="1" a="1"/>
  <c r="D1206" i="1" s="1"/>
  <c r="D1207" i="1" a="1"/>
  <c r="D1207" i="1" s="1"/>
  <c r="D1208" i="1" a="1"/>
  <c r="D1208" i="1" s="1"/>
  <c r="D1209" i="1" a="1"/>
  <c r="D1209" i="1" s="1"/>
  <c r="D1210" i="1" a="1"/>
  <c r="D1210" i="1" s="1"/>
  <c r="D1211" i="1" a="1"/>
  <c r="D1211" i="1" s="1"/>
  <c r="D1212" i="1" a="1"/>
  <c r="D1212" i="1" s="1"/>
  <c r="D1213" i="1" a="1"/>
  <c r="D1213" i="1" s="1"/>
  <c r="D1214" i="1" a="1"/>
  <c r="D1214" i="1" s="1"/>
  <c r="D1215" i="1" a="1"/>
  <c r="D1215" i="1" s="1"/>
  <c r="D1216" i="1" a="1"/>
  <c r="D1216" i="1" s="1"/>
  <c r="D1217" i="1" a="1"/>
  <c r="D1217" i="1" s="1"/>
  <c r="D1218" i="1" a="1"/>
  <c r="D1218" i="1" s="1"/>
  <c r="D1219" i="1" a="1"/>
  <c r="D1219" i="1" s="1"/>
  <c r="D1220" i="1" a="1"/>
  <c r="D1220" i="1" s="1"/>
  <c r="D1221" i="1" a="1"/>
  <c r="D1221" i="1" s="1"/>
  <c r="D1222" i="1" a="1"/>
  <c r="D1222" i="1" s="1"/>
  <c r="D1223" i="1" a="1"/>
  <c r="D1223" i="1" s="1"/>
  <c r="D1224" i="1" a="1"/>
  <c r="D1224" i="1" s="1"/>
  <c r="D1225" i="1" a="1"/>
  <c r="D1225" i="1" s="1"/>
  <c r="D1226" i="1" a="1"/>
  <c r="D1226" i="1" s="1"/>
  <c r="D1227" i="1" a="1"/>
  <c r="D1227" i="1" s="1"/>
  <c r="D1228" i="1" a="1"/>
  <c r="D1228" i="1" s="1"/>
  <c r="D1229" i="1" a="1"/>
  <c r="D1229" i="1" s="1"/>
  <c r="D1230" i="1" a="1"/>
  <c r="D1230" i="1" s="1"/>
  <c r="D1231" i="1" a="1"/>
  <c r="D1231" i="1" s="1"/>
  <c r="D1232" i="1" a="1"/>
  <c r="D1232" i="1" s="1"/>
  <c r="D1233" i="1" a="1"/>
  <c r="D1233" i="1" s="1"/>
  <c r="D1234" i="1" a="1"/>
  <c r="D1234" i="1" s="1"/>
  <c r="D1235" i="1" a="1"/>
  <c r="D1235" i="1" s="1"/>
  <c r="D1236" i="1" a="1"/>
  <c r="D1236" i="1" s="1"/>
  <c r="D1237" i="1" a="1"/>
  <c r="D1237" i="1" s="1"/>
  <c r="D1238" i="1" a="1"/>
  <c r="D1238" i="1" s="1"/>
  <c r="D1239" i="1" a="1"/>
  <c r="D1239" i="1" s="1"/>
  <c r="D1240" i="1" a="1"/>
  <c r="D1240" i="1" s="1"/>
  <c r="D1241" i="1" a="1"/>
  <c r="D1241" i="1" s="1"/>
  <c r="D1242" i="1" a="1"/>
  <c r="D1242" i="1" s="1"/>
  <c r="D1243" i="1" a="1"/>
  <c r="D1243" i="1" s="1"/>
  <c r="D1244" i="1" a="1"/>
  <c r="D1244" i="1" s="1"/>
  <c r="D1245" i="1" a="1"/>
  <c r="D1245" i="1" s="1"/>
  <c r="D1246" i="1" a="1"/>
  <c r="D1246" i="1" s="1"/>
  <c r="D1247" i="1" a="1"/>
  <c r="D1247" i="1" s="1"/>
  <c r="D1248" i="1" a="1"/>
  <c r="D1248" i="1" s="1"/>
  <c r="D1249" i="1" a="1"/>
  <c r="D1249" i="1" s="1"/>
  <c r="D1250" i="1" a="1"/>
  <c r="D1250" i="1" s="1"/>
  <c r="D1251" i="1" a="1"/>
  <c r="D1251" i="1" s="1"/>
  <c r="D1252" i="1" a="1"/>
  <c r="D1252" i="1" s="1"/>
  <c r="D1253" i="1" a="1"/>
  <c r="D1253" i="1" s="1"/>
  <c r="D1254" i="1" a="1"/>
  <c r="D1254" i="1" s="1"/>
  <c r="D1255" i="1" a="1"/>
  <c r="D1255" i="1" s="1"/>
  <c r="D1256" i="1" a="1"/>
  <c r="D1256" i="1" s="1"/>
  <c r="D1257" i="1" a="1"/>
  <c r="D1257" i="1" s="1"/>
  <c r="D1258" i="1" a="1"/>
  <c r="D1258" i="1" s="1"/>
  <c r="D1259" i="1" a="1"/>
  <c r="D1259" i="1" s="1"/>
  <c r="D1260" i="1" a="1"/>
  <c r="D1260" i="1" s="1"/>
  <c r="D1261" i="1" a="1"/>
  <c r="D1261" i="1" s="1"/>
  <c r="D1262" i="1" a="1"/>
  <c r="D1262" i="1" s="1"/>
  <c r="D1263" i="1" a="1"/>
  <c r="D1263" i="1" s="1"/>
  <c r="D1264" i="1" a="1"/>
  <c r="D1264" i="1" s="1"/>
  <c r="D1265" i="1" a="1"/>
  <c r="D1265" i="1" s="1"/>
  <c r="D1266" i="1" a="1"/>
  <c r="D1266" i="1" s="1"/>
  <c r="D1267" i="1" a="1"/>
  <c r="D1267" i="1" s="1"/>
  <c r="D1268" i="1" a="1"/>
  <c r="D1268" i="1" s="1"/>
  <c r="D1269" i="1" a="1"/>
  <c r="D1269" i="1" s="1"/>
  <c r="D1270" i="1" a="1"/>
  <c r="D1270" i="1" s="1"/>
  <c r="D1271" i="1" a="1"/>
  <c r="D1271" i="1" s="1"/>
  <c r="D1272" i="1" a="1"/>
  <c r="D1272" i="1" s="1"/>
  <c r="D1273" i="1" a="1"/>
  <c r="D1273" i="1" s="1"/>
  <c r="D1274" i="1" a="1"/>
  <c r="D1274" i="1" s="1"/>
  <c r="D1275" i="1" a="1"/>
  <c r="D1275" i="1" s="1"/>
  <c r="D1276" i="1" a="1"/>
  <c r="D1276" i="1" s="1"/>
  <c r="D1277" i="1" a="1"/>
  <c r="D1277" i="1" s="1"/>
  <c r="D1278" i="1" a="1"/>
  <c r="D1278" i="1" s="1"/>
  <c r="D1279" i="1" a="1"/>
  <c r="D1279" i="1" s="1"/>
  <c r="D1280" i="1" a="1"/>
  <c r="D1280" i="1" s="1"/>
  <c r="D1281" i="1" a="1"/>
  <c r="D1281" i="1" s="1"/>
  <c r="D1282" i="1" a="1"/>
  <c r="D1282" i="1" s="1"/>
  <c r="D1283" i="1" a="1"/>
  <c r="D1283" i="1" s="1"/>
  <c r="D1284" i="1" a="1"/>
  <c r="D1284" i="1" s="1"/>
  <c r="D1285" i="1" a="1"/>
  <c r="D1285" i="1" s="1"/>
  <c r="D1286" i="1" a="1"/>
  <c r="D1286" i="1" s="1"/>
  <c r="D1287" i="1" a="1"/>
  <c r="D1287" i="1" s="1"/>
  <c r="D1288" i="1" a="1"/>
  <c r="D1288" i="1" s="1"/>
  <c r="D1289" i="1" a="1"/>
  <c r="D1289" i="1" s="1"/>
  <c r="D1290" i="1" a="1"/>
  <c r="D1290" i="1" s="1"/>
  <c r="D1291" i="1" a="1"/>
  <c r="D1291" i="1" s="1"/>
  <c r="D1292" i="1" a="1"/>
  <c r="D1292" i="1" s="1"/>
  <c r="D1293" i="1" a="1"/>
  <c r="D1293" i="1" s="1"/>
  <c r="D1294" i="1" a="1"/>
  <c r="D1294" i="1" s="1"/>
  <c r="D1295" i="1" a="1"/>
  <c r="D1295" i="1" s="1"/>
  <c r="D1296" i="1" a="1"/>
  <c r="D1296" i="1" s="1"/>
  <c r="D1297" i="1" a="1"/>
  <c r="D1297" i="1" s="1"/>
  <c r="D1298" i="1" a="1"/>
  <c r="D1298" i="1" s="1"/>
  <c r="D1299" i="1" a="1"/>
  <c r="D1299" i="1" s="1"/>
  <c r="D1300" i="1" a="1"/>
  <c r="D1300" i="1" s="1"/>
  <c r="D1301" i="1" a="1"/>
  <c r="D1301" i="1" s="1"/>
  <c r="D1302" i="1" a="1"/>
  <c r="D1302" i="1" s="1"/>
  <c r="D1303" i="1" a="1"/>
  <c r="D1303" i="1" s="1"/>
  <c r="D1304" i="1" a="1"/>
  <c r="D1304" i="1" s="1"/>
  <c r="D1305" i="1" a="1"/>
  <c r="D1305" i="1" s="1"/>
  <c r="D1306" i="1" a="1"/>
  <c r="D1306" i="1" s="1"/>
  <c r="D1307" i="1" a="1"/>
  <c r="D1307" i="1" s="1"/>
  <c r="D1308" i="1" a="1"/>
  <c r="D1308" i="1" s="1"/>
  <c r="D1309" i="1" a="1"/>
  <c r="D1309" i="1" s="1"/>
  <c r="D1310" i="1" a="1"/>
  <c r="D1310" i="1" s="1"/>
  <c r="D1311" i="1" a="1"/>
  <c r="D1311" i="1" s="1"/>
  <c r="D1312" i="1" a="1"/>
  <c r="D1312" i="1" s="1"/>
  <c r="D1313" i="1" a="1"/>
  <c r="D1313" i="1" s="1"/>
  <c r="D1314" i="1" a="1"/>
  <c r="D1314" i="1" s="1"/>
  <c r="D1315" i="1" a="1"/>
  <c r="D1315" i="1" s="1"/>
  <c r="D1316" i="1" a="1"/>
  <c r="D1316" i="1" s="1"/>
  <c r="D1317" i="1" a="1"/>
  <c r="D1317" i="1" s="1"/>
  <c r="D1318" i="1" a="1"/>
  <c r="D1318" i="1" s="1"/>
  <c r="D1319" i="1" a="1"/>
  <c r="D1319" i="1" s="1"/>
  <c r="D1320" i="1" a="1"/>
  <c r="D1320" i="1" s="1"/>
  <c r="D1321" i="1" a="1"/>
  <c r="D1321" i="1" s="1"/>
  <c r="D1322" i="1" a="1"/>
  <c r="D1322" i="1" s="1"/>
  <c r="D1323" i="1" a="1"/>
  <c r="D1323" i="1" s="1"/>
  <c r="D1324" i="1" a="1"/>
  <c r="D1324" i="1" s="1"/>
  <c r="D1325" i="1" a="1"/>
  <c r="D1325" i="1" s="1"/>
  <c r="D1326" i="1" a="1"/>
  <c r="D1326" i="1" s="1"/>
  <c r="D1327" i="1" a="1"/>
  <c r="D1327" i="1" s="1"/>
  <c r="D1328" i="1" a="1"/>
  <c r="D1328" i="1" s="1"/>
  <c r="D1329" i="1" a="1"/>
  <c r="D1329" i="1" s="1"/>
  <c r="D1330" i="1" a="1"/>
  <c r="D1330" i="1" s="1"/>
  <c r="D1331" i="1" a="1"/>
  <c r="D1331" i="1" s="1"/>
  <c r="D1332" i="1" a="1"/>
  <c r="D1332" i="1" s="1"/>
  <c r="D1333" i="1" a="1"/>
  <c r="D1333" i="1" s="1"/>
  <c r="D1334" i="1" a="1"/>
  <c r="D1334" i="1" s="1"/>
  <c r="D1335" i="1" a="1"/>
  <c r="D1335" i="1" s="1"/>
  <c r="D1336" i="1" a="1"/>
  <c r="D1336" i="1" s="1"/>
  <c r="D1337" i="1" a="1"/>
  <c r="D1337" i="1" s="1"/>
  <c r="D1338" i="1" a="1"/>
  <c r="D1338" i="1" s="1"/>
  <c r="D1339" i="1" a="1"/>
  <c r="D1339" i="1" s="1"/>
  <c r="D1340" i="1" a="1"/>
  <c r="D1340" i="1" s="1"/>
  <c r="D1341" i="1" a="1"/>
  <c r="D1341" i="1" s="1"/>
  <c r="D1342" i="1" a="1"/>
  <c r="D1342" i="1" s="1"/>
  <c r="D1343" i="1" a="1"/>
  <c r="D1343" i="1" s="1"/>
  <c r="D1344" i="1" a="1"/>
  <c r="D1344" i="1" s="1"/>
  <c r="D1345" i="1" a="1"/>
  <c r="D1345" i="1" s="1"/>
  <c r="D1346" i="1" a="1"/>
  <c r="D1346" i="1" s="1"/>
  <c r="D1347" i="1" a="1"/>
  <c r="D1347" i="1" s="1"/>
  <c r="D1348" i="1" a="1"/>
  <c r="D1348" i="1" s="1"/>
  <c r="D1349" i="1" a="1"/>
  <c r="D1349" i="1" s="1"/>
  <c r="D1350" i="1" a="1"/>
  <c r="D1350" i="1" s="1"/>
  <c r="D1351" i="1" a="1"/>
  <c r="D1351" i="1" s="1"/>
  <c r="D1352" i="1" a="1"/>
  <c r="D1352" i="1" s="1"/>
  <c r="D1353" i="1" a="1"/>
  <c r="D1353" i="1" s="1"/>
  <c r="D1354" i="1" a="1"/>
  <c r="D1354" i="1" s="1"/>
  <c r="D1355" i="1" a="1"/>
  <c r="D1355" i="1" s="1"/>
  <c r="D1356" i="1" a="1"/>
  <c r="D1356" i="1" s="1"/>
  <c r="D1357" i="1" a="1"/>
  <c r="D1357" i="1" s="1"/>
  <c r="D1358" i="1" a="1"/>
  <c r="D1358" i="1" s="1"/>
  <c r="D1359" i="1" a="1"/>
  <c r="D1359" i="1" s="1"/>
  <c r="D1360" i="1" a="1"/>
  <c r="D1360" i="1" s="1"/>
  <c r="D1361" i="1" a="1"/>
  <c r="D1361" i="1" s="1"/>
  <c r="D1362" i="1" a="1"/>
  <c r="D1362" i="1" s="1"/>
  <c r="D1363" i="1" a="1"/>
  <c r="D1363" i="1" s="1"/>
  <c r="D1364" i="1" a="1"/>
  <c r="D1364" i="1" s="1"/>
  <c r="D1365" i="1" a="1"/>
  <c r="D1365" i="1" s="1"/>
  <c r="D1366" i="1" a="1"/>
  <c r="D1366" i="1" s="1"/>
  <c r="D1367" i="1" a="1"/>
  <c r="D1367" i="1" s="1"/>
  <c r="D1368" i="1" a="1"/>
  <c r="D1368" i="1" s="1"/>
  <c r="D1369" i="1" a="1"/>
  <c r="D1369" i="1" s="1"/>
  <c r="D1370" i="1" a="1"/>
  <c r="D1370" i="1" s="1"/>
  <c r="D1371" i="1" a="1"/>
  <c r="D1371" i="1" s="1"/>
  <c r="D1372" i="1" a="1"/>
  <c r="D1372" i="1" s="1"/>
  <c r="D1373" i="1" a="1"/>
  <c r="D1373" i="1" s="1"/>
  <c r="D1374" i="1" a="1"/>
  <c r="D1374" i="1" s="1"/>
  <c r="D1375" i="1" a="1"/>
  <c r="D1375" i="1" s="1"/>
  <c r="D1376" i="1" a="1"/>
  <c r="D1376" i="1" s="1"/>
  <c r="D1377" i="1" a="1"/>
  <c r="D1377" i="1" s="1"/>
  <c r="D1378" i="1" a="1"/>
  <c r="D1378" i="1" s="1"/>
  <c r="D1379" i="1" a="1"/>
  <c r="D1379" i="1" s="1"/>
  <c r="D1380" i="1" a="1"/>
  <c r="D1380" i="1" s="1"/>
  <c r="D1381" i="1" a="1"/>
  <c r="D1381" i="1" s="1"/>
  <c r="D1382" i="1" a="1"/>
  <c r="D1382" i="1" s="1"/>
  <c r="D1383" i="1" a="1"/>
  <c r="D1383" i="1" s="1"/>
  <c r="D1384" i="1" a="1"/>
  <c r="D1384" i="1" s="1"/>
  <c r="D1385" i="1" a="1"/>
  <c r="D1385" i="1" s="1"/>
  <c r="D1386" i="1" a="1"/>
  <c r="D1386" i="1" s="1"/>
  <c r="D1387" i="1" a="1"/>
  <c r="D1387" i="1" s="1"/>
  <c r="D1388" i="1" a="1"/>
  <c r="D1388" i="1" s="1"/>
  <c r="D1389" i="1" a="1"/>
  <c r="D1389" i="1" s="1"/>
  <c r="D1390" i="1" a="1"/>
  <c r="D1390" i="1" s="1"/>
  <c r="D1391" i="1" a="1"/>
  <c r="D1391" i="1" s="1"/>
  <c r="D1392" i="1" a="1"/>
  <c r="D1392" i="1" s="1"/>
  <c r="D1393" i="1" a="1"/>
  <c r="D1393" i="1" s="1"/>
  <c r="D1394" i="1" a="1"/>
  <c r="D1394" i="1" s="1"/>
  <c r="D1395" i="1" a="1"/>
  <c r="D1395" i="1" s="1"/>
  <c r="D1396" i="1" a="1"/>
  <c r="D1396" i="1" s="1"/>
  <c r="D1397" i="1" a="1"/>
  <c r="D1397" i="1" s="1"/>
  <c r="D1398" i="1" a="1"/>
  <c r="D1398" i="1" s="1"/>
  <c r="D1399" i="1" a="1"/>
  <c r="D1399" i="1" s="1"/>
  <c r="D1400" i="1" a="1"/>
  <c r="D1400" i="1" s="1"/>
  <c r="D1401" i="1" a="1"/>
  <c r="D1401" i="1" s="1"/>
  <c r="D1402" i="1" a="1"/>
  <c r="D1402" i="1" s="1"/>
  <c r="D1403" i="1" a="1"/>
  <c r="D1403" i="1" s="1"/>
  <c r="D1404" i="1" a="1"/>
  <c r="D1404" i="1" s="1"/>
  <c r="D1405" i="1" a="1"/>
  <c r="D1405" i="1" s="1"/>
  <c r="D1406" i="1" a="1"/>
  <c r="D1406" i="1" s="1"/>
  <c r="D1407" i="1" a="1"/>
  <c r="D1407" i="1" s="1"/>
  <c r="D1408" i="1" a="1"/>
  <c r="D1408" i="1" s="1"/>
  <c r="D1409" i="1" a="1"/>
  <c r="D1409" i="1" s="1"/>
  <c r="D1410" i="1" a="1"/>
  <c r="D1410" i="1" s="1"/>
  <c r="D1411" i="1" a="1"/>
  <c r="D1411" i="1" s="1"/>
  <c r="D1412" i="1" a="1"/>
  <c r="D1412" i="1" s="1"/>
  <c r="D1413" i="1" a="1"/>
  <c r="D1413" i="1" s="1"/>
  <c r="D1414" i="1" a="1"/>
  <c r="D1414" i="1" s="1"/>
  <c r="D1415" i="1" a="1"/>
  <c r="D1415" i="1" s="1"/>
  <c r="D1416" i="1" a="1"/>
  <c r="D1416" i="1" s="1"/>
  <c r="D1417" i="1" a="1"/>
  <c r="D1417" i="1" s="1"/>
  <c r="D1418" i="1" a="1"/>
  <c r="D1418" i="1" s="1"/>
  <c r="D1419" i="1" a="1"/>
  <c r="D1419" i="1" s="1"/>
  <c r="D1420" i="1" a="1"/>
  <c r="D1420" i="1" s="1"/>
  <c r="D1421" i="1" a="1"/>
  <c r="D1421" i="1" s="1"/>
  <c r="D1422" i="1" a="1"/>
  <c r="D1422" i="1" s="1"/>
  <c r="D1423" i="1" a="1"/>
  <c r="D1423" i="1" s="1"/>
  <c r="D1424" i="1" a="1"/>
  <c r="D1424" i="1" s="1"/>
  <c r="D1425" i="1" a="1"/>
  <c r="D1425" i="1" s="1"/>
  <c r="D1426" i="1" a="1"/>
  <c r="D1426" i="1" s="1"/>
  <c r="D1427" i="1" a="1"/>
  <c r="D1427" i="1" s="1"/>
  <c r="D1428" i="1" a="1"/>
  <c r="D1428" i="1" s="1"/>
  <c r="D1429" i="1" a="1"/>
  <c r="D1429" i="1" s="1"/>
  <c r="D1430" i="1" a="1"/>
  <c r="D1430" i="1" s="1"/>
  <c r="D1431" i="1" a="1"/>
  <c r="D1431" i="1" s="1"/>
  <c r="D1432" i="1" a="1"/>
  <c r="D1432" i="1" s="1"/>
  <c r="D1433" i="1" a="1"/>
  <c r="D1433" i="1" s="1"/>
  <c r="D1434" i="1" a="1"/>
  <c r="D1434" i="1" s="1"/>
  <c r="D1435" i="1" a="1"/>
  <c r="D1435" i="1" s="1"/>
  <c r="D1436" i="1" a="1"/>
  <c r="D1436" i="1" s="1"/>
  <c r="D1437" i="1" a="1"/>
  <c r="D1437" i="1" s="1"/>
  <c r="D1438" i="1" a="1"/>
  <c r="D1438" i="1" s="1"/>
  <c r="D1439" i="1" a="1"/>
  <c r="D1439" i="1" s="1"/>
  <c r="D1440" i="1" a="1"/>
  <c r="D1440" i="1" s="1"/>
  <c r="D1441" i="1" a="1"/>
  <c r="D1441" i="1" s="1"/>
  <c r="D1442" i="1" a="1"/>
  <c r="D1442" i="1" s="1"/>
  <c r="D1443" i="1" a="1"/>
  <c r="D1443" i="1" s="1"/>
  <c r="D1444" i="1" a="1"/>
  <c r="D1444" i="1" s="1"/>
  <c r="D1445" i="1" a="1"/>
  <c r="D1445" i="1" s="1"/>
  <c r="D1446" i="1" a="1"/>
  <c r="D1446" i="1" s="1"/>
  <c r="D1447" i="1" a="1"/>
  <c r="D1447" i="1" s="1"/>
  <c r="D1448" i="1" a="1"/>
  <c r="D1448" i="1" s="1"/>
  <c r="D1449" i="1" a="1"/>
  <c r="D1449" i="1" s="1"/>
  <c r="D1450" i="1" a="1"/>
  <c r="D1450" i="1" s="1"/>
  <c r="D1451" i="1" a="1"/>
  <c r="D1451" i="1" s="1"/>
  <c r="D1452" i="1" a="1"/>
  <c r="D1452" i="1" s="1"/>
  <c r="D1453" i="1" a="1"/>
  <c r="D1453" i="1" s="1"/>
  <c r="D1454" i="1" a="1"/>
  <c r="D1454" i="1" s="1"/>
  <c r="D1455" i="1" a="1"/>
  <c r="D1455" i="1" s="1"/>
  <c r="D1456" i="1" a="1"/>
  <c r="D1456" i="1" s="1"/>
  <c r="D1457" i="1" a="1"/>
  <c r="D1457" i="1" s="1"/>
  <c r="D1458" i="1" a="1"/>
  <c r="D1458" i="1" s="1"/>
  <c r="D1459" i="1" a="1"/>
  <c r="D1459" i="1" s="1"/>
  <c r="D1460" i="1" a="1"/>
  <c r="D1460" i="1" s="1"/>
  <c r="D1461" i="1" a="1"/>
  <c r="D1461" i="1" s="1"/>
  <c r="D1462" i="1" a="1"/>
  <c r="D1462" i="1" s="1"/>
  <c r="D1463" i="1" a="1"/>
  <c r="D1463" i="1" s="1"/>
  <c r="D1464" i="1" a="1"/>
  <c r="D1464" i="1" s="1"/>
  <c r="D1465" i="1" a="1"/>
  <c r="D1465" i="1" s="1"/>
  <c r="D1466" i="1" a="1"/>
  <c r="D1466" i="1" s="1"/>
  <c r="D1467" i="1" a="1"/>
  <c r="D1467" i="1" s="1"/>
  <c r="D1468" i="1" a="1"/>
  <c r="D1468" i="1" s="1"/>
  <c r="D1469" i="1" a="1"/>
  <c r="D1469" i="1" s="1"/>
  <c r="D1470" i="1" a="1"/>
  <c r="D1470" i="1" s="1"/>
  <c r="D1471" i="1" a="1"/>
  <c r="D1471" i="1" s="1"/>
  <c r="D1472" i="1" a="1"/>
  <c r="D1472" i="1" s="1"/>
  <c r="D1473" i="1" a="1"/>
  <c r="D1473" i="1" s="1"/>
  <c r="D1474" i="1" a="1"/>
  <c r="D1474" i="1" s="1"/>
  <c r="D1475" i="1" a="1"/>
  <c r="D1475" i="1" s="1"/>
  <c r="D1476" i="1" a="1"/>
  <c r="D1476" i="1" s="1"/>
  <c r="D1477" i="1" a="1"/>
  <c r="D1477" i="1" s="1"/>
  <c r="D1478" i="1" a="1"/>
  <c r="D1478" i="1" s="1"/>
  <c r="D1479" i="1" a="1"/>
  <c r="D1479" i="1" s="1"/>
  <c r="D1480" i="1" a="1"/>
  <c r="D1480" i="1" s="1"/>
  <c r="D1481" i="1" a="1"/>
  <c r="D1481" i="1" s="1"/>
  <c r="D1482" i="1" a="1"/>
  <c r="D1482" i="1" s="1"/>
  <c r="D1483" i="1" a="1"/>
  <c r="D1483" i="1" s="1"/>
  <c r="D1484" i="1" a="1"/>
  <c r="D1484" i="1" s="1"/>
  <c r="D1485" i="1" a="1"/>
  <c r="D1485" i="1" s="1"/>
  <c r="D1486" i="1" a="1"/>
  <c r="D1486" i="1" s="1"/>
  <c r="D1487" i="1" a="1"/>
  <c r="D1487" i="1" s="1"/>
  <c r="D1488" i="1" a="1"/>
  <c r="D1488" i="1" s="1"/>
  <c r="D1489" i="1" a="1"/>
  <c r="D1489" i="1" s="1"/>
  <c r="D1490" i="1" a="1"/>
  <c r="D1490" i="1" s="1"/>
  <c r="D1491" i="1" a="1"/>
  <c r="D1491" i="1" s="1"/>
  <c r="D1492" i="1" a="1"/>
  <c r="D1492" i="1" s="1"/>
  <c r="D1493" i="1" a="1"/>
  <c r="D1493" i="1" s="1"/>
  <c r="D1494" i="1" a="1"/>
  <c r="D1494" i="1" s="1"/>
  <c r="D1495" i="1" a="1"/>
  <c r="D1495" i="1" s="1"/>
  <c r="D1496" i="1" a="1"/>
  <c r="D1496" i="1" s="1"/>
  <c r="D1497" i="1" a="1"/>
  <c r="D1497" i="1" s="1"/>
  <c r="D1498" i="1" a="1"/>
  <c r="D1498" i="1" s="1"/>
  <c r="D1499" i="1" a="1"/>
  <c r="D1499" i="1" s="1"/>
  <c r="D1500" i="1" a="1"/>
  <c r="D1500" i="1" s="1"/>
  <c r="D1501" i="1" a="1"/>
  <c r="D1501" i="1" s="1"/>
  <c r="D1502" i="1" a="1"/>
  <c r="D1502" i="1" s="1"/>
  <c r="D1503" i="1" a="1"/>
  <c r="D1503" i="1" s="1"/>
  <c r="D1504" i="1" a="1"/>
  <c r="D1504" i="1" s="1"/>
  <c r="D1505" i="1" a="1"/>
  <c r="D1505" i="1" s="1"/>
  <c r="D1506" i="1" a="1"/>
  <c r="D1506" i="1" s="1"/>
  <c r="D1507" i="1" a="1"/>
  <c r="D1507" i="1" s="1"/>
  <c r="D1508" i="1" a="1"/>
  <c r="D1508" i="1" s="1"/>
  <c r="D1509" i="1" a="1"/>
  <c r="D1509" i="1" s="1"/>
  <c r="D1510" i="1" a="1"/>
  <c r="D1510" i="1" s="1"/>
  <c r="D1511" i="1" a="1"/>
  <c r="D1511" i="1" s="1"/>
  <c r="D1512" i="1" a="1"/>
  <c r="D1512" i="1" s="1"/>
  <c r="D1513" i="1" a="1"/>
  <c r="D1513" i="1" s="1"/>
  <c r="D1514" i="1" a="1"/>
  <c r="D1514" i="1" s="1"/>
  <c r="D1515" i="1" a="1"/>
  <c r="D1515" i="1" s="1"/>
  <c r="D1516" i="1" a="1"/>
  <c r="D1516" i="1" s="1"/>
  <c r="D1517" i="1" a="1"/>
  <c r="D1517" i="1" s="1"/>
  <c r="D1518" i="1" a="1"/>
  <c r="D1518" i="1" s="1"/>
  <c r="D1519" i="1" a="1"/>
  <c r="D1519" i="1" s="1"/>
  <c r="D1520" i="1" a="1"/>
  <c r="D1520" i="1" s="1"/>
  <c r="D1521" i="1" a="1"/>
  <c r="D1521" i="1" s="1"/>
  <c r="D1522" i="1" a="1"/>
  <c r="D1522" i="1" s="1"/>
  <c r="D1523" i="1" a="1"/>
  <c r="D1523" i="1" s="1"/>
  <c r="D1524" i="1" a="1"/>
  <c r="D1524" i="1" s="1"/>
  <c r="D1525" i="1" a="1"/>
  <c r="D1525" i="1" s="1"/>
  <c r="D1526" i="1" a="1"/>
  <c r="D1526" i="1" s="1"/>
  <c r="D1527" i="1" a="1"/>
  <c r="D1527" i="1" s="1"/>
  <c r="D1528" i="1" a="1"/>
  <c r="D1528" i="1" s="1"/>
  <c r="D1529" i="1" a="1"/>
  <c r="D1529" i="1" s="1"/>
  <c r="D1530" i="1" a="1"/>
  <c r="D1530" i="1" s="1"/>
  <c r="D1531" i="1" a="1"/>
  <c r="D1531" i="1" s="1"/>
  <c r="D1532" i="1" a="1"/>
  <c r="D1532" i="1" s="1"/>
  <c r="D1533" i="1" a="1"/>
  <c r="D1533" i="1" s="1"/>
  <c r="D1534" i="1" a="1"/>
  <c r="D1534" i="1" s="1"/>
  <c r="D1535" i="1" a="1"/>
  <c r="D1535" i="1" s="1"/>
  <c r="D1536" i="1" a="1"/>
  <c r="D1536" i="1" s="1"/>
  <c r="D1537" i="1" a="1"/>
  <c r="D1537" i="1" s="1"/>
  <c r="D1538" i="1" a="1"/>
  <c r="D1538" i="1" s="1"/>
  <c r="D1539" i="1" a="1"/>
  <c r="D1539" i="1" s="1"/>
  <c r="D1540" i="1" a="1"/>
  <c r="D1540" i="1" s="1"/>
  <c r="D1541" i="1" a="1"/>
  <c r="D1541" i="1" s="1"/>
  <c r="D1542" i="1" a="1"/>
  <c r="D1542" i="1" s="1"/>
  <c r="D1543" i="1" a="1"/>
  <c r="D1543" i="1" s="1"/>
  <c r="D1544" i="1" a="1"/>
  <c r="D1544" i="1" s="1"/>
  <c r="D1545" i="1" a="1"/>
  <c r="D1545" i="1" s="1"/>
  <c r="D1546" i="1" a="1"/>
  <c r="D1546" i="1" s="1"/>
  <c r="D1547" i="1" a="1"/>
  <c r="D1547" i="1" s="1"/>
  <c r="D1548" i="1" a="1"/>
  <c r="D1548" i="1" s="1"/>
  <c r="D1549" i="1" a="1"/>
  <c r="D1549" i="1" s="1"/>
  <c r="D1550" i="1" a="1"/>
  <c r="D1550" i="1" s="1"/>
  <c r="D1551" i="1" a="1"/>
  <c r="D1551" i="1" s="1"/>
  <c r="D1552" i="1" a="1"/>
  <c r="D1552" i="1" s="1"/>
  <c r="D1553" i="1" a="1"/>
  <c r="D1553" i="1" s="1"/>
  <c r="D1554" i="1" a="1"/>
  <c r="D1554" i="1" s="1"/>
  <c r="D1555" i="1" a="1"/>
  <c r="D1555" i="1" s="1"/>
  <c r="D1556" i="1" a="1"/>
  <c r="D1556" i="1" s="1"/>
  <c r="D1557" i="1" a="1"/>
  <c r="D1557" i="1" s="1"/>
  <c r="D1558" i="1" a="1"/>
  <c r="D1558" i="1" s="1"/>
  <c r="D1559" i="1" a="1"/>
  <c r="D1559" i="1" s="1"/>
  <c r="D1560" i="1" a="1"/>
  <c r="D1560" i="1" s="1"/>
  <c r="D1561" i="1" a="1"/>
  <c r="D1561" i="1" s="1"/>
  <c r="D1562" i="1" a="1"/>
  <c r="D1562" i="1" s="1"/>
  <c r="D1563" i="1" a="1"/>
  <c r="D1563" i="1" s="1"/>
  <c r="D1564" i="1" a="1"/>
  <c r="D1564" i="1" s="1"/>
  <c r="D1565" i="1" a="1"/>
  <c r="D1565" i="1" s="1"/>
  <c r="D1566" i="1" a="1"/>
  <c r="D1566" i="1" s="1"/>
  <c r="D1567" i="1" a="1"/>
  <c r="D1567" i="1" s="1"/>
  <c r="D1568" i="1" a="1"/>
  <c r="D1568" i="1" s="1"/>
  <c r="D1569" i="1" a="1"/>
  <c r="D1569" i="1" s="1"/>
  <c r="D1570" i="1" a="1"/>
  <c r="D1570" i="1" s="1"/>
  <c r="D1571" i="1" a="1"/>
  <c r="D1571" i="1" s="1"/>
  <c r="D1572" i="1" a="1"/>
  <c r="D1572" i="1" s="1"/>
  <c r="D1573" i="1" a="1"/>
  <c r="D1573" i="1" s="1"/>
  <c r="D1574" i="1" a="1"/>
  <c r="D1574" i="1" s="1"/>
  <c r="D1575" i="1" a="1"/>
  <c r="D1575" i="1" s="1"/>
  <c r="D1576" i="1" a="1"/>
  <c r="D1576" i="1" s="1"/>
  <c r="D1577" i="1" a="1"/>
  <c r="D1577" i="1" s="1"/>
  <c r="D1578" i="1" a="1"/>
  <c r="D1578" i="1" s="1"/>
  <c r="D1579" i="1" a="1"/>
  <c r="D1579" i="1" s="1"/>
  <c r="D1580" i="1" a="1"/>
  <c r="D1580" i="1" s="1"/>
  <c r="D1581" i="1" a="1"/>
  <c r="D1581" i="1" s="1"/>
  <c r="D1582" i="1" a="1"/>
  <c r="D1582" i="1" s="1"/>
  <c r="D1583" i="1" a="1"/>
  <c r="D1583" i="1" s="1"/>
  <c r="D1584" i="1" a="1"/>
  <c r="D1584" i="1" s="1"/>
  <c r="D1585" i="1" a="1"/>
  <c r="D1585" i="1" s="1"/>
  <c r="D1586" i="1" a="1"/>
  <c r="D1586" i="1" s="1"/>
  <c r="D1587" i="1" a="1"/>
  <c r="D1587" i="1" s="1"/>
  <c r="D1588" i="1" a="1"/>
  <c r="D1588" i="1" s="1"/>
  <c r="D1589" i="1" a="1"/>
  <c r="D1589" i="1" s="1"/>
  <c r="D1590" i="1" a="1"/>
  <c r="D1590" i="1" s="1"/>
  <c r="D1591" i="1" a="1"/>
  <c r="D1591" i="1" s="1"/>
  <c r="D1592" i="1" a="1"/>
  <c r="D1592" i="1" s="1"/>
  <c r="D1593" i="1" a="1"/>
  <c r="D1593" i="1" s="1"/>
  <c r="D1594" i="1" a="1"/>
  <c r="D1594" i="1" s="1"/>
  <c r="D1595" i="1" a="1"/>
  <c r="D1595" i="1" s="1"/>
  <c r="D1596" i="1" a="1"/>
  <c r="D1596" i="1" s="1"/>
  <c r="D1597" i="1" a="1"/>
  <c r="D1597" i="1" s="1"/>
  <c r="D1598" i="1" a="1"/>
  <c r="D1598" i="1" s="1"/>
  <c r="D1599" i="1" a="1"/>
  <c r="D1599" i="1" s="1"/>
  <c r="D1600" i="1" a="1"/>
  <c r="D1600" i="1" s="1"/>
  <c r="D1601" i="1" a="1"/>
  <c r="D1601" i="1" s="1"/>
  <c r="D1602" i="1" a="1"/>
  <c r="D1602" i="1" s="1"/>
  <c r="D1603" i="1" a="1"/>
  <c r="D1603" i="1" s="1"/>
  <c r="D1604" i="1" a="1"/>
  <c r="D1604" i="1" s="1"/>
  <c r="D1605" i="1" a="1"/>
  <c r="D1605" i="1" s="1"/>
  <c r="D1606" i="1" a="1"/>
  <c r="D1606" i="1" s="1"/>
  <c r="D1607" i="1" a="1"/>
  <c r="D1607" i="1" s="1"/>
  <c r="D1608" i="1" a="1"/>
  <c r="D1608" i="1" s="1"/>
  <c r="D1609" i="1" a="1"/>
  <c r="D1609" i="1" s="1"/>
  <c r="D1610" i="1" a="1"/>
  <c r="D1610" i="1" s="1"/>
  <c r="D1611" i="1" a="1"/>
  <c r="D1611" i="1" s="1"/>
  <c r="D1612" i="1" a="1"/>
  <c r="D1612" i="1" s="1"/>
  <c r="D1613" i="1" a="1"/>
  <c r="D1613" i="1" s="1"/>
  <c r="D1614" i="1" a="1"/>
  <c r="D1614" i="1" s="1"/>
  <c r="D1615" i="1" a="1"/>
  <c r="D1615" i="1" s="1"/>
  <c r="D1616" i="1" a="1"/>
  <c r="D1616" i="1" s="1"/>
  <c r="D1617" i="1" a="1"/>
  <c r="D1617" i="1" s="1"/>
  <c r="D1618" i="1" a="1"/>
  <c r="D1618" i="1" s="1"/>
  <c r="D1619" i="1" a="1"/>
  <c r="D1619" i="1" s="1"/>
  <c r="D1620" i="1" a="1"/>
  <c r="D1620" i="1" s="1"/>
  <c r="D1621" i="1" a="1"/>
  <c r="D1621" i="1" s="1"/>
  <c r="D1622" i="1" a="1"/>
  <c r="D1622" i="1" s="1"/>
  <c r="D1623" i="1" a="1"/>
  <c r="D1623" i="1" s="1"/>
  <c r="D1624" i="1" a="1"/>
  <c r="D1624" i="1" s="1"/>
  <c r="D1625" i="1" a="1"/>
  <c r="D1625" i="1" s="1"/>
  <c r="D1626" i="1" a="1"/>
  <c r="D1626" i="1" s="1"/>
  <c r="D1627" i="1" a="1"/>
  <c r="D1627" i="1" s="1"/>
  <c r="D1628" i="1" a="1"/>
  <c r="D1628" i="1" s="1"/>
  <c r="D1629" i="1" a="1"/>
  <c r="D1629" i="1" s="1"/>
  <c r="D1630" i="1" a="1"/>
  <c r="D1630" i="1" s="1"/>
  <c r="D1631" i="1" a="1"/>
  <c r="D1631" i="1" s="1"/>
  <c r="D1632" i="1" a="1"/>
  <c r="D1632" i="1" s="1"/>
  <c r="D1633" i="1" a="1"/>
  <c r="D1633" i="1" s="1"/>
  <c r="D1634" i="1" a="1"/>
  <c r="D1634" i="1" s="1"/>
  <c r="D1635" i="1" a="1"/>
  <c r="D1635" i="1" s="1"/>
  <c r="D1636" i="1" a="1"/>
  <c r="D1636" i="1" s="1"/>
  <c r="D1637" i="1" a="1"/>
  <c r="D1637" i="1" s="1"/>
  <c r="D1638" i="1" a="1"/>
  <c r="D1638" i="1" s="1"/>
  <c r="D1639" i="1" a="1"/>
  <c r="D1639" i="1" s="1"/>
  <c r="D1640" i="1" a="1"/>
  <c r="D1640" i="1" s="1"/>
  <c r="D1641" i="1" a="1"/>
  <c r="D1641" i="1" s="1"/>
  <c r="D1642" i="1" a="1"/>
  <c r="D1642" i="1" s="1"/>
  <c r="D1643" i="1" a="1"/>
  <c r="D1643" i="1" s="1"/>
  <c r="D1644" i="1" a="1"/>
  <c r="D1644" i="1" s="1"/>
  <c r="D1645" i="1" a="1"/>
  <c r="D1645" i="1" s="1"/>
  <c r="D1646" i="1" a="1"/>
  <c r="D1646" i="1" s="1"/>
  <c r="D1647" i="1" a="1"/>
  <c r="D1647" i="1" s="1"/>
  <c r="D1648" i="1" a="1"/>
  <c r="D1648" i="1" s="1"/>
  <c r="D1649" i="1" a="1"/>
  <c r="D1649" i="1" s="1"/>
  <c r="D1650" i="1" a="1"/>
  <c r="D1650" i="1" s="1"/>
  <c r="D1651" i="1" a="1"/>
  <c r="D1651" i="1" s="1"/>
  <c r="D1652" i="1" a="1"/>
  <c r="D1652" i="1" s="1"/>
  <c r="D1653" i="1" a="1"/>
  <c r="D1653" i="1" s="1"/>
  <c r="D1654" i="1" a="1"/>
  <c r="D1654" i="1" s="1"/>
  <c r="D1655" i="1" a="1"/>
  <c r="D1655" i="1" s="1"/>
  <c r="D1656" i="1" a="1"/>
  <c r="D1656" i="1" s="1"/>
  <c r="D1657" i="1" a="1"/>
  <c r="D1657" i="1" s="1"/>
  <c r="D1658" i="1" a="1"/>
  <c r="D1658" i="1" s="1"/>
  <c r="D1659" i="1" a="1"/>
  <c r="D1659" i="1" s="1"/>
  <c r="D1660" i="1" a="1"/>
  <c r="D1660" i="1" s="1"/>
  <c r="D1661" i="1" a="1"/>
  <c r="D1661" i="1" s="1"/>
  <c r="D1662" i="1" a="1"/>
  <c r="D1662" i="1" s="1"/>
  <c r="D1663" i="1" a="1"/>
  <c r="D1663" i="1" s="1"/>
  <c r="D1664" i="1" a="1"/>
  <c r="D1664" i="1" s="1"/>
  <c r="D1665" i="1" a="1"/>
  <c r="D1665" i="1" s="1"/>
  <c r="D1666" i="1" a="1"/>
  <c r="D1666" i="1" s="1"/>
  <c r="D1667" i="1" a="1"/>
  <c r="D1667" i="1" s="1"/>
  <c r="D1668" i="1" a="1"/>
  <c r="D1668" i="1" s="1"/>
  <c r="D1669" i="1" a="1"/>
  <c r="D1669" i="1" s="1"/>
  <c r="D1670" i="1" a="1"/>
  <c r="D1670" i="1" s="1"/>
  <c r="D1671" i="1" a="1"/>
  <c r="D1671" i="1" s="1"/>
  <c r="D1672" i="1" a="1"/>
  <c r="D1672" i="1" s="1"/>
  <c r="D1673" i="1" a="1"/>
  <c r="D1673" i="1" s="1"/>
  <c r="D1674" i="1" a="1"/>
  <c r="D1674" i="1" s="1"/>
  <c r="D1675" i="1" a="1"/>
  <c r="D1675" i="1" s="1"/>
  <c r="D1676" i="1" a="1"/>
  <c r="D1676" i="1" s="1"/>
  <c r="D1677" i="1" a="1"/>
  <c r="D1677" i="1" s="1"/>
  <c r="D1678" i="1" a="1"/>
  <c r="D1678" i="1" s="1"/>
  <c r="D1679" i="1" a="1"/>
  <c r="D1679" i="1" s="1"/>
  <c r="D1680" i="1" a="1"/>
  <c r="D1680" i="1" s="1"/>
  <c r="D1681" i="1" a="1"/>
  <c r="D1681" i="1" s="1"/>
  <c r="D1682" i="1" a="1"/>
  <c r="D1682" i="1" s="1"/>
  <c r="D1683" i="1" a="1"/>
  <c r="D1683" i="1" s="1"/>
  <c r="D1684" i="1" a="1"/>
  <c r="D1684" i="1" s="1"/>
  <c r="D1685" i="1" a="1"/>
  <c r="D1685" i="1" s="1"/>
  <c r="D1686" i="1" a="1"/>
  <c r="D1686" i="1" s="1"/>
  <c r="D1687" i="1" a="1"/>
  <c r="D1687" i="1" s="1"/>
  <c r="D1688" i="1" a="1"/>
  <c r="D1688" i="1" s="1"/>
  <c r="D1689" i="1" a="1"/>
  <c r="D1689" i="1" s="1"/>
  <c r="D1690" i="1" a="1"/>
  <c r="D1690" i="1" s="1"/>
  <c r="D1691" i="1" a="1"/>
  <c r="D1691" i="1" s="1"/>
  <c r="D1692" i="1" a="1"/>
  <c r="D1692" i="1" s="1"/>
  <c r="D1693" i="1" a="1"/>
  <c r="D1693" i="1" s="1"/>
  <c r="D1694" i="1" a="1"/>
  <c r="D1694" i="1" s="1"/>
  <c r="D1695" i="1" a="1"/>
  <c r="D1695" i="1" s="1"/>
  <c r="D1696" i="1" a="1"/>
  <c r="D1696" i="1" s="1"/>
  <c r="D1697" i="1" a="1"/>
  <c r="D1697" i="1" s="1"/>
  <c r="D1698" i="1" a="1"/>
  <c r="D1698" i="1" s="1"/>
  <c r="D1699" i="1" a="1"/>
  <c r="D1699" i="1" s="1"/>
  <c r="D1700" i="1" a="1"/>
  <c r="D1700" i="1" s="1"/>
  <c r="D1701" i="1" a="1"/>
  <c r="D1701" i="1" s="1"/>
  <c r="D1702" i="1" a="1"/>
  <c r="D1702" i="1" s="1"/>
  <c r="D1703" i="1" a="1"/>
  <c r="D1703" i="1" s="1"/>
  <c r="D1704" i="1" a="1"/>
  <c r="D1704" i="1" s="1"/>
  <c r="D1705" i="1" a="1"/>
  <c r="D1705" i="1" s="1"/>
  <c r="D1706" i="1" a="1"/>
  <c r="D1706" i="1" s="1"/>
  <c r="D1707" i="1" a="1"/>
  <c r="D1707" i="1" s="1"/>
  <c r="D1708" i="1" a="1"/>
  <c r="D1708" i="1" s="1"/>
  <c r="D1709" i="1" a="1"/>
  <c r="D1709" i="1" s="1"/>
  <c r="D1710" i="1" a="1"/>
  <c r="D1710" i="1" s="1"/>
  <c r="D1711" i="1" a="1"/>
  <c r="D1711" i="1" s="1"/>
  <c r="D1712" i="1" a="1"/>
  <c r="D1712" i="1" s="1"/>
  <c r="D1713" i="1" a="1"/>
  <c r="D1713" i="1" s="1"/>
  <c r="D1714" i="1" a="1"/>
  <c r="D1714" i="1" s="1"/>
  <c r="D1715" i="1" a="1"/>
  <c r="D1715" i="1" s="1"/>
  <c r="D1716" i="1" a="1"/>
  <c r="D1716" i="1" s="1"/>
  <c r="D1717" i="1" a="1"/>
  <c r="D1717" i="1" s="1"/>
  <c r="D1718" i="1" a="1"/>
  <c r="D1718" i="1" s="1"/>
  <c r="D1719" i="1" a="1"/>
  <c r="D1719" i="1" s="1"/>
  <c r="D1720" i="1" a="1"/>
  <c r="D1720" i="1" s="1"/>
  <c r="D1721" i="1" a="1"/>
  <c r="D1721" i="1" s="1"/>
  <c r="D1722" i="1" a="1"/>
  <c r="D1722" i="1" s="1"/>
  <c r="D1723" i="1" a="1"/>
  <c r="D1723" i="1" s="1"/>
  <c r="D1724" i="1" a="1"/>
  <c r="D1724" i="1" s="1"/>
  <c r="D1725" i="1" a="1"/>
  <c r="D1725" i="1" s="1"/>
  <c r="D1726" i="1" a="1"/>
  <c r="D1726" i="1" s="1"/>
  <c r="D1727" i="1" a="1"/>
  <c r="D1727" i="1" s="1"/>
  <c r="D1728" i="1" a="1"/>
  <c r="D1728" i="1" s="1"/>
  <c r="D1729" i="1" a="1"/>
  <c r="D1729" i="1" s="1"/>
  <c r="D1730" i="1" a="1"/>
  <c r="D1730" i="1" s="1"/>
  <c r="D1731" i="1" a="1"/>
  <c r="D1731" i="1" s="1"/>
  <c r="D1732" i="1" a="1"/>
  <c r="D1732" i="1" s="1"/>
  <c r="D1733" i="1" a="1"/>
  <c r="D1733" i="1" s="1"/>
  <c r="D1734" i="1" a="1"/>
  <c r="D1734" i="1" s="1"/>
  <c r="D1735" i="1" a="1"/>
  <c r="D1735" i="1" s="1"/>
  <c r="D1736" i="1" a="1"/>
  <c r="D1736" i="1" s="1"/>
  <c r="D1737" i="1" a="1"/>
  <c r="D1737" i="1" s="1"/>
  <c r="D1738" i="1" a="1"/>
  <c r="D1738" i="1" s="1"/>
  <c r="D1739" i="1" a="1"/>
  <c r="D1739" i="1" s="1"/>
  <c r="D1740" i="1" a="1"/>
  <c r="D1740" i="1" s="1"/>
  <c r="D1741" i="1" a="1"/>
  <c r="D1741" i="1" s="1"/>
  <c r="D1742" i="1" a="1"/>
  <c r="D1742" i="1" s="1"/>
  <c r="D1743" i="1" a="1"/>
  <c r="D1743" i="1" s="1"/>
  <c r="D1744" i="1" a="1"/>
  <c r="D1744" i="1" s="1"/>
  <c r="D1745" i="1" a="1"/>
  <c r="D1745" i="1" s="1"/>
  <c r="D1746" i="1" a="1"/>
  <c r="D1746" i="1" s="1"/>
  <c r="D1747" i="1" a="1"/>
  <c r="D1747" i="1" s="1"/>
  <c r="D1748" i="1" a="1"/>
  <c r="D1748" i="1" s="1"/>
  <c r="D1749" i="1" a="1"/>
  <c r="D1749" i="1" s="1"/>
  <c r="D1750" i="1" a="1"/>
  <c r="D1750" i="1" s="1"/>
  <c r="D1751" i="1" a="1"/>
  <c r="D1751" i="1" s="1"/>
  <c r="D1752" i="1" a="1"/>
  <c r="D1752" i="1" s="1"/>
  <c r="D1753" i="1" a="1"/>
  <c r="D1753" i="1" s="1"/>
  <c r="D1754" i="1" a="1"/>
  <c r="D1754" i="1" s="1"/>
  <c r="D1755" i="1" a="1"/>
  <c r="D1755" i="1" s="1"/>
  <c r="D1756" i="1" a="1"/>
  <c r="D1756" i="1" s="1"/>
  <c r="D1757" i="1" a="1"/>
  <c r="D1757" i="1" s="1"/>
  <c r="D1758" i="1" a="1"/>
  <c r="D1758" i="1" s="1"/>
  <c r="D1759" i="1" a="1"/>
  <c r="D1759" i="1" s="1"/>
  <c r="D1760" i="1" a="1"/>
  <c r="D1760" i="1" s="1"/>
  <c r="D1761" i="1" a="1"/>
  <c r="D1761" i="1" s="1"/>
  <c r="D1762" i="1" a="1"/>
  <c r="D1762" i="1" s="1"/>
  <c r="D1763" i="1" a="1"/>
  <c r="D1763" i="1" s="1"/>
  <c r="D1764" i="1" a="1"/>
  <c r="D1764" i="1" s="1"/>
  <c r="D1765" i="1" a="1"/>
  <c r="D1765" i="1" s="1"/>
  <c r="D1766" i="1" a="1"/>
  <c r="D1766" i="1" s="1"/>
  <c r="D1767" i="1" a="1"/>
  <c r="D1767" i="1" s="1"/>
  <c r="D1768" i="1" a="1"/>
  <c r="D1768" i="1" s="1"/>
  <c r="D1769" i="1" a="1"/>
  <c r="D1769" i="1" s="1"/>
  <c r="D1770" i="1" a="1"/>
  <c r="D1770" i="1" s="1"/>
  <c r="D1771" i="1" a="1"/>
  <c r="D1771" i="1" s="1"/>
  <c r="D1772" i="1" a="1"/>
  <c r="D1772" i="1" s="1"/>
  <c r="D1773" i="1" a="1"/>
  <c r="D1773" i="1" s="1"/>
  <c r="D1774" i="1" a="1"/>
  <c r="D1774" i="1" s="1"/>
  <c r="D1775" i="1" a="1"/>
  <c r="D1775" i="1" s="1"/>
  <c r="D1776" i="1" a="1"/>
  <c r="D1776" i="1" s="1"/>
  <c r="D1777" i="1" a="1"/>
  <c r="D1777" i="1" s="1"/>
  <c r="D1778" i="1" a="1"/>
  <c r="D1778" i="1" s="1"/>
  <c r="D1779" i="1" a="1"/>
  <c r="D1779" i="1" s="1"/>
  <c r="D1780" i="1" a="1"/>
  <c r="D1780" i="1" s="1"/>
  <c r="D1781" i="1" a="1"/>
  <c r="D1781" i="1" s="1"/>
  <c r="D1782" i="1" a="1"/>
  <c r="D1782" i="1" s="1"/>
  <c r="D1783" i="1" a="1"/>
  <c r="D1783" i="1" s="1"/>
  <c r="D1784" i="1" a="1"/>
  <c r="D1784" i="1" s="1"/>
  <c r="D1785" i="1" a="1"/>
  <c r="D1785" i="1" s="1"/>
  <c r="D1786" i="1" a="1"/>
  <c r="D1786" i="1" s="1"/>
  <c r="D1787" i="1" a="1"/>
  <c r="D1787" i="1" s="1"/>
  <c r="D1788" i="1" a="1"/>
  <c r="D1788" i="1" s="1"/>
  <c r="D1789" i="1" a="1"/>
  <c r="D1789" i="1" s="1"/>
  <c r="D1790" i="1" a="1"/>
  <c r="D1790" i="1" s="1"/>
  <c r="D1791" i="1" a="1"/>
  <c r="D1791" i="1" s="1"/>
  <c r="D1792" i="1" a="1"/>
  <c r="D1792" i="1" s="1"/>
  <c r="D1793" i="1" a="1"/>
  <c r="D1793" i="1" s="1"/>
  <c r="D1794" i="1" a="1"/>
  <c r="D1794" i="1" s="1"/>
  <c r="D1795" i="1" a="1"/>
  <c r="D1795" i="1" s="1"/>
  <c r="D1796" i="1" a="1"/>
  <c r="D1796" i="1" s="1"/>
  <c r="D1797" i="1" a="1"/>
  <c r="D1797" i="1" s="1"/>
  <c r="D1798" i="1" a="1"/>
  <c r="D1798" i="1" s="1"/>
  <c r="D1799" i="1" a="1"/>
  <c r="D1799" i="1" s="1"/>
  <c r="D1800" i="1" a="1"/>
  <c r="D1800" i="1" s="1"/>
  <c r="D1801" i="1" a="1"/>
  <c r="D1801" i="1" s="1"/>
  <c r="D1802" i="1" a="1"/>
  <c r="D1802" i="1" s="1"/>
  <c r="D1803" i="1" a="1"/>
  <c r="D1803" i="1" s="1"/>
  <c r="D1804" i="1" a="1"/>
  <c r="D1804" i="1" s="1"/>
  <c r="D1805" i="1" a="1"/>
  <c r="D1805" i="1" s="1"/>
  <c r="D1806" i="1" a="1"/>
  <c r="D1806" i="1" s="1"/>
  <c r="D1807" i="1" a="1"/>
  <c r="D1807" i="1" s="1"/>
  <c r="D1808" i="1" a="1"/>
  <c r="D1808" i="1" s="1"/>
  <c r="D1809" i="1" a="1"/>
  <c r="D1809" i="1" s="1"/>
  <c r="D1810" i="1" a="1"/>
  <c r="D1810" i="1" s="1"/>
  <c r="D1811" i="1" a="1"/>
  <c r="D1811" i="1" s="1"/>
  <c r="D1812" i="1" a="1"/>
  <c r="D1812" i="1" s="1"/>
  <c r="D1813" i="1" a="1"/>
  <c r="D1813" i="1" s="1"/>
  <c r="D1814" i="1" a="1"/>
  <c r="D1814" i="1" s="1"/>
  <c r="D1815" i="1" a="1"/>
  <c r="D1815" i="1" s="1"/>
  <c r="D1816" i="1" a="1"/>
  <c r="D1816" i="1" s="1"/>
  <c r="D1817" i="1" a="1"/>
  <c r="D1817" i="1" s="1"/>
  <c r="D1818" i="1" a="1"/>
  <c r="D1818" i="1" s="1"/>
  <c r="D1819" i="1" a="1"/>
  <c r="D1819" i="1" s="1"/>
  <c r="D1820" i="1" a="1"/>
  <c r="D1820" i="1" s="1"/>
  <c r="D1821" i="1" a="1"/>
  <c r="D1821" i="1" s="1"/>
  <c r="D1822" i="1" a="1"/>
  <c r="D1822" i="1" s="1"/>
  <c r="D1823" i="1" a="1"/>
  <c r="D1823" i="1" s="1"/>
  <c r="D1824" i="1" a="1"/>
  <c r="D1824" i="1" s="1"/>
  <c r="D1825" i="1" a="1"/>
  <c r="D1825" i="1" s="1"/>
  <c r="D1826" i="1" a="1"/>
  <c r="D1826" i="1" s="1"/>
  <c r="D1827" i="1" a="1"/>
  <c r="D1827" i="1" s="1"/>
  <c r="D1828" i="1" a="1"/>
  <c r="D1828" i="1" s="1"/>
  <c r="D1829" i="1" a="1"/>
  <c r="D1829" i="1" s="1"/>
  <c r="D1830" i="1" a="1"/>
  <c r="D1830" i="1" s="1"/>
  <c r="D1831" i="1" a="1"/>
  <c r="D1831" i="1" s="1"/>
  <c r="D1832" i="1" a="1"/>
  <c r="D1832" i="1" s="1"/>
  <c r="D1833" i="1" a="1"/>
  <c r="D1833" i="1" s="1"/>
  <c r="D1834" i="1" a="1"/>
  <c r="D1834" i="1" s="1"/>
  <c r="D1835" i="1" a="1"/>
  <c r="D1835" i="1" s="1"/>
  <c r="D1836" i="1" a="1"/>
  <c r="D1836" i="1" s="1"/>
  <c r="D1837" i="1" a="1"/>
  <c r="D1837" i="1" s="1"/>
  <c r="D1838" i="1" a="1"/>
  <c r="D1838" i="1" s="1"/>
  <c r="D1839" i="1" a="1"/>
  <c r="D1839" i="1" s="1"/>
  <c r="D1840" i="1" a="1"/>
  <c r="D1840" i="1" s="1"/>
  <c r="D1841" i="1" a="1"/>
  <c r="D1841" i="1" s="1"/>
  <c r="D1842" i="1" a="1"/>
  <c r="D1842" i="1" s="1"/>
  <c r="D1843" i="1" a="1"/>
  <c r="D1843" i="1" s="1"/>
  <c r="D1844" i="1" a="1"/>
  <c r="D1844" i="1" s="1"/>
  <c r="D1845" i="1" a="1"/>
  <c r="D1845" i="1" s="1"/>
  <c r="D1846" i="1" a="1"/>
  <c r="D1846" i="1" s="1"/>
  <c r="D1847" i="1" a="1"/>
  <c r="D1847" i="1" s="1"/>
  <c r="D1848" i="1" a="1"/>
  <c r="D1848" i="1" s="1"/>
  <c r="D1849" i="1" a="1"/>
  <c r="D1849" i="1" s="1"/>
  <c r="D1850" i="1" a="1"/>
  <c r="D1850" i="1" s="1"/>
  <c r="D1851" i="1" a="1"/>
  <c r="D1851" i="1" s="1"/>
  <c r="D1852" i="1" a="1"/>
  <c r="D1852" i="1" s="1"/>
  <c r="D1853" i="1" a="1"/>
  <c r="D1853" i="1" s="1"/>
  <c r="D1854" i="1" a="1"/>
  <c r="D1854" i="1" s="1"/>
  <c r="D1855" i="1" a="1"/>
  <c r="D1855" i="1" s="1"/>
  <c r="D1856" i="1" a="1"/>
  <c r="D1856" i="1" s="1"/>
  <c r="D1857" i="1" a="1"/>
  <c r="D1857" i="1" s="1"/>
  <c r="D1858" i="1" a="1"/>
  <c r="D1858" i="1" s="1"/>
  <c r="D1859" i="1" a="1"/>
  <c r="D1859" i="1" s="1"/>
  <c r="D1860" i="1" a="1"/>
  <c r="D1860" i="1" s="1"/>
  <c r="D1861" i="1" a="1"/>
  <c r="D1861" i="1" s="1"/>
  <c r="D1862" i="1" a="1"/>
  <c r="D1862" i="1" s="1"/>
  <c r="D1863" i="1" a="1"/>
  <c r="D1863" i="1" s="1"/>
  <c r="D1864" i="1" a="1"/>
  <c r="D1864" i="1" s="1"/>
  <c r="D1865" i="1" a="1"/>
  <c r="D1865" i="1" s="1"/>
  <c r="D1866" i="1" a="1"/>
  <c r="D1866" i="1" s="1"/>
  <c r="D1867" i="1" a="1"/>
  <c r="D1867" i="1" s="1"/>
  <c r="D1868" i="1" a="1"/>
  <c r="D1868" i="1" s="1"/>
  <c r="D1869" i="1" a="1"/>
  <c r="D1869" i="1" s="1"/>
  <c r="D1870" i="1" a="1"/>
  <c r="D1870" i="1" s="1"/>
  <c r="D1871" i="1" a="1"/>
  <c r="D1871" i="1" s="1"/>
  <c r="D1872" i="1" a="1"/>
  <c r="D1872" i="1" s="1"/>
  <c r="D1873" i="1" a="1"/>
  <c r="D1873" i="1" s="1"/>
  <c r="D1874" i="1" a="1"/>
  <c r="D1874" i="1" s="1"/>
  <c r="D1875" i="1" a="1"/>
  <c r="D1875" i="1" s="1"/>
  <c r="D1876" i="1" a="1"/>
  <c r="D1876" i="1" s="1"/>
  <c r="D1877" i="1" a="1"/>
  <c r="D1877" i="1" s="1"/>
  <c r="D1878" i="1" a="1"/>
  <c r="D1878" i="1" s="1"/>
  <c r="D1879" i="1" a="1"/>
  <c r="D1879" i="1" s="1"/>
  <c r="D1880" i="1" a="1"/>
  <c r="D1880" i="1" s="1"/>
  <c r="D1881" i="1" a="1"/>
  <c r="D1881" i="1" s="1"/>
  <c r="D1882" i="1" a="1"/>
  <c r="D1882" i="1" s="1"/>
  <c r="D1883" i="1" a="1"/>
  <c r="D1883" i="1" s="1"/>
  <c r="D1884" i="1" a="1"/>
  <c r="D1884" i="1" s="1"/>
  <c r="D1885" i="1" a="1"/>
  <c r="D1885" i="1" s="1"/>
  <c r="D1886" i="1" a="1"/>
  <c r="D1886" i="1" s="1"/>
  <c r="D1887" i="1" a="1"/>
  <c r="D1887" i="1" s="1"/>
  <c r="D1888" i="1" a="1"/>
  <c r="D1888" i="1" s="1"/>
  <c r="D1889" i="1" a="1"/>
  <c r="D1889" i="1" s="1"/>
  <c r="D1890" i="1" a="1"/>
  <c r="D1890" i="1" s="1"/>
  <c r="D1891" i="1" a="1"/>
  <c r="D1891" i="1" s="1"/>
  <c r="D1892" i="1" a="1"/>
  <c r="D1892" i="1" s="1"/>
  <c r="D1893" i="1" a="1"/>
  <c r="D1893" i="1" s="1"/>
  <c r="D1894" i="1" a="1"/>
  <c r="D1894" i="1" s="1"/>
  <c r="D1895" i="1" a="1"/>
  <c r="D1895" i="1" s="1"/>
  <c r="D1896" i="1" a="1"/>
  <c r="D1896" i="1" s="1"/>
  <c r="D1897" i="1" a="1"/>
  <c r="D1897" i="1" s="1"/>
  <c r="D1898" i="1" a="1"/>
  <c r="D1898" i="1" s="1"/>
  <c r="D1899" i="1" a="1"/>
  <c r="D1899" i="1" s="1"/>
  <c r="D1900" i="1" a="1"/>
  <c r="D1900" i="1" s="1"/>
  <c r="D1901" i="1" a="1"/>
  <c r="D1901" i="1" s="1"/>
  <c r="D1902" i="1" a="1"/>
  <c r="D1902" i="1" s="1"/>
  <c r="D1903" i="1" a="1"/>
  <c r="D1903" i="1" s="1"/>
  <c r="D1904" i="1" a="1"/>
  <c r="D1904" i="1" s="1"/>
  <c r="D1905" i="1" a="1"/>
  <c r="D1905" i="1" s="1"/>
  <c r="D1906" i="1" a="1"/>
  <c r="D1906" i="1" s="1"/>
  <c r="D1907" i="1" a="1"/>
  <c r="D1907" i="1" s="1"/>
  <c r="D1908" i="1" a="1"/>
  <c r="D1908" i="1" s="1"/>
  <c r="D1909" i="1" a="1"/>
  <c r="D1909" i="1" s="1"/>
  <c r="D1910" i="1" a="1"/>
  <c r="D1910" i="1" s="1"/>
  <c r="D1911" i="1" a="1"/>
  <c r="D1911" i="1" s="1"/>
  <c r="D1912" i="1" a="1"/>
  <c r="D1912" i="1" s="1"/>
  <c r="D1913" i="1" a="1"/>
  <c r="D1913" i="1" s="1"/>
  <c r="D1914" i="1" a="1"/>
  <c r="D1914" i="1" s="1"/>
  <c r="D1915" i="1" a="1"/>
  <c r="D1915" i="1" s="1"/>
  <c r="D1916" i="1" a="1"/>
  <c r="D1916" i="1" s="1"/>
  <c r="D1917" i="1" a="1"/>
  <c r="D1917" i="1" s="1"/>
  <c r="D1918" i="1" a="1"/>
  <c r="D1918" i="1" s="1"/>
  <c r="D1919" i="1" a="1"/>
  <c r="D1919" i="1" s="1"/>
  <c r="D1920" i="1" a="1"/>
  <c r="D1920" i="1" s="1"/>
  <c r="D1921" i="1" a="1"/>
  <c r="D1921" i="1" s="1"/>
  <c r="D1922" i="1" a="1"/>
  <c r="D1922" i="1" s="1"/>
  <c r="D1923" i="1" a="1"/>
  <c r="D1923" i="1" s="1"/>
  <c r="D1924" i="1" a="1"/>
  <c r="D1924" i="1" s="1"/>
  <c r="D1925" i="1" a="1"/>
  <c r="D1925" i="1" s="1"/>
  <c r="D1926" i="1" a="1"/>
  <c r="D1926" i="1" s="1"/>
  <c r="D1927" i="1" a="1"/>
  <c r="D1927" i="1" s="1"/>
  <c r="D1928" i="1" a="1"/>
  <c r="D1928" i="1" s="1"/>
  <c r="D1929" i="1" a="1"/>
  <c r="D1929" i="1" s="1"/>
  <c r="D1930" i="1" a="1"/>
  <c r="D1930" i="1" s="1"/>
  <c r="D1931" i="1" a="1"/>
  <c r="D1931" i="1" s="1"/>
  <c r="D1932" i="1" a="1"/>
  <c r="D1932" i="1" s="1"/>
  <c r="D1933" i="1" a="1"/>
  <c r="D1933" i="1" s="1"/>
  <c r="D1934" i="1" a="1"/>
  <c r="D1934" i="1" s="1"/>
  <c r="D1935" i="1" a="1"/>
  <c r="D1935" i="1" s="1"/>
  <c r="D1936" i="1" a="1"/>
  <c r="D1936" i="1" s="1"/>
  <c r="D1937" i="1" a="1"/>
  <c r="D1937" i="1" s="1"/>
  <c r="D1938" i="1" a="1"/>
  <c r="D1938" i="1" s="1"/>
  <c r="D1939" i="1" a="1"/>
  <c r="D1939" i="1" s="1"/>
  <c r="D1940" i="1" a="1"/>
  <c r="D1940" i="1" s="1"/>
  <c r="D1941" i="1" a="1"/>
  <c r="D1941" i="1" s="1"/>
  <c r="D1942" i="1" a="1"/>
  <c r="D1942" i="1" s="1"/>
  <c r="D1943" i="1" a="1"/>
  <c r="D1943" i="1" s="1"/>
  <c r="D1944" i="1" a="1"/>
  <c r="D1944" i="1" s="1"/>
  <c r="D1945" i="1" a="1"/>
  <c r="D1945" i="1" s="1"/>
  <c r="D1946" i="1" a="1"/>
  <c r="D1946" i="1" s="1"/>
  <c r="D1947" i="1" a="1"/>
  <c r="D1947" i="1" s="1"/>
  <c r="D1948" i="1" a="1"/>
  <c r="D1948" i="1" s="1"/>
  <c r="D1949" i="1" a="1"/>
  <c r="D1949" i="1" s="1"/>
  <c r="D1950" i="1" a="1"/>
  <c r="D1950" i="1" s="1"/>
  <c r="D1951" i="1" a="1"/>
  <c r="D1951" i="1" s="1"/>
  <c r="D1952" i="1" a="1"/>
  <c r="D1952" i="1" s="1"/>
  <c r="D1953" i="1" a="1"/>
  <c r="D1953" i="1" s="1"/>
  <c r="D1954" i="1" a="1"/>
  <c r="D1954" i="1" s="1"/>
  <c r="D1955" i="1" a="1"/>
  <c r="D1955" i="1" s="1"/>
  <c r="D1956" i="1" a="1"/>
  <c r="D1956" i="1" s="1"/>
  <c r="D1957" i="1" a="1"/>
  <c r="D1957" i="1" s="1"/>
  <c r="D1958" i="1" a="1"/>
  <c r="D1958" i="1" s="1"/>
  <c r="D1959" i="1" a="1"/>
  <c r="D1959" i="1" s="1"/>
  <c r="D1960" i="1" a="1"/>
  <c r="D1960" i="1" s="1"/>
  <c r="D1961" i="1" a="1"/>
  <c r="D1961" i="1" s="1"/>
  <c r="D1962" i="1" a="1"/>
  <c r="D1962" i="1" s="1"/>
  <c r="D1963" i="1" a="1"/>
  <c r="D1963" i="1" s="1"/>
  <c r="D1964" i="1" a="1"/>
  <c r="D1964" i="1" s="1"/>
  <c r="D1965" i="1" a="1"/>
  <c r="D1965" i="1" s="1"/>
  <c r="D1966" i="1" a="1"/>
  <c r="D1966" i="1" s="1"/>
  <c r="D1967" i="1" a="1"/>
  <c r="D1967" i="1" s="1"/>
  <c r="D1968" i="1" a="1"/>
  <c r="D1968" i="1" s="1"/>
  <c r="D1969" i="1" a="1"/>
  <c r="D1969" i="1" s="1"/>
  <c r="D1970" i="1" a="1"/>
  <c r="D1970" i="1" s="1"/>
  <c r="D1971" i="1" a="1"/>
  <c r="D1971" i="1" s="1"/>
  <c r="D1972" i="1" a="1"/>
  <c r="D1972" i="1" s="1"/>
  <c r="D1973" i="1" a="1"/>
  <c r="D1973" i="1" s="1"/>
  <c r="D1974" i="1" a="1"/>
  <c r="D1974" i="1" s="1"/>
  <c r="D1975" i="1" a="1"/>
  <c r="D1975" i="1" s="1"/>
  <c r="D1976" i="1" a="1"/>
  <c r="D1976" i="1" s="1"/>
  <c r="D1977" i="1" a="1"/>
  <c r="D1977" i="1" s="1"/>
  <c r="D1978" i="1" a="1"/>
  <c r="D1978" i="1" s="1"/>
  <c r="D1979" i="1" a="1"/>
  <c r="D1979" i="1" s="1"/>
  <c r="D1980" i="1" a="1"/>
  <c r="D1980" i="1" s="1"/>
  <c r="D1981" i="1" a="1"/>
  <c r="D1981" i="1" s="1"/>
  <c r="D1982" i="1" a="1"/>
  <c r="D1982" i="1" s="1"/>
  <c r="D1983" i="1" a="1"/>
  <c r="D1983" i="1" s="1"/>
  <c r="D1984" i="1" a="1"/>
  <c r="D1984" i="1" s="1"/>
  <c r="D1985" i="1" a="1"/>
  <c r="D1985" i="1" s="1"/>
  <c r="D1986" i="1" a="1"/>
  <c r="D1986" i="1" s="1"/>
  <c r="D1987" i="1" a="1"/>
  <c r="D1987" i="1" s="1"/>
  <c r="D1988" i="1" a="1"/>
  <c r="D1988" i="1" s="1"/>
  <c r="D1989" i="1" a="1"/>
  <c r="D1989" i="1" s="1"/>
  <c r="D1990" i="1" a="1"/>
  <c r="D1990" i="1" s="1"/>
  <c r="D1991" i="1" a="1"/>
  <c r="D1991" i="1" s="1"/>
  <c r="D1992" i="1" a="1"/>
  <c r="D1992" i="1" s="1"/>
  <c r="D1993" i="1" a="1"/>
  <c r="D1993" i="1" s="1"/>
  <c r="D1994" i="1" a="1"/>
  <c r="D1994" i="1" s="1"/>
  <c r="D1995" i="1" a="1"/>
  <c r="D1995" i="1" s="1"/>
  <c r="D1996" i="1" a="1"/>
  <c r="D1996" i="1" s="1"/>
  <c r="D1997" i="1" a="1"/>
  <c r="D1997" i="1" s="1"/>
  <c r="D1998" i="1" a="1"/>
  <c r="D1998" i="1" s="1"/>
  <c r="D1999" i="1" a="1"/>
  <c r="D1999" i="1" s="1"/>
  <c r="D2000" i="1" a="1"/>
  <c r="D2000" i="1" s="1"/>
  <c r="D2001" i="1" a="1"/>
  <c r="D2001" i="1" s="1"/>
  <c r="H202" i="1" a="1"/>
  <c r="H202" i="1" s="1"/>
  <c r="H203" i="1" a="1"/>
  <c r="H203" i="1" s="1"/>
  <c r="H204" i="1" a="1"/>
  <c r="H204" i="1" s="1"/>
  <c r="H205" i="1" a="1"/>
  <c r="H205" i="1" s="1"/>
  <c r="H206" i="1" a="1"/>
  <c r="H206" i="1" s="1"/>
  <c r="H207" i="1" a="1"/>
  <c r="H207" i="1" s="1"/>
  <c r="H208" i="1" a="1"/>
  <c r="H208" i="1" s="1"/>
  <c r="H209" i="1" a="1"/>
  <c r="H209" i="1" s="1"/>
  <c r="H210" i="1" a="1"/>
  <c r="H210" i="1" s="1"/>
  <c r="H211" i="1" a="1"/>
  <c r="H211" i="1" s="1"/>
  <c r="H212" i="1" a="1"/>
  <c r="H212" i="1" s="1"/>
  <c r="H213" i="1" a="1"/>
  <c r="H213" i="1" s="1"/>
  <c r="H214" i="1" a="1"/>
  <c r="H214" i="1" s="1"/>
  <c r="H215" i="1" a="1"/>
  <c r="H215" i="1" s="1"/>
  <c r="H216" i="1" a="1"/>
  <c r="H216" i="1" s="1"/>
  <c r="H217" i="1" a="1"/>
  <c r="H217" i="1" s="1"/>
  <c r="H218" i="1" a="1"/>
  <c r="H218" i="1" s="1"/>
  <c r="H219" i="1" a="1"/>
  <c r="H219" i="1" s="1"/>
  <c r="H220" i="1" a="1"/>
  <c r="H220" i="1" s="1"/>
  <c r="H221" i="1" a="1"/>
  <c r="H221" i="1" s="1"/>
  <c r="H222" i="1" a="1"/>
  <c r="H222" i="1" s="1"/>
  <c r="H223" i="1" a="1"/>
  <c r="H223" i="1" s="1"/>
  <c r="H224" i="1" a="1"/>
  <c r="H224" i="1" s="1"/>
  <c r="H225" i="1" a="1"/>
  <c r="H225" i="1" s="1"/>
  <c r="H226" i="1" a="1"/>
  <c r="H226" i="1" s="1"/>
  <c r="H227" i="1" a="1"/>
  <c r="H227" i="1" s="1"/>
  <c r="H228" i="1" a="1"/>
  <c r="H228" i="1" s="1"/>
  <c r="H229" i="1" a="1"/>
  <c r="H229" i="1" s="1"/>
  <c r="H230" i="1" a="1"/>
  <c r="H230" i="1" s="1"/>
  <c r="H231" i="1" a="1"/>
  <c r="H231" i="1" s="1"/>
  <c r="H232" i="1" a="1"/>
  <c r="H232" i="1" s="1"/>
  <c r="H233" i="1" a="1"/>
  <c r="H233" i="1" s="1"/>
  <c r="H234" i="1" a="1"/>
  <c r="H234" i="1" s="1"/>
  <c r="H235" i="1" a="1"/>
  <c r="H235" i="1" s="1"/>
  <c r="H236" i="1" a="1"/>
  <c r="H236" i="1" s="1"/>
  <c r="H237" i="1" a="1"/>
  <c r="H237" i="1" s="1"/>
  <c r="H238" i="1" a="1"/>
  <c r="H238" i="1" s="1"/>
  <c r="H239" i="1" a="1"/>
  <c r="H239" i="1" s="1"/>
  <c r="H240" i="1" a="1"/>
  <c r="H240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 s="1"/>
  <c r="H246" i="1" a="1"/>
  <c r="H246" i="1" s="1"/>
  <c r="H247" i="1" a="1"/>
  <c r="H247" i="1" s="1"/>
  <c r="H248" i="1" a="1"/>
  <c r="H248" i="1" s="1"/>
  <c r="H249" i="1" a="1"/>
  <c r="H249" i="1" s="1"/>
  <c r="H250" i="1" a="1"/>
  <c r="H250" i="1" s="1"/>
  <c r="H251" i="1" a="1"/>
  <c r="H251" i="1" s="1"/>
  <c r="H252" i="1" a="1"/>
  <c r="H252" i="1" s="1"/>
  <c r="H253" i="1" a="1"/>
  <c r="H253" i="1" s="1"/>
  <c r="H254" i="1" a="1"/>
  <c r="H254" i="1" s="1"/>
  <c r="H255" i="1" a="1"/>
  <c r="H255" i="1" s="1"/>
  <c r="H256" i="1" a="1"/>
  <c r="H256" i="1" s="1"/>
  <c r="H257" i="1" a="1"/>
  <c r="H257" i="1" s="1"/>
  <c r="H258" i="1" a="1"/>
  <c r="H258" i="1" s="1"/>
  <c r="H259" i="1" a="1"/>
  <c r="H259" i="1" s="1"/>
  <c r="H260" i="1" a="1"/>
  <c r="H260" i="1" s="1"/>
  <c r="H261" i="1" a="1"/>
  <c r="H261" i="1" s="1"/>
  <c r="H262" i="1" a="1"/>
  <c r="H262" i="1" s="1"/>
  <c r="H263" i="1" a="1"/>
  <c r="H263" i="1" s="1"/>
  <c r="H264" i="1" a="1"/>
  <c r="H264" i="1" s="1"/>
  <c r="H265" i="1" a="1"/>
  <c r="H265" i="1" s="1"/>
  <c r="H266" i="1" a="1"/>
  <c r="H266" i="1" s="1"/>
  <c r="H267" i="1" a="1"/>
  <c r="H267" i="1" s="1"/>
  <c r="H268" i="1" a="1"/>
  <c r="H268" i="1" s="1"/>
  <c r="H269" i="1" a="1"/>
  <c r="H269" i="1" s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 s="1"/>
  <c r="H276" i="1" a="1"/>
  <c r="H276" i="1" s="1"/>
  <c r="H277" i="1" a="1"/>
  <c r="H277" i="1" s="1"/>
  <c r="H278" i="1" a="1"/>
  <c r="H278" i="1" s="1"/>
  <c r="H279" i="1" a="1"/>
  <c r="H279" i="1" s="1"/>
  <c r="H280" i="1" a="1"/>
  <c r="H280" i="1" s="1"/>
  <c r="H281" i="1" a="1"/>
  <c r="H281" i="1" s="1"/>
  <c r="H282" i="1" a="1"/>
  <c r="H282" i="1" s="1"/>
  <c r="H283" i="1" a="1"/>
  <c r="H283" i="1" s="1"/>
  <c r="H284" i="1" a="1"/>
  <c r="H284" i="1" s="1"/>
  <c r="H285" i="1" a="1"/>
  <c r="H285" i="1" s="1"/>
  <c r="H286" i="1" a="1"/>
  <c r="H286" i="1" s="1"/>
  <c r="H287" i="1" a="1"/>
  <c r="H287" i="1" s="1"/>
  <c r="H288" i="1" a="1"/>
  <c r="H288" i="1" s="1"/>
  <c r="H289" i="1" a="1"/>
  <c r="H289" i="1" s="1"/>
  <c r="H290" i="1" a="1"/>
  <c r="H290" i="1" s="1"/>
  <c r="H291" i="1" a="1"/>
  <c r="H291" i="1" s="1"/>
  <c r="H292" i="1" a="1"/>
  <c r="H292" i="1" s="1"/>
  <c r="H293" i="1" a="1"/>
  <c r="H293" i="1" s="1"/>
  <c r="H294" i="1" a="1"/>
  <c r="H294" i="1" s="1"/>
  <c r="H295" i="1" a="1"/>
  <c r="H295" i="1" s="1"/>
  <c r="H296" i="1" a="1"/>
  <c r="H296" i="1" s="1"/>
  <c r="H297" i="1" a="1"/>
  <c r="H297" i="1" s="1"/>
  <c r="H298" i="1" a="1"/>
  <c r="H298" i="1" s="1"/>
  <c r="H299" i="1" a="1"/>
  <c r="H299" i="1" s="1"/>
  <c r="H300" i="1" a="1"/>
  <c r="H300" i="1" s="1"/>
  <c r="H301" i="1" a="1"/>
  <c r="H301" i="1" s="1"/>
  <c r="H302" i="1" a="1"/>
  <c r="H302" i="1" s="1"/>
  <c r="H303" i="1" a="1"/>
  <c r="H303" i="1" s="1"/>
  <c r="H304" i="1" a="1"/>
  <c r="H304" i="1" s="1"/>
  <c r="H305" i="1" a="1"/>
  <c r="H305" i="1" s="1"/>
  <c r="H306" i="1" a="1"/>
  <c r="H306" i="1" s="1"/>
  <c r="H307" i="1" a="1"/>
  <c r="H307" i="1" s="1"/>
  <c r="H308" i="1" a="1"/>
  <c r="H308" i="1" s="1"/>
  <c r="H309" i="1" a="1"/>
  <c r="H309" i="1" s="1"/>
  <c r="H310" i="1" a="1"/>
  <c r="H310" i="1" s="1"/>
  <c r="H311" i="1" a="1"/>
  <c r="H311" i="1" s="1"/>
  <c r="H312" i="1" a="1"/>
  <c r="H312" i="1" s="1"/>
  <c r="H313" i="1" a="1"/>
  <c r="H313" i="1" s="1"/>
  <c r="H314" i="1" a="1"/>
  <c r="H314" i="1" s="1"/>
  <c r="H315" i="1" a="1"/>
  <c r="H315" i="1" s="1"/>
  <c r="H316" i="1" a="1"/>
  <c r="H316" i="1" s="1"/>
  <c r="H317" i="1" a="1"/>
  <c r="H317" i="1" s="1"/>
  <c r="H318" i="1" a="1"/>
  <c r="H318" i="1" s="1"/>
  <c r="H319" i="1" a="1"/>
  <c r="H319" i="1" s="1"/>
  <c r="H320" i="1" a="1"/>
  <c r="H320" i="1" s="1"/>
  <c r="H321" i="1" a="1"/>
  <c r="H321" i="1" s="1"/>
  <c r="H322" i="1" a="1"/>
  <c r="H322" i="1" s="1"/>
  <c r="H323" i="1" a="1"/>
  <c r="H323" i="1" s="1"/>
  <c r="H324" i="1" a="1"/>
  <c r="H324" i="1" s="1"/>
  <c r="H325" i="1" a="1"/>
  <c r="H325" i="1" s="1"/>
  <c r="H326" i="1" a="1"/>
  <c r="H326" i="1" s="1"/>
  <c r="H327" i="1" a="1"/>
  <c r="H327" i="1" s="1"/>
  <c r="H328" i="1" a="1"/>
  <c r="H328" i="1" s="1"/>
  <c r="H329" i="1" a="1"/>
  <c r="H329" i="1" s="1"/>
  <c r="H330" i="1" a="1"/>
  <c r="H330" i="1" s="1"/>
  <c r="H331" i="1" a="1"/>
  <c r="H331" i="1" s="1"/>
  <c r="H332" i="1" a="1"/>
  <c r="H332" i="1" s="1"/>
  <c r="H333" i="1" a="1"/>
  <c r="H333" i="1" s="1"/>
  <c r="H334" i="1" a="1"/>
  <c r="H334" i="1" s="1"/>
  <c r="H335" i="1" a="1"/>
  <c r="H335" i="1" s="1"/>
  <c r="H336" i="1" a="1"/>
  <c r="H336" i="1" s="1"/>
  <c r="H337" i="1" a="1"/>
  <c r="H337" i="1" s="1"/>
  <c r="H338" i="1" a="1"/>
  <c r="H338" i="1" s="1"/>
  <c r="H339" i="1" a="1"/>
  <c r="H339" i="1" s="1"/>
  <c r="H340" i="1" a="1"/>
  <c r="H340" i="1" s="1"/>
  <c r="H341" i="1" a="1"/>
  <c r="H341" i="1" s="1"/>
  <c r="H342" i="1" a="1"/>
  <c r="H342" i="1" s="1"/>
  <c r="H343" i="1" a="1"/>
  <c r="H343" i="1" s="1"/>
  <c r="H344" i="1" a="1"/>
  <c r="H344" i="1" s="1"/>
  <c r="H345" i="1" a="1"/>
  <c r="H345" i="1" s="1"/>
  <c r="H346" i="1" a="1"/>
  <c r="H346" i="1" s="1"/>
  <c r="H347" i="1" a="1"/>
  <c r="H347" i="1" s="1"/>
  <c r="H348" i="1" a="1"/>
  <c r="H348" i="1" s="1"/>
  <c r="H349" i="1" a="1"/>
  <c r="H349" i="1" s="1"/>
  <c r="H350" i="1" a="1"/>
  <c r="H350" i="1" s="1"/>
  <c r="H351" i="1" a="1"/>
  <c r="H351" i="1" s="1"/>
  <c r="H352" i="1" a="1"/>
  <c r="H352" i="1" s="1"/>
  <c r="H353" i="1" a="1"/>
  <c r="H353" i="1" s="1"/>
  <c r="H354" i="1" a="1"/>
  <c r="H354" i="1" s="1"/>
  <c r="H355" i="1" a="1"/>
  <c r="H355" i="1" s="1"/>
  <c r="H356" i="1" a="1"/>
  <c r="H356" i="1" s="1"/>
  <c r="H357" i="1" a="1"/>
  <c r="H357" i="1" s="1"/>
  <c r="H358" i="1" a="1"/>
  <c r="H358" i="1" s="1"/>
  <c r="H359" i="1" a="1"/>
  <c r="H359" i="1" s="1"/>
  <c r="H360" i="1" a="1"/>
  <c r="H360" i="1" s="1"/>
  <c r="H361" i="1" a="1"/>
  <c r="H361" i="1" s="1"/>
  <c r="H362" i="1" a="1"/>
  <c r="H362" i="1" s="1"/>
  <c r="H363" i="1" a="1"/>
  <c r="H363" i="1" s="1"/>
  <c r="H364" i="1" a="1"/>
  <c r="H364" i="1" s="1"/>
  <c r="H365" i="1" a="1"/>
  <c r="H365" i="1" s="1"/>
  <c r="H366" i="1" a="1"/>
  <c r="H366" i="1" s="1"/>
  <c r="H367" i="1" a="1"/>
  <c r="H367" i="1" s="1"/>
  <c r="H368" i="1" a="1"/>
  <c r="H368" i="1" s="1"/>
  <c r="H369" i="1" a="1"/>
  <c r="H369" i="1" s="1"/>
  <c r="H370" i="1" a="1"/>
  <c r="H370" i="1" s="1"/>
  <c r="H371" i="1" a="1"/>
  <c r="H371" i="1" s="1"/>
  <c r="H372" i="1" a="1"/>
  <c r="H372" i="1" s="1"/>
  <c r="H373" i="1" a="1"/>
  <c r="H373" i="1" s="1"/>
  <c r="H374" i="1" a="1"/>
  <c r="H374" i="1" s="1"/>
  <c r="H375" i="1" a="1"/>
  <c r="H375" i="1" s="1"/>
  <c r="H376" i="1" a="1"/>
  <c r="H376" i="1" s="1"/>
  <c r="H377" i="1" a="1"/>
  <c r="H377" i="1" s="1"/>
  <c r="H378" i="1" a="1"/>
  <c r="H378" i="1" s="1"/>
  <c r="H379" i="1" a="1"/>
  <c r="H379" i="1" s="1"/>
  <c r="H380" i="1" a="1"/>
  <c r="H380" i="1" s="1"/>
  <c r="H381" i="1" a="1"/>
  <c r="H381" i="1" s="1"/>
  <c r="H382" i="1" a="1"/>
  <c r="H382" i="1" s="1"/>
  <c r="H383" i="1" a="1"/>
  <c r="H383" i="1" s="1"/>
  <c r="H384" i="1" a="1"/>
  <c r="H384" i="1" s="1"/>
  <c r="H385" i="1" a="1"/>
  <c r="H385" i="1" s="1"/>
  <c r="H386" i="1" a="1"/>
  <c r="H386" i="1" s="1"/>
  <c r="H387" i="1" a="1"/>
  <c r="H387" i="1" s="1"/>
  <c r="H388" i="1" a="1"/>
  <c r="H388" i="1" s="1"/>
  <c r="H389" i="1" a="1"/>
  <c r="H389" i="1" s="1"/>
  <c r="H390" i="1" a="1"/>
  <c r="H390" i="1" s="1"/>
  <c r="H391" i="1" a="1"/>
  <c r="H391" i="1" s="1"/>
  <c r="H392" i="1" a="1"/>
  <c r="H392" i="1" s="1"/>
  <c r="H393" i="1" a="1"/>
  <c r="H393" i="1" s="1"/>
  <c r="H394" i="1" a="1"/>
  <c r="H394" i="1" s="1"/>
  <c r="H395" i="1" a="1"/>
  <c r="H395" i="1" s="1"/>
  <c r="H396" i="1" a="1"/>
  <c r="H396" i="1" s="1"/>
  <c r="H397" i="1" a="1"/>
  <c r="H397" i="1" s="1"/>
  <c r="H398" i="1" a="1"/>
  <c r="H398" i="1" s="1"/>
  <c r="H399" i="1" a="1"/>
  <c r="H399" i="1" s="1"/>
  <c r="H400" i="1" a="1"/>
  <c r="H400" i="1" s="1"/>
  <c r="H401" i="1" a="1"/>
  <c r="H401" i="1" s="1"/>
  <c r="H402" i="1" a="1"/>
  <c r="H402" i="1" s="1"/>
  <c r="H403" i="1" a="1"/>
  <c r="H403" i="1" s="1"/>
  <c r="H404" i="1" a="1"/>
  <c r="H404" i="1" s="1"/>
  <c r="H405" i="1" a="1"/>
  <c r="H405" i="1" s="1"/>
  <c r="H406" i="1" a="1"/>
  <c r="H406" i="1" s="1"/>
  <c r="H407" i="1" a="1"/>
  <c r="H407" i="1" s="1"/>
  <c r="H408" i="1" a="1"/>
  <c r="H408" i="1" s="1"/>
  <c r="H409" i="1" a="1"/>
  <c r="H409" i="1" s="1"/>
  <c r="H410" i="1" a="1"/>
  <c r="H410" i="1" s="1"/>
  <c r="H411" i="1" a="1"/>
  <c r="H411" i="1" s="1"/>
  <c r="H412" i="1" a="1"/>
  <c r="H412" i="1" s="1"/>
  <c r="H413" i="1" a="1"/>
  <c r="H413" i="1" s="1"/>
  <c r="H414" i="1" a="1"/>
  <c r="H414" i="1" s="1"/>
  <c r="H415" i="1" a="1"/>
  <c r="H415" i="1" s="1"/>
  <c r="H416" i="1" a="1"/>
  <c r="H416" i="1" s="1"/>
  <c r="H417" i="1" a="1"/>
  <c r="H417" i="1" s="1"/>
  <c r="H418" i="1" a="1"/>
  <c r="H418" i="1" s="1"/>
  <c r="H419" i="1" a="1"/>
  <c r="H419" i="1" s="1"/>
  <c r="H420" i="1" a="1"/>
  <c r="H420" i="1" s="1"/>
  <c r="H421" i="1" a="1"/>
  <c r="H421" i="1" s="1"/>
  <c r="H422" i="1" a="1"/>
  <c r="H422" i="1" s="1"/>
  <c r="H423" i="1" a="1"/>
  <c r="H423" i="1" s="1"/>
  <c r="H424" i="1" a="1"/>
  <c r="H424" i="1" s="1"/>
  <c r="H425" i="1" a="1"/>
  <c r="H425" i="1" s="1"/>
  <c r="H426" i="1" a="1"/>
  <c r="H426" i="1" s="1"/>
  <c r="H427" i="1" a="1"/>
  <c r="H427" i="1" s="1"/>
  <c r="H428" i="1" a="1"/>
  <c r="H428" i="1" s="1"/>
  <c r="H429" i="1" a="1"/>
  <c r="H429" i="1" s="1"/>
  <c r="H430" i="1" a="1"/>
  <c r="H430" i="1" s="1"/>
  <c r="H431" i="1" a="1"/>
  <c r="H431" i="1" s="1"/>
  <c r="H432" i="1" a="1"/>
  <c r="H432" i="1" s="1"/>
  <c r="H433" i="1" a="1"/>
  <c r="H433" i="1" s="1"/>
  <c r="H434" i="1" a="1"/>
  <c r="H434" i="1" s="1"/>
  <c r="H435" i="1" a="1"/>
  <c r="H435" i="1" s="1"/>
  <c r="H436" i="1" a="1"/>
  <c r="H436" i="1" s="1"/>
  <c r="H437" i="1" a="1"/>
  <c r="H437" i="1" s="1"/>
  <c r="H438" i="1" a="1"/>
  <c r="H438" i="1" s="1"/>
  <c r="H439" i="1" a="1"/>
  <c r="H439" i="1" s="1"/>
  <c r="H440" i="1" a="1"/>
  <c r="H440" i="1" s="1"/>
  <c r="H441" i="1" a="1"/>
  <c r="H441" i="1" s="1"/>
  <c r="H442" i="1" a="1"/>
  <c r="H442" i="1" s="1"/>
  <c r="H443" i="1" a="1"/>
  <c r="H443" i="1" s="1"/>
  <c r="H444" i="1" a="1"/>
  <c r="H444" i="1" s="1"/>
  <c r="H445" i="1" a="1"/>
  <c r="H445" i="1" s="1"/>
  <c r="H446" i="1" a="1"/>
  <c r="H446" i="1" s="1"/>
  <c r="H447" i="1" a="1"/>
  <c r="H447" i="1" s="1"/>
  <c r="H448" i="1" a="1"/>
  <c r="H448" i="1" s="1"/>
  <c r="H449" i="1" a="1"/>
  <c r="H449" i="1" s="1"/>
  <c r="H450" i="1" a="1"/>
  <c r="H450" i="1" s="1"/>
  <c r="H451" i="1" a="1"/>
  <c r="H451" i="1" s="1"/>
  <c r="H452" i="1" a="1"/>
  <c r="H452" i="1" s="1"/>
  <c r="H453" i="1" a="1"/>
  <c r="H453" i="1" s="1"/>
  <c r="H454" i="1" a="1"/>
  <c r="H454" i="1" s="1"/>
  <c r="H455" i="1" a="1"/>
  <c r="H455" i="1" s="1"/>
  <c r="H456" i="1" a="1"/>
  <c r="H456" i="1" s="1"/>
  <c r="H457" i="1" a="1"/>
  <c r="H457" i="1" s="1"/>
  <c r="H458" i="1" a="1"/>
  <c r="H458" i="1" s="1"/>
  <c r="H459" i="1" a="1"/>
  <c r="H459" i="1" s="1"/>
  <c r="H460" i="1" a="1"/>
  <c r="H460" i="1" s="1"/>
  <c r="H461" i="1" a="1"/>
  <c r="H461" i="1" s="1"/>
  <c r="H462" i="1" a="1"/>
  <c r="H462" i="1" s="1"/>
  <c r="H463" i="1" a="1"/>
  <c r="H463" i="1" s="1"/>
  <c r="H464" i="1" a="1"/>
  <c r="H464" i="1" s="1"/>
  <c r="H465" i="1" a="1"/>
  <c r="H465" i="1" s="1"/>
  <c r="H466" i="1" a="1"/>
  <c r="H466" i="1" s="1"/>
  <c r="H467" i="1" a="1"/>
  <c r="H467" i="1" s="1"/>
  <c r="H468" i="1" a="1"/>
  <c r="H468" i="1" s="1"/>
  <c r="H469" i="1" a="1"/>
  <c r="H469" i="1" s="1"/>
  <c r="H470" i="1" a="1"/>
  <c r="H470" i="1" s="1"/>
  <c r="H471" i="1" a="1"/>
  <c r="H471" i="1" s="1"/>
  <c r="H472" i="1" a="1"/>
  <c r="H472" i="1" s="1"/>
  <c r="H473" i="1" a="1"/>
  <c r="H473" i="1" s="1"/>
  <c r="H474" i="1" a="1"/>
  <c r="H474" i="1" s="1"/>
  <c r="H475" i="1" a="1"/>
  <c r="H475" i="1" s="1"/>
  <c r="H476" i="1" a="1"/>
  <c r="H476" i="1" s="1"/>
  <c r="H477" i="1" a="1"/>
  <c r="H477" i="1" s="1"/>
  <c r="H478" i="1" a="1"/>
  <c r="H478" i="1" s="1"/>
  <c r="H479" i="1" a="1"/>
  <c r="H479" i="1" s="1"/>
  <c r="H480" i="1" a="1"/>
  <c r="H480" i="1" s="1"/>
  <c r="H481" i="1" a="1"/>
  <c r="H481" i="1" s="1"/>
  <c r="H482" i="1" a="1"/>
  <c r="H482" i="1" s="1"/>
  <c r="H483" i="1" a="1"/>
  <c r="H483" i="1" s="1"/>
  <c r="H484" i="1" a="1"/>
  <c r="H484" i="1" s="1"/>
  <c r="H485" i="1" a="1"/>
  <c r="H485" i="1" s="1"/>
  <c r="H486" i="1" a="1"/>
  <c r="H486" i="1" s="1"/>
  <c r="H487" i="1" a="1"/>
  <c r="H487" i="1" s="1"/>
  <c r="H488" i="1" a="1"/>
  <c r="H488" i="1" s="1"/>
  <c r="H489" i="1" a="1"/>
  <c r="H489" i="1" s="1"/>
  <c r="H490" i="1" a="1"/>
  <c r="H490" i="1" s="1"/>
  <c r="H491" i="1" a="1"/>
  <c r="H491" i="1" s="1"/>
  <c r="H492" i="1" a="1"/>
  <c r="H492" i="1" s="1"/>
  <c r="H493" i="1" a="1"/>
  <c r="H493" i="1" s="1"/>
  <c r="H494" i="1" a="1"/>
  <c r="H494" i="1" s="1"/>
  <c r="H495" i="1" a="1"/>
  <c r="H495" i="1" s="1"/>
  <c r="H496" i="1" a="1"/>
  <c r="H496" i="1" s="1"/>
  <c r="H497" i="1" a="1"/>
  <c r="H497" i="1" s="1"/>
  <c r="H498" i="1" a="1"/>
  <c r="H498" i="1" s="1"/>
  <c r="H499" i="1" a="1"/>
  <c r="H499" i="1" s="1"/>
  <c r="H500" i="1" a="1"/>
  <c r="H500" i="1" s="1"/>
  <c r="H501" i="1" a="1"/>
  <c r="H501" i="1" s="1"/>
  <c r="H502" i="1" a="1"/>
  <c r="H502" i="1" s="1"/>
  <c r="H503" i="1" a="1"/>
  <c r="H503" i="1" s="1"/>
  <c r="H504" i="1" a="1"/>
  <c r="H504" i="1" s="1"/>
  <c r="H505" i="1" a="1"/>
  <c r="H505" i="1" s="1"/>
  <c r="H506" i="1" a="1"/>
  <c r="H506" i="1" s="1"/>
  <c r="H507" i="1" a="1"/>
  <c r="H507" i="1" s="1"/>
  <c r="H508" i="1" a="1"/>
  <c r="H508" i="1" s="1"/>
  <c r="H509" i="1" a="1"/>
  <c r="H509" i="1" s="1"/>
  <c r="H510" i="1" a="1"/>
  <c r="H510" i="1" s="1"/>
  <c r="H511" i="1" a="1"/>
  <c r="H511" i="1" s="1"/>
  <c r="H512" i="1" a="1"/>
  <c r="H512" i="1" s="1"/>
  <c r="H513" i="1" a="1"/>
  <c r="H513" i="1" s="1"/>
  <c r="H514" i="1" a="1"/>
  <c r="H514" i="1" s="1"/>
  <c r="H515" i="1" a="1"/>
  <c r="H515" i="1" s="1"/>
  <c r="H516" i="1" a="1"/>
  <c r="H516" i="1" s="1"/>
  <c r="H517" i="1" a="1"/>
  <c r="H517" i="1" s="1"/>
  <c r="H518" i="1" a="1"/>
  <c r="H518" i="1" s="1"/>
  <c r="H519" i="1" a="1"/>
  <c r="H519" i="1" s="1"/>
  <c r="H520" i="1" a="1"/>
  <c r="H520" i="1" s="1"/>
  <c r="H521" i="1" a="1"/>
  <c r="H521" i="1" s="1"/>
  <c r="H522" i="1" a="1"/>
  <c r="H522" i="1" s="1"/>
  <c r="H523" i="1" a="1"/>
  <c r="H523" i="1" s="1"/>
  <c r="H524" i="1" a="1"/>
  <c r="H524" i="1" s="1"/>
  <c r="H525" i="1" a="1"/>
  <c r="H525" i="1" s="1"/>
  <c r="H526" i="1" a="1"/>
  <c r="H526" i="1" s="1"/>
  <c r="H527" i="1" a="1"/>
  <c r="H527" i="1" s="1"/>
  <c r="H528" i="1" a="1"/>
  <c r="H528" i="1" s="1"/>
  <c r="H529" i="1" a="1"/>
  <c r="H529" i="1" s="1"/>
  <c r="H530" i="1" a="1"/>
  <c r="H530" i="1" s="1"/>
  <c r="H531" i="1" a="1"/>
  <c r="H531" i="1" s="1"/>
  <c r="H532" i="1" a="1"/>
  <c r="H532" i="1" s="1"/>
  <c r="H533" i="1" a="1"/>
  <c r="H533" i="1" s="1"/>
  <c r="H534" i="1" a="1"/>
  <c r="H534" i="1" s="1"/>
  <c r="H535" i="1" a="1"/>
  <c r="H535" i="1" s="1"/>
  <c r="H536" i="1" a="1"/>
  <c r="H536" i="1" s="1"/>
  <c r="H537" i="1" a="1"/>
  <c r="H537" i="1" s="1"/>
  <c r="H538" i="1" a="1"/>
  <c r="H538" i="1" s="1"/>
  <c r="H539" i="1" a="1"/>
  <c r="H539" i="1" s="1"/>
  <c r="H540" i="1" a="1"/>
  <c r="H540" i="1" s="1"/>
  <c r="H541" i="1" a="1"/>
  <c r="H541" i="1" s="1"/>
  <c r="H542" i="1" a="1"/>
  <c r="H542" i="1" s="1"/>
  <c r="H543" i="1" a="1"/>
  <c r="H543" i="1" s="1"/>
  <c r="H544" i="1" a="1"/>
  <c r="H544" i="1" s="1"/>
  <c r="H545" i="1" a="1"/>
  <c r="H545" i="1" s="1"/>
  <c r="H546" i="1" a="1"/>
  <c r="H546" i="1" s="1"/>
  <c r="H547" i="1" a="1"/>
  <c r="H547" i="1" s="1"/>
  <c r="H548" i="1" a="1"/>
  <c r="H548" i="1" s="1"/>
  <c r="H549" i="1" a="1"/>
  <c r="H549" i="1" s="1"/>
  <c r="H550" i="1" a="1"/>
  <c r="H550" i="1" s="1"/>
  <c r="H551" i="1" a="1"/>
  <c r="H551" i="1" s="1"/>
  <c r="H552" i="1" a="1"/>
  <c r="H552" i="1" s="1"/>
  <c r="H553" i="1" a="1"/>
  <c r="H553" i="1" s="1"/>
  <c r="H554" i="1" a="1"/>
  <c r="H554" i="1" s="1"/>
  <c r="H555" i="1" a="1"/>
  <c r="H555" i="1" s="1"/>
  <c r="H556" i="1" a="1"/>
  <c r="H556" i="1" s="1"/>
  <c r="H557" i="1" a="1"/>
  <c r="H557" i="1" s="1"/>
  <c r="H558" i="1" a="1"/>
  <c r="H558" i="1" s="1"/>
  <c r="H559" i="1" a="1"/>
  <c r="H559" i="1" s="1"/>
  <c r="H560" i="1" a="1"/>
  <c r="H560" i="1" s="1"/>
  <c r="H561" i="1" a="1"/>
  <c r="H561" i="1" s="1"/>
  <c r="H562" i="1" a="1"/>
  <c r="H562" i="1" s="1"/>
  <c r="H563" i="1" a="1"/>
  <c r="H563" i="1" s="1"/>
  <c r="H564" i="1" a="1"/>
  <c r="H564" i="1" s="1"/>
  <c r="H565" i="1" a="1"/>
  <c r="H565" i="1" s="1"/>
  <c r="H566" i="1" a="1"/>
  <c r="H566" i="1" s="1"/>
  <c r="H567" i="1" a="1"/>
  <c r="H567" i="1" s="1"/>
  <c r="H568" i="1" a="1"/>
  <c r="H568" i="1" s="1"/>
  <c r="H569" i="1" a="1"/>
  <c r="H569" i="1" s="1"/>
  <c r="H570" i="1" a="1"/>
  <c r="H570" i="1" s="1"/>
  <c r="H571" i="1" a="1"/>
  <c r="H571" i="1" s="1"/>
  <c r="H572" i="1" a="1"/>
  <c r="H572" i="1" s="1"/>
  <c r="H573" i="1" a="1"/>
  <c r="H573" i="1" s="1"/>
  <c r="H574" i="1" a="1"/>
  <c r="H574" i="1" s="1"/>
  <c r="H575" i="1" a="1"/>
  <c r="H575" i="1" s="1"/>
  <c r="H576" i="1" a="1"/>
  <c r="H576" i="1" s="1"/>
  <c r="H577" i="1" a="1"/>
  <c r="H577" i="1" s="1"/>
  <c r="H578" i="1" a="1"/>
  <c r="H578" i="1" s="1"/>
  <c r="H579" i="1" a="1"/>
  <c r="H579" i="1" s="1"/>
  <c r="H580" i="1" a="1"/>
  <c r="H580" i="1" s="1"/>
  <c r="H581" i="1" a="1"/>
  <c r="H581" i="1" s="1"/>
  <c r="H582" i="1" a="1"/>
  <c r="H582" i="1" s="1"/>
  <c r="H583" i="1" a="1"/>
  <c r="H583" i="1" s="1"/>
  <c r="H584" i="1" a="1"/>
  <c r="H584" i="1" s="1"/>
  <c r="H585" i="1" a="1"/>
  <c r="H585" i="1" s="1"/>
  <c r="H586" i="1" a="1"/>
  <c r="H586" i="1" s="1"/>
  <c r="H587" i="1" a="1"/>
  <c r="H587" i="1" s="1"/>
  <c r="H588" i="1" a="1"/>
  <c r="H588" i="1" s="1"/>
  <c r="H589" i="1" a="1"/>
  <c r="H589" i="1" s="1"/>
  <c r="H590" i="1" a="1"/>
  <c r="H590" i="1" s="1"/>
  <c r="H591" i="1" a="1"/>
  <c r="H591" i="1" s="1"/>
  <c r="H592" i="1" a="1"/>
  <c r="H592" i="1" s="1"/>
  <c r="H593" i="1" a="1"/>
  <c r="H593" i="1" s="1"/>
  <c r="H594" i="1" a="1"/>
  <c r="H594" i="1" s="1"/>
  <c r="H595" i="1" a="1"/>
  <c r="H595" i="1" s="1"/>
  <c r="H596" i="1" a="1"/>
  <c r="H596" i="1" s="1"/>
  <c r="H597" i="1" a="1"/>
  <c r="H597" i="1" s="1"/>
  <c r="H598" i="1" a="1"/>
  <c r="H598" i="1" s="1"/>
  <c r="H599" i="1" a="1"/>
  <c r="H599" i="1" s="1"/>
  <c r="H600" i="1" a="1"/>
  <c r="H600" i="1" s="1"/>
  <c r="H601" i="1" a="1"/>
  <c r="H601" i="1" s="1"/>
  <c r="H602" i="1" a="1"/>
  <c r="H602" i="1" s="1"/>
  <c r="H603" i="1" a="1"/>
  <c r="H603" i="1" s="1"/>
  <c r="H604" i="1" a="1"/>
  <c r="H604" i="1" s="1"/>
  <c r="H605" i="1" a="1"/>
  <c r="H605" i="1" s="1"/>
  <c r="H606" i="1" a="1"/>
  <c r="H606" i="1" s="1"/>
  <c r="H607" i="1" a="1"/>
  <c r="H607" i="1" s="1"/>
  <c r="H608" i="1" a="1"/>
  <c r="H608" i="1" s="1"/>
  <c r="H609" i="1" a="1"/>
  <c r="H609" i="1" s="1"/>
  <c r="H610" i="1" a="1"/>
  <c r="H610" i="1" s="1"/>
  <c r="H611" i="1" a="1"/>
  <c r="H611" i="1" s="1"/>
  <c r="H612" i="1" a="1"/>
  <c r="H612" i="1" s="1"/>
  <c r="H613" i="1" a="1"/>
  <c r="H613" i="1" s="1"/>
  <c r="H614" i="1" a="1"/>
  <c r="H614" i="1" s="1"/>
  <c r="H615" i="1" a="1"/>
  <c r="H615" i="1" s="1"/>
  <c r="H616" i="1" a="1"/>
  <c r="H616" i="1" s="1"/>
  <c r="H617" i="1" a="1"/>
  <c r="H617" i="1" s="1"/>
  <c r="H618" i="1" a="1"/>
  <c r="H618" i="1" s="1"/>
  <c r="H619" i="1" a="1"/>
  <c r="H619" i="1" s="1"/>
  <c r="H620" i="1" a="1"/>
  <c r="H620" i="1" s="1"/>
  <c r="H621" i="1" a="1"/>
  <c r="H621" i="1" s="1"/>
  <c r="H622" i="1" a="1"/>
  <c r="H622" i="1" s="1"/>
  <c r="H623" i="1" a="1"/>
  <c r="H623" i="1" s="1"/>
  <c r="H624" i="1" a="1"/>
  <c r="H624" i="1" s="1"/>
  <c r="H625" i="1" a="1"/>
  <c r="H625" i="1" s="1"/>
  <c r="H626" i="1" a="1"/>
  <c r="H626" i="1" s="1"/>
  <c r="H627" i="1" a="1"/>
  <c r="H627" i="1" s="1"/>
  <c r="H628" i="1" a="1"/>
  <c r="H628" i="1" s="1"/>
  <c r="H629" i="1" a="1"/>
  <c r="H629" i="1" s="1"/>
  <c r="H630" i="1" a="1"/>
  <c r="H630" i="1" s="1"/>
  <c r="H631" i="1" a="1"/>
  <c r="H631" i="1" s="1"/>
  <c r="H632" i="1" a="1"/>
  <c r="H632" i="1" s="1"/>
  <c r="H633" i="1" a="1"/>
  <c r="H633" i="1" s="1"/>
  <c r="H634" i="1" a="1"/>
  <c r="H634" i="1" s="1"/>
  <c r="H635" i="1" a="1"/>
  <c r="H635" i="1" s="1"/>
  <c r="H636" i="1" a="1"/>
  <c r="H636" i="1" s="1"/>
  <c r="H637" i="1" a="1"/>
  <c r="H637" i="1" s="1"/>
  <c r="H638" i="1" a="1"/>
  <c r="H638" i="1" s="1"/>
  <c r="H639" i="1" a="1"/>
  <c r="H639" i="1" s="1"/>
  <c r="H640" i="1" a="1"/>
  <c r="H640" i="1" s="1"/>
  <c r="H641" i="1" a="1"/>
  <c r="H641" i="1" s="1"/>
  <c r="H642" i="1" a="1"/>
  <c r="H642" i="1" s="1"/>
  <c r="H643" i="1" a="1"/>
  <c r="H643" i="1" s="1"/>
  <c r="H644" i="1" a="1"/>
  <c r="H644" i="1" s="1"/>
  <c r="H645" i="1" a="1"/>
  <c r="H645" i="1" s="1"/>
  <c r="H646" i="1" a="1"/>
  <c r="H646" i="1" s="1"/>
  <c r="H647" i="1" a="1"/>
  <c r="H647" i="1" s="1"/>
  <c r="H648" i="1" a="1"/>
  <c r="H648" i="1" s="1"/>
  <c r="H649" i="1" a="1"/>
  <c r="H649" i="1" s="1"/>
  <c r="H650" i="1" a="1"/>
  <c r="H650" i="1" s="1"/>
  <c r="H651" i="1" a="1"/>
  <c r="H651" i="1" s="1"/>
  <c r="H652" i="1" a="1"/>
  <c r="H652" i="1" s="1"/>
  <c r="H653" i="1" a="1"/>
  <c r="H653" i="1" s="1"/>
  <c r="H654" i="1" a="1"/>
  <c r="H654" i="1" s="1"/>
  <c r="H655" i="1" a="1"/>
  <c r="H655" i="1" s="1"/>
  <c r="H656" i="1" a="1"/>
  <c r="H656" i="1" s="1"/>
  <c r="H657" i="1" a="1"/>
  <c r="H657" i="1" s="1"/>
  <c r="H658" i="1" a="1"/>
  <c r="H658" i="1" s="1"/>
  <c r="H659" i="1" a="1"/>
  <c r="H659" i="1" s="1"/>
  <c r="H660" i="1" a="1"/>
  <c r="H660" i="1" s="1"/>
  <c r="H661" i="1" a="1"/>
  <c r="H661" i="1" s="1"/>
  <c r="H662" i="1" a="1"/>
  <c r="H662" i="1" s="1"/>
  <c r="H663" i="1" a="1"/>
  <c r="H663" i="1" s="1"/>
  <c r="H664" i="1" a="1"/>
  <c r="H664" i="1" s="1"/>
  <c r="H665" i="1" a="1"/>
  <c r="H665" i="1" s="1"/>
  <c r="H666" i="1" a="1"/>
  <c r="H666" i="1" s="1"/>
  <c r="H667" i="1" a="1"/>
  <c r="H667" i="1" s="1"/>
  <c r="H668" i="1" a="1"/>
  <c r="H668" i="1" s="1"/>
  <c r="H669" i="1" a="1"/>
  <c r="H669" i="1" s="1"/>
  <c r="H670" i="1" a="1"/>
  <c r="H670" i="1" s="1"/>
  <c r="H671" i="1" a="1"/>
  <c r="H671" i="1" s="1"/>
  <c r="H672" i="1" a="1"/>
  <c r="H672" i="1" s="1"/>
  <c r="H673" i="1" a="1"/>
  <c r="H673" i="1" s="1"/>
  <c r="H674" i="1" a="1"/>
  <c r="H674" i="1" s="1"/>
  <c r="H675" i="1" a="1"/>
  <c r="H675" i="1" s="1"/>
  <c r="H676" i="1" a="1"/>
  <c r="H676" i="1" s="1"/>
  <c r="H677" i="1" a="1"/>
  <c r="H677" i="1" s="1"/>
  <c r="H678" i="1" a="1"/>
  <c r="H678" i="1" s="1"/>
  <c r="H679" i="1" a="1"/>
  <c r="H679" i="1" s="1"/>
  <c r="H680" i="1" a="1"/>
  <c r="H680" i="1" s="1"/>
  <c r="H681" i="1" a="1"/>
  <c r="H681" i="1" s="1"/>
  <c r="H682" i="1" a="1"/>
  <c r="H682" i="1" s="1"/>
  <c r="H683" i="1" a="1"/>
  <c r="H683" i="1" s="1"/>
  <c r="H684" i="1" a="1"/>
  <c r="H684" i="1" s="1"/>
  <c r="H685" i="1" a="1"/>
  <c r="H685" i="1" s="1"/>
  <c r="H686" i="1" a="1"/>
  <c r="H686" i="1" s="1"/>
  <c r="H687" i="1" a="1"/>
  <c r="H687" i="1" s="1"/>
  <c r="H688" i="1" a="1"/>
  <c r="H688" i="1" s="1"/>
  <c r="H689" i="1" a="1"/>
  <c r="H689" i="1" s="1"/>
  <c r="H690" i="1" a="1"/>
  <c r="H690" i="1" s="1"/>
  <c r="H691" i="1" a="1"/>
  <c r="H691" i="1" s="1"/>
  <c r="H692" i="1" a="1"/>
  <c r="H692" i="1" s="1"/>
  <c r="H693" i="1" a="1"/>
  <c r="H693" i="1" s="1"/>
  <c r="H694" i="1" a="1"/>
  <c r="H694" i="1" s="1"/>
  <c r="H695" i="1" a="1"/>
  <c r="H695" i="1" s="1"/>
  <c r="H696" i="1" a="1"/>
  <c r="H696" i="1" s="1"/>
  <c r="H697" i="1" a="1"/>
  <c r="H697" i="1" s="1"/>
  <c r="H698" i="1" a="1"/>
  <c r="H698" i="1" s="1"/>
  <c r="H699" i="1" a="1"/>
  <c r="H699" i="1" s="1"/>
  <c r="H700" i="1" a="1"/>
  <c r="H700" i="1" s="1"/>
  <c r="H701" i="1" a="1"/>
  <c r="H701" i="1" s="1"/>
  <c r="H702" i="1" a="1"/>
  <c r="H702" i="1" s="1"/>
  <c r="H703" i="1" a="1"/>
  <c r="H703" i="1" s="1"/>
  <c r="H704" i="1" a="1"/>
  <c r="H704" i="1" s="1"/>
  <c r="H705" i="1" a="1"/>
  <c r="H705" i="1" s="1"/>
  <c r="H706" i="1" a="1"/>
  <c r="H706" i="1" s="1"/>
  <c r="H707" i="1" a="1"/>
  <c r="H707" i="1" s="1"/>
  <c r="H708" i="1" a="1"/>
  <c r="H708" i="1" s="1"/>
  <c r="H709" i="1" a="1"/>
  <c r="H709" i="1" s="1"/>
  <c r="H710" i="1" a="1"/>
  <c r="H710" i="1" s="1"/>
  <c r="H711" i="1" a="1"/>
  <c r="H711" i="1" s="1"/>
  <c r="H712" i="1" a="1"/>
  <c r="H712" i="1" s="1"/>
  <c r="H713" i="1" a="1"/>
  <c r="H713" i="1" s="1"/>
  <c r="H714" i="1" a="1"/>
  <c r="H714" i="1" s="1"/>
  <c r="H715" i="1" a="1"/>
  <c r="H715" i="1" s="1"/>
  <c r="H716" i="1" a="1"/>
  <c r="H716" i="1" s="1"/>
  <c r="H717" i="1" a="1"/>
  <c r="H717" i="1" s="1"/>
  <c r="H718" i="1" a="1"/>
  <c r="H718" i="1" s="1"/>
  <c r="H719" i="1" a="1"/>
  <c r="H719" i="1" s="1"/>
  <c r="H720" i="1" a="1"/>
  <c r="H720" i="1" s="1"/>
  <c r="H721" i="1" a="1"/>
  <c r="H721" i="1" s="1"/>
  <c r="H722" i="1" a="1"/>
  <c r="H722" i="1" s="1"/>
  <c r="H723" i="1" a="1"/>
  <c r="H723" i="1" s="1"/>
  <c r="H724" i="1" a="1"/>
  <c r="H724" i="1" s="1"/>
  <c r="H725" i="1" a="1"/>
  <c r="H725" i="1" s="1"/>
  <c r="H726" i="1" a="1"/>
  <c r="H726" i="1" s="1"/>
  <c r="H727" i="1" a="1"/>
  <c r="H727" i="1" s="1"/>
  <c r="H728" i="1" a="1"/>
  <c r="H728" i="1" s="1"/>
  <c r="H729" i="1" a="1"/>
  <c r="H729" i="1" s="1"/>
  <c r="H730" i="1" a="1"/>
  <c r="H730" i="1" s="1"/>
  <c r="H731" i="1" a="1"/>
  <c r="H731" i="1" s="1"/>
  <c r="H732" i="1" a="1"/>
  <c r="H732" i="1" s="1"/>
  <c r="H733" i="1" a="1"/>
  <c r="H733" i="1" s="1"/>
  <c r="H734" i="1" a="1"/>
  <c r="H734" i="1" s="1"/>
  <c r="H735" i="1" a="1"/>
  <c r="H735" i="1" s="1"/>
  <c r="H736" i="1" a="1"/>
  <c r="H736" i="1" s="1"/>
  <c r="H737" i="1" a="1"/>
  <c r="H737" i="1" s="1"/>
  <c r="H738" i="1" a="1"/>
  <c r="H738" i="1" s="1"/>
  <c r="H739" i="1" a="1"/>
  <c r="H739" i="1" s="1"/>
  <c r="H740" i="1" a="1"/>
  <c r="H740" i="1" s="1"/>
  <c r="H741" i="1" a="1"/>
  <c r="H741" i="1" s="1"/>
  <c r="H742" i="1" a="1"/>
  <c r="H742" i="1" s="1"/>
  <c r="H743" i="1" a="1"/>
  <c r="H743" i="1" s="1"/>
  <c r="H744" i="1" a="1"/>
  <c r="H744" i="1" s="1"/>
  <c r="H745" i="1" a="1"/>
  <c r="H745" i="1" s="1"/>
  <c r="H746" i="1" a="1"/>
  <c r="H746" i="1" s="1"/>
  <c r="H747" i="1" a="1"/>
  <c r="H747" i="1" s="1"/>
  <c r="H748" i="1" a="1"/>
  <c r="H748" i="1" s="1"/>
  <c r="H749" i="1" a="1"/>
  <c r="H749" i="1" s="1"/>
  <c r="H750" i="1" a="1"/>
  <c r="H750" i="1" s="1"/>
  <c r="H751" i="1" a="1"/>
  <c r="H751" i="1" s="1"/>
  <c r="H752" i="1" a="1"/>
  <c r="H752" i="1" s="1"/>
  <c r="H753" i="1" a="1"/>
  <c r="H753" i="1" s="1"/>
  <c r="H754" i="1" a="1"/>
  <c r="H754" i="1" s="1"/>
  <c r="H755" i="1" a="1"/>
  <c r="H755" i="1" s="1"/>
  <c r="H756" i="1" a="1"/>
  <c r="H756" i="1" s="1"/>
  <c r="H757" i="1" a="1"/>
  <c r="H757" i="1" s="1"/>
  <c r="H758" i="1" a="1"/>
  <c r="H758" i="1" s="1"/>
  <c r="H759" i="1" a="1"/>
  <c r="H759" i="1" s="1"/>
  <c r="H760" i="1" a="1"/>
  <c r="H760" i="1" s="1"/>
  <c r="H761" i="1" a="1"/>
  <c r="H761" i="1" s="1"/>
  <c r="H762" i="1" a="1"/>
  <c r="H762" i="1" s="1"/>
  <c r="H763" i="1" a="1"/>
  <c r="H763" i="1" s="1"/>
  <c r="H764" i="1" a="1"/>
  <c r="H764" i="1" s="1"/>
  <c r="H765" i="1" a="1"/>
  <c r="H765" i="1" s="1"/>
  <c r="H766" i="1" a="1"/>
  <c r="H766" i="1" s="1"/>
  <c r="H767" i="1" a="1"/>
  <c r="H767" i="1" s="1"/>
  <c r="H768" i="1" a="1"/>
  <c r="H768" i="1" s="1"/>
  <c r="H769" i="1" a="1"/>
  <c r="H769" i="1" s="1"/>
  <c r="H770" i="1" a="1"/>
  <c r="H770" i="1" s="1"/>
  <c r="H771" i="1" a="1"/>
  <c r="H771" i="1" s="1"/>
  <c r="H772" i="1" a="1"/>
  <c r="H772" i="1" s="1"/>
  <c r="H773" i="1" a="1"/>
  <c r="H773" i="1" s="1"/>
  <c r="H774" i="1" a="1"/>
  <c r="H774" i="1" s="1"/>
  <c r="H775" i="1" a="1"/>
  <c r="H775" i="1" s="1"/>
  <c r="H776" i="1" a="1"/>
  <c r="H776" i="1" s="1"/>
  <c r="H777" i="1" a="1"/>
  <c r="H777" i="1" s="1"/>
  <c r="H778" i="1" a="1"/>
  <c r="H778" i="1" s="1"/>
  <c r="H779" i="1" a="1"/>
  <c r="H779" i="1" s="1"/>
  <c r="H780" i="1" a="1"/>
  <c r="H780" i="1" s="1"/>
  <c r="H781" i="1" a="1"/>
  <c r="H781" i="1" s="1"/>
  <c r="H782" i="1" a="1"/>
  <c r="H782" i="1" s="1"/>
  <c r="H783" i="1" a="1"/>
  <c r="H783" i="1" s="1"/>
  <c r="H784" i="1" a="1"/>
  <c r="H784" i="1" s="1"/>
  <c r="H785" i="1" a="1"/>
  <c r="H785" i="1" s="1"/>
  <c r="H786" i="1" a="1"/>
  <c r="H786" i="1" s="1"/>
  <c r="H787" i="1" a="1"/>
  <c r="H787" i="1" s="1"/>
  <c r="H788" i="1" a="1"/>
  <c r="H788" i="1" s="1"/>
  <c r="H789" i="1" a="1"/>
  <c r="H789" i="1" s="1"/>
  <c r="H790" i="1" a="1"/>
  <c r="H790" i="1" s="1"/>
  <c r="H791" i="1" a="1"/>
  <c r="H791" i="1" s="1"/>
  <c r="H792" i="1" a="1"/>
  <c r="H792" i="1" s="1"/>
  <c r="H793" i="1" a="1"/>
  <c r="H793" i="1" s="1"/>
  <c r="H794" i="1" a="1"/>
  <c r="H794" i="1" s="1"/>
  <c r="H795" i="1" a="1"/>
  <c r="H795" i="1" s="1"/>
  <c r="H796" i="1" a="1"/>
  <c r="H796" i="1" s="1"/>
  <c r="H797" i="1" a="1"/>
  <c r="H797" i="1" s="1"/>
  <c r="H798" i="1" a="1"/>
  <c r="H798" i="1" s="1"/>
  <c r="H799" i="1" a="1"/>
  <c r="H799" i="1" s="1"/>
  <c r="H800" i="1" a="1"/>
  <c r="H800" i="1" s="1"/>
  <c r="H801" i="1" a="1"/>
  <c r="H801" i="1" s="1"/>
  <c r="H802" i="1" a="1"/>
  <c r="H802" i="1" s="1"/>
  <c r="H803" i="1" a="1"/>
  <c r="H803" i="1" s="1"/>
  <c r="H804" i="1" a="1"/>
  <c r="H804" i="1" s="1"/>
  <c r="H805" i="1" a="1"/>
  <c r="H805" i="1" s="1"/>
  <c r="H806" i="1" a="1"/>
  <c r="H806" i="1" s="1"/>
  <c r="H807" i="1" a="1"/>
  <c r="H807" i="1" s="1"/>
  <c r="H808" i="1" a="1"/>
  <c r="H808" i="1" s="1"/>
  <c r="H809" i="1" a="1"/>
  <c r="H809" i="1" s="1"/>
  <c r="H810" i="1" a="1"/>
  <c r="H810" i="1" s="1"/>
  <c r="H811" i="1" a="1"/>
  <c r="H811" i="1" s="1"/>
  <c r="H812" i="1" a="1"/>
  <c r="H812" i="1" s="1"/>
  <c r="H813" i="1" a="1"/>
  <c r="H813" i="1" s="1"/>
  <c r="H814" i="1" a="1"/>
  <c r="H814" i="1" s="1"/>
  <c r="H815" i="1" a="1"/>
  <c r="H815" i="1" s="1"/>
  <c r="H816" i="1" a="1"/>
  <c r="H816" i="1" s="1"/>
  <c r="H817" i="1" a="1"/>
  <c r="H817" i="1" s="1"/>
  <c r="H818" i="1" a="1"/>
  <c r="H818" i="1" s="1"/>
  <c r="H819" i="1" a="1"/>
  <c r="H819" i="1" s="1"/>
  <c r="H820" i="1" a="1"/>
  <c r="H820" i="1" s="1"/>
  <c r="H821" i="1" a="1"/>
  <c r="H821" i="1" s="1"/>
  <c r="H822" i="1" a="1"/>
  <c r="H822" i="1" s="1"/>
  <c r="H823" i="1" a="1"/>
  <c r="H823" i="1" s="1"/>
  <c r="H824" i="1" a="1"/>
  <c r="H824" i="1" s="1"/>
  <c r="H825" i="1" a="1"/>
  <c r="H825" i="1" s="1"/>
  <c r="H826" i="1" a="1"/>
  <c r="H826" i="1" s="1"/>
  <c r="H827" i="1" a="1"/>
  <c r="H827" i="1" s="1"/>
  <c r="H828" i="1" a="1"/>
  <c r="H828" i="1" s="1"/>
  <c r="H829" i="1" a="1"/>
  <c r="H829" i="1" s="1"/>
  <c r="H830" i="1" a="1"/>
  <c r="H830" i="1" s="1"/>
  <c r="H831" i="1" a="1"/>
  <c r="H831" i="1" s="1"/>
  <c r="H832" i="1" a="1"/>
  <c r="H832" i="1" s="1"/>
  <c r="H833" i="1" a="1"/>
  <c r="H833" i="1" s="1"/>
  <c r="H834" i="1" a="1"/>
  <c r="H834" i="1" s="1"/>
  <c r="H835" i="1" a="1"/>
  <c r="H835" i="1" s="1"/>
  <c r="H836" i="1" a="1"/>
  <c r="H836" i="1" s="1"/>
  <c r="H837" i="1" a="1"/>
  <c r="H837" i="1" s="1"/>
  <c r="H838" i="1" a="1"/>
  <c r="H838" i="1" s="1"/>
  <c r="H839" i="1" a="1"/>
  <c r="H839" i="1" s="1"/>
  <c r="H840" i="1" a="1"/>
  <c r="H840" i="1" s="1"/>
  <c r="H841" i="1" a="1"/>
  <c r="H841" i="1" s="1"/>
  <c r="H842" i="1" a="1"/>
  <c r="H842" i="1" s="1"/>
  <c r="H843" i="1" a="1"/>
  <c r="H843" i="1" s="1"/>
  <c r="H844" i="1" a="1"/>
  <c r="H844" i="1" s="1"/>
  <c r="H845" i="1" a="1"/>
  <c r="H845" i="1" s="1"/>
  <c r="H846" i="1" a="1"/>
  <c r="H846" i="1" s="1"/>
  <c r="H847" i="1" a="1"/>
  <c r="H847" i="1" s="1"/>
  <c r="H848" i="1" a="1"/>
  <c r="H848" i="1" s="1"/>
  <c r="H849" i="1" a="1"/>
  <c r="H849" i="1" s="1"/>
  <c r="H850" i="1" a="1"/>
  <c r="H850" i="1" s="1"/>
  <c r="H851" i="1" a="1"/>
  <c r="H851" i="1" s="1"/>
  <c r="H852" i="1" a="1"/>
  <c r="H852" i="1" s="1"/>
  <c r="H853" i="1" a="1"/>
  <c r="H853" i="1" s="1"/>
  <c r="H854" i="1" a="1"/>
  <c r="H854" i="1" s="1"/>
  <c r="H855" i="1" a="1"/>
  <c r="H855" i="1" s="1"/>
  <c r="H856" i="1" a="1"/>
  <c r="H856" i="1" s="1"/>
  <c r="H857" i="1" a="1"/>
  <c r="H857" i="1" s="1"/>
  <c r="H858" i="1" a="1"/>
  <c r="H858" i="1" s="1"/>
  <c r="H859" i="1" a="1"/>
  <c r="H859" i="1" s="1"/>
  <c r="H860" i="1" a="1"/>
  <c r="H860" i="1" s="1"/>
  <c r="H861" i="1" a="1"/>
  <c r="H861" i="1" s="1"/>
  <c r="H862" i="1" a="1"/>
  <c r="H862" i="1" s="1"/>
  <c r="H863" i="1" a="1"/>
  <c r="H863" i="1" s="1"/>
  <c r="H864" i="1" a="1"/>
  <c r="H864" i="1" s="1"/>
  <c r="H865" i="1" a="1"/>
  <c r="H865" i="1" s="1"/>
  <c r="H866" i="1" a="1"/>
  <c r="H866" i="1" s="1"/>
  <c r="H867" i="1" a="1"/>
  <c r="H867" i="1" s="1"/>
  <c r="H868" i="1" a="1"/>
  <c r="H868" i="1" s="1"/>
  <c r="H869" i="1" a="1"/>
  <c r="H869" i="1" s="1"/>
  <c r="H870" i="1" a="1"/>
  <c r="H870" i="1" s="1"/>
  <c r="H871" i="1" a="1"/>
  <c r="H871" i="1" s="1"/>
  <c r="H872" i="1" a="1"/>
  <c r="H872" i="1" s="1"/>
  <c r="H873" i="1" a="1"/>
  <c r="H873" i="1" s="1"/>
  <c r="H874" i="1" a="1"/>
  <c r="H874" i="1" s="1"/>
  <c r="H875" i="1" a="1"/>
  <c r="H875" i="1" s="1"/>
  <c r="H876" i="1" a="1"/>
  <c r="H876" i="1" s="1"/>
  <c r="H877" i="1" a="1"/>
  <c r="H877" i="1" s="1"/>
  <c r="H878" i="1" a="1"/>
  <c r="H878" i="1" s="1"/>
  <c r="H879" i="1" a="1"/>
  <c r="H879" i="1" s="1"/>
  <c r="H880" i="1" a="1"/>
  <c r="H880" i="1" s="1"/>
  <c r="H881" i="1" a="1"/>
  <c r="H881" i="1" s="1"/>
  <c r="H882" i="1" a="1"/>
  <c r="H882" i="1" s="1"/>
  <c r="H883" i="1" a="1"/>
  <c r="H883" i="1" s="1"/>
  <c r="H884" i="1" a="1"/>
  <c r="H884" i="1" s="1"/>
  <c r="H885" i="1" a="1"/>
  <c r="H885" i="1" s="1"/>
  <c r="H886" i="1" a="1"/>
  <c r="H886" i="1" s="1"/>
  <c r="H887" i="1" a="1"/>
  <c r="H887" i="1" s="1"/>
  <c r="H888" i="1" a="1"/>
  <c r="H888" i="1" s="1"/>
  <c r="H889" i="1" a="1"/>
  <c r="H889" i="1" s="1"/>
  <c r="H890" i="1" a="1"/>
  <c r="H890" i="1" s="1"/>
  <c r="H891" i="1" a="1"/>
  <c r="H891" i="1" s="1"/>
  <c r="H892" i="1" a="1"/>
  <c r="H892" i="1" s="1"/>
  <c r="H893" i="1" a="1"/>
  <c r="H893" i="1" s="1"/>
  <c r="H894" i="1" a="1"/>
  <c r="H894" i="1" s="1"/>
  <c r="H895" i="1" a="1"/>
  <c r="H895" i="1" s="1"/>
  <c r="H896" i="1" a="1"/>
  <c r="H896" i="1" s="1"/>
  <c r="H897" i="1" a="1"/>
  <c r="H897" i="1" s="1"/>
  <c r="H898" i="1" a="1"/>
  <c r="H898" i="1" s="1"/>
  <c r="H899" i="1" a="1"/>
  <c r="H899" i="1" s="1"/>
  <c r="H900" i="1" a="1"/>
  <c r="H900" i="1" s="1"/>
  <c r="H901" i="1" a="1"/>
  <c r="H901" i="1" s="1"/>
  <c r="H902" i="1" a="1"/>
  <c r="H902" i="1" s="1"/>
  <c r="H903" i="1" a="1"/>
  <c r="H903" i="1" s="1"/>
  <c r="H904" i="1" a="1"/>
  <c r="H904" i="1" s="1"/>
  <c r="H905" i="1" a="1"/>
  <c r="H905" i="1" s="1"/>
  <c r="H906" i="1" a="1"/>
  <c r="H906" i="1" s="1"/>
  <c r="H907" i="1" a="1"/>
  <c r="H907" i="1" s="1"/>
  <c r="H908" i="1" a="1"/>
  <c r="H908" i="1" s="1"/>
  <c r="H909" i="1" a="1"/>
  <c r="H909" i="1" s="1"/>
  <c r="H910" i="1" a="1"/>
  <c r="H910" i="1" s="1"/>
  <c r="H911" i="1" a="1"/>
  <c r="H911" i="1" s="1"/>
  <c r="H912" i="1" a="1"/>
  <c r="H912" i="1" s="1"/>
  <c r="H913" i="1" a="1"/>
  <c r="H913" i="1" s="1"/>
  <c r="H914" i="1" a="1"/>
  <c r="H914" i="1" s="1"/>
  <c r="H915" i="1" a="1"/>
  <c r="H915" i="1" s="1"/>
  <c r="H916" i="1" a="1"/>
  <c r="H916" i="1" s="1"/>
  <c r="H917" i="1" a="1"/>
  <c r="H917" i="1" s="1"/>
  <c r="H918" i="1" a="1"/>
  <c r="H918" i="1" s="1"/>
  <c r="H919" i="1" a="1"/>
  <c r="H919" i="1" s="1"/>
  <c r="H920" i="1" a="1"/>
  <c r="H920" i="1" s="1"/>
  <c r="H921" i="1" a="1"/>
  <c r="H921" i="1" s="1"/>
  <c r="H922" i="1" a="1"/>
  <c r="H922" i="1" s="1"/>
  <c r="H923" i="1" a="1"/>
  <c r="H923" i="1" s="1"/>
  <c r="H924" i="1" a="1"/>
  <c r="H924" i="1" s="1"/>
  <c r="H925" i="1" a="1"/>
  <c r="H925" i="1" s="1"/>
  <c r="H926" i="1" a="1"/>
  <c r="H926" i="1" s="1"/>
  <c r="H927" i="1" a="1"/>
  <c r="H927" i="1" s="1"/>
  <c r="H928" i="1" a="1"/>
  <c r="H928" i="1" s="1"/>
  <c r="H929" i="1" a="1"/>
  <c r="H929" i="1" s="1"/>
  <c r="H930" i="1" a="1"/>
  <c r="H930" i="1" s="1"/>
  <c r="H931" i="1" a="1"/>
  <c r="H931" i="1" s="1"/>
  <c r="H932" i="1" a="1"/>
  <c r="H932" i="1" s="1"/>
  <c r="H933" i="1" a="1"/>
  <c r="H933" i="1" s="1"/>
  <c r="H934" i="1" a="1"/>
  <c r="H934" i="1" s="1"/>
  <c r="H935" i="1" a="1"/>
  <c r="H935" i="1" s="1"/>
  <c r="H936" i="1" a="1"/>
  <c r="H936" i="1" s="1"/>
  <c r="H937" i="1" a="1"/>
  <c r="H937" i="1" s="1"/>
  <c r="H938" i="1" a="1"/>
  <c r="H938" i="1" s="1"/>
  <c r="H939" i="1" a="1"/>
  <c r="H939" i="1" s="1"/>
  <c r="H940" i="1" a="1"/>
  <c r="H940" i="1" s="1"/>
  <c r="H941" i="1" a="1"/>
  <c r="H941" i="1" s="1"/>
  <c r="H942" i="1" a="1"/>
  <c r="H942" i="1" s="1"/>
  <c r="H943" i="1" a="1"/>
  <c r="H943" i="1" s="1"/>
  <c r="H944" i="1" a="1"/>
  <c r="H944" i="1" s="1"/>
  <c r="H945" i="1" a="1"/>
  <c r="H945" i="1" s="1"/>
  <c r="H946" i="1" a="1"/>
  <c r="H946" i="1" s="1"/>
  <c r="H947" i="1" a="1"/>
  <c r="H947" i="1" s="1"/>
  <c r="H948" i="1" a="1"/>
  <c r="H948" i="1" s="1"/>
  <c r="H949" i="1" a="1"/>
  <c r="H949" i="1" s="1"/>
  <c r="H950" i="1" a="1"/>
  <c r="H950" i="1" s="1"/>
  <c r="H951" i="1" a="1"/>
  <c r="H951" i="1" s="1"/>
  <c r="H952" i="1" a="1"/>
  <c r="H952" i="1" s="1"/>
  <c r="H953" i="1" a="1"/>
  <c r="H953" i="1" s="1"/>
  <c r="H954" i="1" a="1"/>
  <c r="H954" i="1" s="1"/>
  <c r="H955" i="1" a="1"/>
  <c r="H955" i="1" s="1"/>
  <c r="H956" i="1" a="1"/>
  <c r="H956" i="1" s="1"/>
  <c r="H957" i="1" a="1"/>
  <c r="H957" i="1" s="1"/>
  <c r="H958" i="1" a="1"/>
  <c r="H958" i="1" s="1"/>
  <c r="H959" i="1" a="1"/>
  <c r="H959" i="1" s="1"/>
  <c r="H960" i="1" a="1"/>
  <c r="H960" i="1" s="1"/>
  <c r="H961" i="1" a="1"/>
  <c r="H961" i="1" s="1"/>
  <c r="H962" i="1" a="1"/>
  <c r="H962" i="1" s="1"/>
  <c r="H963" i="1" a="1"/>
  <c r="H963" i="1" s="1"/>
  <c r="H964" i="1" a="1"/>
  <c r="H964" i="1" s="1"/>
  <c r="H965" i="1" a="1"/>
  <c r="H965" i="1" s="1"/>
  <c r="H966" i="1" a="1"/>
  <c r="H966" i="1" s="1"/>
  <c r="H967" i="1" a="1"/>
  <c r="H967" i="1" s="1"/>
  <c r="H968" i="1" a="1"/>
  <c r="H968" i="1" s="1"/>
  <c r="H969" i="1" a="1"/>
  <c r="H969" i="1" s="1"/>
  <c r="H970" i="1" a="1"/>
  <c r="H970" i="1" s="1"/>
  <c r="H971" i="1" a="1"/>
  <c r="H971" i="1" s="1"/>
  <c r="H972" i="1" a="1"/>
  <c r="H972" i="1" s="1"/>
  <c r="H973" i="1" a="1"/>
  <c r="H973" i="1" s="1"/>
  <c r="H974" i="1" a="1"/>
  <c r="H974" i="1" s="1"/>
  <c r="H975" i="1" a="1"/>
  <c r="H975" i="1" s="1"/>
  <c r="H976" i="1" a="1"/>
  <c r="H976" i="1" s="1"/>
  <c r="H977" i="1" a="1"/>
  <c r="H977" i="1" s="1"/>
  <c r="H978" i="1" a="1"/>
  <c r="H978" i="1" s="1"/>
  <c r="H979" i="1" a="1"/>
  <c r="H979" i="1" s="1"/>
  <c r="H980" i="1" a="1"/>
  <c r="H980" i="1" s="1"/>
  <c r="H981" i="1" a="1"/>
  <c r="H981" i="1" s="1"/>
  <c r="H982" i="1" a="1"/>
  <c r="H982" i="1" s="1"/>
  <c r="H983" i="1" a="1"/>
  <c r="H983" i="1" s="1"/>
  <c r="H984" i="1" a="1"/>
  <c r="H984" i="1" s="1"/>
  <c r="H985" i="1" a="1"/>
  <c r="H985" i="1" s="1"/>
  <c r="H986" i="1" a="1"/>
  <c r="H986" i="1" s="1"/>
  <c r="H987" i="1" a="1"/>
  <c r="H987" i="1" s="1"/>
  <c r="H988" i="1" a="1"/>
  <c r="H988" i="1" s="1"/>
  <c r="H989" i="1" a="1"/>
  <c r="H989" i="1" s="1"/>
  <c r="H990" i="1" a="1"/>
  <c r="H990" i="1" s="1"/>
  <c r="H991" i="1" a="1"/>
  <c r="H991" i="1" s="1"/>
  <c r="H992" i="1" a="1"/>
  <c r="H992" i="1" s="1"/>
  <c r="H993" i="1" a="1"/>
  <c r="H993" i="1" s="1"/>
  <c r="H994" i="1" a="1"/>
  <c r="H994" i="1" s="1"/>
  <c r="H995" i="1" a="1"/>
  <c r="H995" i="1" s="1"/>
  <c r="H996" i="1" a="1"/>
  <c r="H996" i="1" s="1"/>
  <c r="H997" i="1" a="1"/>
  <c r="H997" i="1" s="1"/>
  <c r="H998" i="1" a="1"/>
  <c r="H998" i="1" s="1"/>
  <c r="H999" i="1" a="1"/>
  <c r="H999" i="1" s="1"/>
  <c r="H1000" i="1" a="1"/>
  <c r="H1000" i="1" s="1"/>
  <c r="H1001" i="1" a="1"/>
  <c r="H1001" i="1" s="1"/>
  <c r="H1002" i="1" a="1"/>
  <c r="H1002" i="1" s="1"/>
  <c r="H1003" i="1" a="1"/>
  <c r="H1003" i="1" s="1"/>
  <c r="H1004" i="1" a="1"/>
  <c r="H1004" i="1" s="1"/>
  <c r="H1005" i="1" a="1"/>
  <c r="H1005" i="1" s="1"/>
  <c r="H1006" i="1" a="1"/>
  <c r="H1006" i="1" s="1"/>
  <c r="H1007" i="1" a="1"/>
  <c r="H1007" i="1" s="1"/>
  <c r="H1008" i="1" a="1"/>
  <c r="H1008" i="1" s="1"/>
  <c r="H1009" i="1" a="1"/>
  <c r="H1009" i="1" s="1"/>
  <c r="H1010" i="1" a="1"/>
  <c r="H1010" i="1" s="1"/>
  <c r="H1011" i="1" a="1"/>
  <c r="H1011" i="1" s="1"/>
  <c r="H1012" i="1" a="1"/>
  <c r="H1012" i="1" s="1"/>
  <c r="H1013" i="1" a="1"/>
  <c r="H1013" i="1" s="1"/>
  <c r="H1014" i="1" a="1"/>
  <c r="H1014" i="1" s="1"/>
  <c r="H1015" i="1" a="1"/>
  <c r="H1015" i="1" s="1"/>
  <c r="H1016" i="1" a="1"/>
  <c r="H1016" i="1" s="1"/>
  <c r="H1017" i="1" a="1"/>
  <c r="H1017" i="1" s="1"/>
  <c r="H1018" i="1" a="1"/>
  <c r="H1018" i="1" s="1"/>
  <c r="H1019" i="1" a="1"/>
  <c r="H1019" i="1" s="1"/>
  <c r="H1020" i="1" a="1"/>
  <c r="H1020" i="1" s="1"/>
  <c r="H1021" i="1" a="1"/>
  <c r="H1021" i="1" s="1"/>
  <c r="H1022" i="1" a="1"/>
  <c r="H1022" i="1" s="1"/>
  <c r="H1023" i="1" a="1"/>
  <c r="H1023" i="1" s="1"/>
  <c r="H1024" i="1" a="1"/>
  <c r="H1024" i="1" s="1"/>
  <c r="H1025" i="1" a="1"/>
  <c r="H1025" i="1" s="1"/>
  <c r="H1026" i="1" a="1"/>
  <c r="H1026" i="1" s="1"/>
  <c r="H1027" i="1" a="1"/>
  <c r="H1027" i="1" s="1"/>
  <c r="H1028" i="1" a="1"/>
  <c r="H1028" i="1" s="1"/>
  <c r="H1029" i="1" a="1"/>
  <c r="H1029" i="1" s="1"/>
  <c r="H1030" i="1" a="1"/>
  <c r="H1030" i="1" s="1"/>
  <c r="H1031" i="1" a="1"/>
  <c r="H1031" i="1" s="1"/>
  <c r="H1032" i="1" a="1"/>
  <c r="H1032" i="1" s="1"/>
  <c r="H1033" i="1" a="1"/>
  <c r="H1033" i="1" s="1"/>
  <c r="H1034" i="1" a="1"/>
  <c r="H1034" i="1" s="1"/>
  <c r="H1035" i="1" a="1"/>
  <c r="H1035" i="1" s="1"/>
  <c r="H1036" i="1" a="1"/>
  <c r="H1036" i="1" s="1"/>
  <c r="H1037" i="1" a="1"/>
  <c r="H1037" i="1" s="1"/>
  <c r="H1038" i="1" a="1"/>
  <c r="H1038" i="1" s="1"/>
  <c r="H1039" i="1" a="1"/>
  <c r="H1039" i="1" s="1"/>
  <c r="H1040" i="1" a="1"/>
  <c r="H1040" i="1" s="1"/>
  <c r="H1041" i="1" a="1"/>
  <c r="H1041" i="1" s="1"/>
  <c r="H1042" i="1" a="1"/>
  <c r="H1042" i="1" s="1"/>
  <c r="H1043" i="1" a="1"/>
  <c r="H1043" i="1" s="1"/>
  <c r="H1044" i="1" a="1"/>
  <c r="H1044" i="1" s="1"/>
  <c r="H1045" i="1" a="1"/>
  <c r="H1045" i="1" s="1"/>
  <c r="H1046" i="1" a="1"/>
  <c r="H1046" i="1" s="1"/>
  <c r="H1047" i="1" a="1"/>
  <c r="H1047" i="1" s="1"/>
  <c r="H1048" i="1" a="1"/>
  <c r="H1048" i="1" s="1"/>
  <c r="H1049" i="1" a="1"/>
  <c r="H1049" i="1" s="1"/>
  <c r="H1050" i="1" a="1"/>
  <c r="H1050" i="1" s="1"/>
  <c r="H1051" i="1" a="1"/>
  <c r="H1051" i="1" s="1"/>
  <c r="H1052" i="1" a="1"/>
  <c r="H1052" i="1" s="1"/>
  <c r="H1053" i="1" a="1"/>
  <c r="H1053" i="1" s="1"/>
  <c r="H1054" i="1" a="1"/>
  <c r="H1054" i="1" s="1"/>
  <c r="H1055" i="1" a="1"/>
  <c r="H1055" i="1" s="1"/>
  <c r="H1056" i="1" a="1"/>
  <c r="H1056" i="1" s="1"/>
  <c r="H1057" i="1" a="1"/>
  <c r="H1057" i="1" s="1"/>
  <c r="H1058" i="1" a="1"/>
  <c r="H1058" i="1" s="1"/>
  <c r="H1059" i="1" a="1"/>
  <c r="H1059" i="1" s="1"/>
  <c r="H1060" i="1" a="1"/>
  <c r="H1060" i="1" s="1"/>
  <c r="H1061" i="1" a="1"/>
  <c r="H1061" i="1" s="1"/>
  <c r="H1062" i="1" a="1"/>
  <c r="H1062" i="1" s="1"/>
  <c r="H1063" i="1" a="1"/>
  <c r="H1063" i="1" s="1"/>
  <c r="H1064" i="1" a="1"/>
  <c r="H1064" i="1" s="1"/>
  <c r="H1065" i="1" a="1"/>
  <c r="H1065" i="1" s="1"/>
  <c r="H1066" i="1" a="1"/>
  <c r="H1066" i="1" s="1"/>
  <c r="H1067" i="1" a="1"/>
  <c r="H1067" i="1" s="1"/>
  <c r="H1068" i="1" a="1"/>
  <c r="H1068" i="1" s="1"/>
  <c r="H1069" i="1" a="1"/>
  <c r="H1069" i="1" s="1"/>
  <c r="H1070" i="1" a="1"/>
  <c r="H1070" i="1" s="1"/>
  <c r="H1071" i="1" a="1"/>
  <c r="H1071" i="1" s="1"/>
  <c r="H1072" i="1" a="1"/>
  <c r="H1072" i="1" s="1"/>
  <c r="H1073" i="1" a="1"/>
  <c r="H1073" i="1" s="1"/>
  <c r="H1074" i="1" a="1"/>
  <c r="H1074" i="1" s="1"/>
  <c r="H1075" i="1" a="1"/>
  <c r="H1075" i="1" s="1"/>
  <c r="H1076" i="1" a="1"/>
  <c r="H1076" i="1" s="1"/>
  <c r="H1077" i="1" a="1"/>
  <c r="H1077" i="1" s="1"/>
  <c r="H1078" i="1" a="1"/>
  <c r="H1078" i="1" s="1"/>
  <c r="H1079" i="1" a="1"/>
  <c r="H1079" i="1" s="1"/>
  <c r="H1080" i="1" a="1"/>
  <c r="H1080" i="1" s="1"/>
  <c r="H1081" i="1" a="1"/>
  <c r="H1081" i="1" s="1"/>
  <c r="H1082" i="1" a="1"/>
  <c r="H1082" i="1" s="1"/>
  <c r="H1083" i="1" a="1"/>
  <c r="H1083" i="1" s="1"/>
  <c r="H1084" i="1" a="1"/>
  <c r="H1084" i="1" s="1"/>
  <c r="H1085" i="1" a="1"/>
  <c r="H1085" i="1" s="1"/>
  <c r="H1086" i="1" a="1"/>
  <c r="H1086" i="1" s="1"/>
  <c r="H1087" i="1" a="1"/>
  <c r="H1087" i="1" s="1"/>
  <c r="H1088" i="1" a="1"/>
  <c r="H1088" i="1" s="1"/>
  <c r="H1089" i="1" a="1"/>
  <c r="H1089" i="1" s="1"/>
  <c r="H1090" i="1" a="1"/>
  <c r="H1090" i="1" s="1"/>
  <c r="H1091" i="1" a="1"/>
  <c r="H1091" i="1" s="1"/>
  <c r="H1092" i="1" a="1"/>
  <c r="H1092" i="1" s="1"/>
  <c r="H1093" i="1" a="1"/>
  <c r="H1093" i="1" s="1"/>
  <c r="H1094" i="1" a="1"/>
  <c r="H1094" i="1" s="1"/>
  <c r="H1095" i="1" a="1"/>
  <c r="H1095" i="1" s="1"/>
  <c r="H1096" i="1" a="1"/>
  <c r="H1096" i="1" s="1"/>
  <c r="H1097" i="1" a="1"/>
  <c r="H1097" i="1" s="1"/>
  <c r="H1098" i="1" a="1"/>
  <c r="H1098" i="1" s="1"/>
  <c r="H1099" i="1" a="1"/>
  <c r="H1099" i="1" s="1"/>
  <c r="H1100" i="1" a="1"/>
  <c r="H1100" i="1" s="1"/>
  <c r="H1101" i="1" a="1"/>
  <c r="H1101" i="1" s="1"/>
  <c r="H1102" i="1" a="1"/>
  <c r="H1102" i="1" s="1"/>
  <c r="H1103" i="1" a="1"/>
  <c r="H1103" i="1" s="1"/>
  <c r="H1104" i="1" a="1"/>
  <c r="H1104" i="1" s="1"/>
  <c r="H1105" i="1" a="1"/>
  <c r="H1105" i="1" s="1"/>
  <c r="H1106" i="1" a="1"/>
  <c r="H1106" i="1" s="1"/>
  <c r="H1107" i="1" a="1"/>
  <c r="H1107" i="1" s="1"/>
  <c r="H1108" i="1" a="1"/>
  <c r="H1108" i="1" s="1"/>
  <c r="H1109" i="1" a="1"/>
  <c r="H1109" i="1" s="1"/>
  <c r="H1110" i="1" a="1"/>
  <c r="H1110" i="1" s="1"/>
  <c r="H1111" i="1" a="1"/>
  <c r="H1111" i="1" s="1"/>
  <c r="H1112" i="1" a="1"/>
  <c r="H1112" i="1" s="1"/>
  <c r="H1113" i="1" a="1"/>
  <c r="H1113" i="1" s="1"/>
  <c r="H1114" i="1" a="1"/>
  <c r="H1114" i="1" s="1"/>
  <c r="H1115" i="1" a="1"/>
  <c r="H1115" i="1" s="1"/>
  <c r="H1116" i="1" a="1"/>
  <c r="H1116" i="1" s="1"/>
  <c r="H1117" i="1" a="1"/>
  <c r="H1117" i="1" s="1"/>
  <c r="H1118" i="1" a="1"/>
  <c r="H1118" i="1" s="1"/>
  <c r="H1119" i="1" a="1"/>
  <c r="H1119" i="1" s="1"/>
  <c r="H1120" i="1" a="1"/>
  <c r="H1120" i="1" s="1"/>
  <c r="H1121" i="1" a="1"/>
  <c r="H1121" i="1" s="1"/>
  <c r="H1122" i="1" a="1"/>
  <c r="H1122" i="1" s="1"/>
  <c r="H1123" i="1" a="1"/>
  <c r="H1123" i="1" s="1"/>
  <c r="H1124" i="1" a="1"/>
  <c r="H1124" i="1" s="1"/>
  <c r="H1125" i="1" a="1"/>
  <c r="H1125" i="1" s="1"/>
  <c r="H1126" i="1" a="1"/>
  <c r="H1126" i="1" s="1"/>
  <c r="H1127" i="1" a="1"/>
  <c r="H1127" i="1" s="1"/>
  <c r="H1128" i="1" a="1"/>
  <c r="H1128" i="1" s="1"/>
  <c r="H1129" i="1" a="1"/>
  <c r="H1129" i="1" s="1"/>
  <c r="H1130" i="1" a="1"/>
  <c r="H1130" i="1" s="1"/>
  <c r="H1131" i="1" a="1"/>
  <c r="H1131" i="1" s="1"/>
  <c r="H1132" i="1" a="1"/>
  <c r="H1132" i="1" s="1"/>
  <c r="H1133" i="1" a="1"/>
  <c r="H1133" i="1" s="1"/>
  <c r="H1134" i="1" a="1"/>
  <c r="H1134" i="1" s="1"/>
  <c r="H1135" i="1" a="1"/>
  <c r="H1135" i="1" s="1"/>
  <c r="H1136" i="1" a="1"/>
  <c r="H1136" i="1" s="1"/>
  <c r="H1137" i="1" a="1"/>
  <c r="H1137" i="1" s="1"/>
  <c r="H1138" i="1" a="1"/>
  <c r="H1138" i="1" s="1"/>
  <c r="H1139" i="1" a="1"/>
  <c r="H1139" i="1" s="1"/>
  <c r="H1140" i="1" a="1"/>
  <c r="H1140" i="1" s="1"/>
  <c r="H1141" i="1" a="1"/>
  <c r="H1141" i="1" s="1"/>
  <c r="H1142" i="1" a="1"/>
  <c r="H1142" i="1" s="1"/>
  <c r="H1143" i="1" a="1"/>
  <c r="H1143" i="1" s="1"/>
  <c r="H1144" i="1" a="1"/>
  <c r="H1144" i="1" s="1"/>
  <c r="H1145" i="1" a="1"/>
  <c r="H1145" i="1" s="1"/>
  <c r="H1146" i="1" a="1"/>
  <c r="H1146" i="1" s="1"/>
  <c r="H1147" i="1" a="1"/>
  <c r="H1147" i="1" s="1"/>
  <c r="H1148" i="1" a="1"/>
  <c r="H1148" i="1" s="1"/>
  <c r="H1149" i="1" a="1"/>
  <c r="H1149" i="1" s="1"/>
  <c r="H1150" i="1" a="1"/>
  <c r="H1150" i="1" s="1"/>
  <c r="H1151" i="1" a="1"/>
  <c r="H1151" i="1" s="1"/>
  <c r="H1152" i="1" a="1"/>
  <c r="H1152" i="1" s="1"/>
  <c r="H1153" i="1" a="1"/>
  <c r="H1153" i="1" s="1"/>
  <c r="H1154" i="1" a="1"/>
  <c r="H1154" i="1" s="1"/>
  <c r="H1155" i="1" a="1"/>
  <c r="H1155" i="1" s="1"/>
  <c r="H1156" i="1" a="1"/>
  <c r="H1156" i="1" s="1"/>
  <c r="H1157" i="1" a="1"/>
  <c r="H1157" i="1" s="1"/>
  <c r="H1158" i="1" a="1"/>
  <c r="H1158" i="1" s="1"/>
  <c r="H1159" i="1" a="1"/>
  <c r="H1159" i="1" s="1"/>
  <c r="H1160" i="1" a="1"/>
  <c r="H1160" i="1" s="1"/>
  <c r="H1161" i="1" a="1"/>
  <c r="H1161" i="1" s="1"/>
  <c r="H1162" i="1" a="1"/>
  <c r="H1162" i="1" s="1"/>
  <c r="H1163" i="1" a="1"/>
  <c r="H1163" i="1" s="1"/>
  <c r="H1164" i="1" a="1"/>
  <c r="H1164" i="1" s="1"/>
  <c r="H1165" i="1" a="1"/>
  <c r="H1165" i="1" s="1"/>
  <c r="H1166" i="1" a="1"/>
  <c r="H1166" i="1" s="1"/>
  <c r="H1167" i="1" a="1"/>
  <c r="H1167" i="1" s="1"/>
  <c r="H1168" i="1" a="1"/>
  <c r="H1168" i="1" s="1"/>
  <c r="H1169" i="1" a="1"/>
  <c r="H1169" i="1" s="1"/>
  <c r="H1170" i="1" a="1"/>
  <c r="H1170" i="1" s="1"/>
  <c r="H1171" i="1" a="1"/>
  <c r="H1171" i="1" s="1"/>
  <c r="H1172" i="1" a="1"/>
  <c r="H1172" i="1" s="1"/>
  <c r="H1173" i="1" a="1"/>
  <c r="H1173" i="1" s="1"/>
  <c r="H1174" i="1" a="1"/>
  <c r="H1174" i="1" s="1"/>
  <c r="H1175" i="1" a="1"/>
  <c r="H1175" i="1" s="1"/>
  <c r="H1176" i="1" a="1"/>
  <c r="H1176" i="1" s="1"/>
  <c r="H1177" i="1" a="1"/>
  <c r="H1177" i="1" s="1"/>
  <c r="H1178" i="1" a="1"/>
  <c r="H1178" i="1" s="1"/>
  <c r="H1179" i="1" a="1"/>
  <c r="H1179" i="1" s="1"/>
  <c r="H1180" i="1" a="1"/>
  <c r="H1180" i="1" s="1"/>
  <c r="H1181" i="1" a="1"/>
  <c r="H1181" i="1" s="1"/>
  <c r="H1182" i="1" a="1"/>
  <c r="H1182" i="1" s="1"/>
  <c r="H1183" i="1" a="1"/>
  <c r="H1183" i="1" s="1"/>
  <c r="H1184" i="1" a="1"/>
  <c r="H1184" i="1" s="1"/>
  <c r="H1185" i="1" a="1"/>
  <c r="H1185" i="1" s="1"/>
  <c r="H1186" i="1" a="1"/>
  <c r="H1186" i="1" s="1"/>
  <c r="H1187" i="1" a="1"/>
  <c r="H1187" i="1" s="1"/>
  <c r="H1188" i="1" a="1"/>
  <c r="H1188" i="1" s="1"/>
  <c r="H1189" i="1" a="1"/>
  <c r="H1189" i="1" s="1"/>
  <c r="H1190" i="1" a="1"/>
  <c r="H1190" i="1" s="1"/>
  <c r="H1191" i="1" a="1"/>
  <c r="H1191" i="1" s="1"/>
  <c r="H1192" i="1" a="1"/>
  <c r="H1192" i="1" s="1"/>
  <c r="H1193" i="1" a="1"/>
  <c r="H1193" i="1" s="1"/>
  <c r="H1194" i="1" a="1"/>
  <c r="H1194" i="1" s="1"/>
  <c r="H1195" i="1" a="1"/>
  <c r="H1195" i="1" s="1"/>
  <c r="H1196" i="1" a="1"/>
  <c r="H1196" i="1" s="1"/>
  <c r="H1197" i="1" a="1"/>
  <c r="H1197" i="1" s="1"/>
  <c r="H1198" i="1" a="1"/>
  <c r="H1198" i="1" s="1"/>
  <c r="H1199" i="1" a="1"/>
  <c r="H1199" i="1" s="1"/>
  <c r="H1200" i="1" a="1"/>
  <c r="H1200" i="1" s="1"/>
  <c r="H1201" i="1" a="1"/>
  <c r="H1201" i="1" s="1"/>
  <c r="H1202" i="1" a="1"/>
  <c r="H1202" i="1" s="1"/>
  <c r="H1203" i="1" a="1"/>
  <c r="H1203" i="1" s="1"/>
  <c r="H1204" i="1" a="1"/>
  <c r="H1204" i="1" s="1"/>
  <c r="H1205" i="1" a="1"/>
  <c r="H1205" i="1" s="1"/>
  <c r="H1206" i="1" a="1"/>
  <c r="H1206" i="1" s="1"/>
  <c r="H1207" i="1" a="1"/>
  <c r="H1207" i="1" s="1"/>
  <c r="H1208" i="1" a="1"/>
  <c r="H1208" i="1" s="1"/>
  <c r="H1209" i="1" a="1"/>
  <c r="H1209" i="1" s="1"/>
  <c r="H1210" i="1" a="1"/>
  <c r="H1210" i="1" s="1"/>
  <c r="H1211" i="1" a="1"/>
  <c r="H1211" i="1" s="1"/>
  <c r="H1212" i="1" a="1"/>
  <c r="H1212" i="1" s="1"/>
  <c r="H1213" i="1" a="1"/>
  <c r="H1213" i="1" s="1"/>
  <c r="H1214" i="1" a="1"/>
  <c r="H1214" i="1" s="1"/>
  <c r="H1215" i="1" a="1"/>
  <c r="H1215" i="1" s="1"/>
  <c r="H1216" i="1" a="1"/>
  <c r="H1216" i="1" s="1"/>
  <c r="H1217" i="1" a="1"/>
  <c r="H1217" i="1" s="1"/>
  <c r="H1218" i="1" a="1"/>
  <c r="H1218" i="1" s="1"/>
  <c r="H1219" i="1" a="1"/>
  <c r="H1219" i="1" s="1"/>
  <c r="H1220" i="1" a="1"/>
  <c r="H1220" i="1" s="1"/>
  <c r="H1221" i="1" a="1"/>
  <c r="H1221" i="1" s="1"/>
  <c r="H1222" i="1" a="1"/>
  <c r="H1222" i="1" s="1"/>
  <c r="H1223" i="1" a="1"/>
  <c r="H1223" i="1" s="1"/>
  <c r="H1224" i="1" a="1"/>
  <c r="H1224" i="1" s="1"/>
  <c r="H1225" i="1" a="1"/>
  <c r="H1225" i="1" s="1"/>
  <c r="H1226" i="1" a="1"/>
  <c r="H1226" i="1" s="1"/>
  <c r="H1227" i="1" a="1"/>
  <c r="H1227" i="1" s="1"/>
  <c r="H1228" i="1" a="1"/>
  <c r="H1228" i="1" s="1"/>
  <c r="H1229" i="1" a="1"/>
  <c r="H1229" i="1" s="1"/>
  <c r="H1230" i="1" a="1"/>
  <c r="H1230" i="1" s="1"/>
  <c r="H1231" i="1" a="1"/>
  <c r="H1231" i="1" s="1"/>
  <c r="H1232" i="1" a="1"/>
  <c r="H1232" i="1" s="1"/>
  <c r="H1233" i="1" a="1"/>
  <c r="H1233" i="1" s="1"/>
  <c r="H1234" i="1" a="1"/>
  <c r="H1234" i="1" s="1"/>
  <c r="H1235" i="1" a="1"/>
  <c r="H1235" i="1" s="1"/>
  <c r="H1236" i="1" a="1"/>
  <c r="H1236" i="1" s="1"/>
  <c r="H1237" i="1" a="1"/>
  <c r="H1237" i="1" s="1"/>
  <c r="H1238" i="1" a="1"/>
  <c r="H1238" i="1" s="1"/>
  <c r="H1239" i="1" a="1"/>
  <c r="H1239" i="1" s="1"/>
  <c r="H1240" i="1" a="1"/>
  <c r="H1240" i="1" s="1"/>
  <c r="H1241" i="1" a="1"/>
  <c r="H1241" i="1" s="1"/>
  <c r="H1242" i="1" a="1"/>
  <c r="H1242" i="1" s="1"/>
  <c r="H1243" i="1" a="1"/>
  <c r="H1243" i="1" s="1"/>
  <c r="H1244" i="1" a="1"/>
  <c r="H1244" i="1" s="1"/>
  <c r="H1245" i="1" a="1"/>
  <c r="H1245" i="1" s="1"/>
  <c r="H1246" i="1" a="1"/>
  <c r="H1246" i="1" s="1"/>
  <c r="H1247" i="1" a="1"/>
  <c r="H1247" i="1" s="1"/>
  <c r="H1248" i="1" a="1"/>
  <c r="H1248" i="1" s="1"/>
  <c r="H1249" i="1" a="1"/>
  <c r="H1249" i="1" s="1"/>
  <c r="H1250" i="1" a="1"/>
  <c r="H1250" i="1" s="1"/>
  <c r="H1251" i="1" a="1"/>
  <c r="H1251" i="1" s="1"/>
  <c r="H1252" i="1" a="1"/>
  <c r="H1252" i="1" s="1"/>
  <c r="H1253" i="1" a="1"/>
  <c r="H1253" i="1" s="1"/>
  <c r="H1254" i="1" a="1"/>
  <c r="H1254" i="1" s="1"/>
  <c r="H1255" i="1" a="1"/>
  <c r="H1255" i="1" s="1"/>
  <c r="H1256" i="1" a="1"/>
  <c r="H1256" i="1" s="1"/>
  <c r="H1257" i="1" a="1"/>
  <c r="H1257" i="1" s="1"/>
  <c r="H1258" i="1" a="1"/>
  <c r="H1258" i="1" s="1"/>
  <c r="H1259" i="1" a="1"/>
  <c r="H1259" i="1" s="1"/>
  <c r="H1260" i="1" a="1"/>
  <c r="H1260" i="1" s="1"/>
  <c r="H1261" i="1" a="1"/>
  <c r="H1261" i="1" s="1"/>
  <c r="H1262" i="1" a="1"/>
  <c r="H1262" i="1" s="1"/>
  <c r="H1263" i="1" a="1"/>
  <c r="H1263" i="1" s="1"/>
  <c r="H1264" i="1" a="1"/>
  <c r="H1264" i="1" s="1"/>
  <c r="H1265" i="1" a="1"/>
  <c r="H1265" i="1" s="1"/>
  <c r="H1266" i="1" a="1"/>
  <c r="H1266" i="1" s="1"/>
  <c r="H1267" i="1" a="1"/>
  <c r="H1267" i="1" s="1"/>
  <c r="H1268" i="1" a="1"/>
  <c r="H1268" i="1" s="1"/>
  <c r="H1269" i="1" a="1"/>
  <c r="H1269" i="1" s="1"/>
  <c r="H1270" i="1" a="1"/>
  <c r="H1270" i="1" s="1"/>
  <c r="H1271" i="1" a="1"/>
  <c r="H1271" i="1" s="1"/>
  <c r="H1272" i="1" a="1"/>
  <c r="H1272" i="1" s="1"/>
  <c r="H1273" i="1" a="1"/>
  <c r="H1273" i="1" s="1"/>
  <c r="H1274" i="1" a="1"/>
  <c r="H1274" i="1" s="1"/>
  <c r="H1275" i="1" a="1"/>
  <c r="H1275" i="1" s="1"/>
  <c r="H1276" i="1" a="1"/>
  <c r="H1276" i="1" s="1"/>
  <c r="H1277" i="1" a="1"/>
  <c r="H1277" i="1" s="1"/>
  <c r="H1278" i="1" a="1"/>
  <c r="H1278" i="1" s="1"/>
  <c r="H1279" i="1" a="1"/>
  <c r="H1279" i="1" s="1"/>
  <c r="H1280" i="1" a="1"/>
  <c r="H1280" i="1" s="1"/>
  <c r="H1281" i="1" a="1"/>
  <c r="H1281" i="1" s="1"/>
  <c r="H1282" i="1" a="1"/>
  <c r="H1282" i="1" s="1"/>
  <c r="H1283" i="1" a="1"/>
  <c r="H1283" i="1" s="1"/>
  <c r="H1284" i="1" a="1"/>
  <c r="H1284" i="1" s="1"/>
  <c r="H1285" i="1" a="1"/>
  <c r="H1285" i="1" s="1"/>
  <c r="H1286" i="1" a="1"/>
  <c r="H1286" i="1" s="1"/>
  <c r="H1287" i="1" a="1"/>
  <c r="H1287" i="1" s="1"/>
  <c r="H1288" i="1" a="1"/>
  <c r="H1288" i="1" s="1"/>
  <c r="H1289" i="1" a="1"/>
  <c r="H1289" i="1" s="1"/>
  <c r="H1290" i="1" a="1"/>
  <c r="H1290" i="1" s="1"/>
  <c r="H1291" i="1" a="1"/>
  <c r="H1291" i="1" s="1"/>
  <c r="H1292" i="1" a="1"/>
  <c r="H1292" i="1" s="1"/>
  <c r="H1293" i="1" a="1"/>
  <c r="H1293" i="1" s="1"/>
  <c r="H1294" i="1" a="1"/>
  <c r="H1294" i="1" s="1"/>
  <c r="H1295" i="1" a="1"/>
  <c r="H1295" i="1" s="1"/>
  <c r="H1296" i="1" a="1"/>
  <c r="H1296" i="1" s="1"/>
  <c r="H1297" i="1" a="1"/>
  <c r="H1297" i="1" s="1"/>
  <c r="H1298" i="1" a="1"/>
  <c r="H1298" i="1" s="1"/>
  <c r="H1299" i="1" a="1"/>
  <c r="H1299" i="1" s="1"/>
  <c r="H1300" i="1" a="1"/>
  <c r="H1300" i="1" s="1"/>
  <c r="H1301" i="1" a="1"/>
  <c r="H1301" i="1" s="1"/>
  <c r="H1302" i="1" a="1"/>
  <c r="H1302" i="1" s="1"/>
  <c r="H1303" i="1" a="1"/>
  <c r="H1303" i="1" s="1"/>
  <c r="H1304" i="1" a="1"/>
  <c r="H1304" i="1" s="1"/>
  <c r="H1305" i="1" a="1"/>
  <c r="H1305" i="1" s="1"/>
  <c r="H1306" i="1" a="1"/>
  <c r="H1306" i="1" s="1"/>
  <c r="H1307" i="1" a="1"/>
  <c r="H1307" i="1" s="1"/>
  <c r="H1308" i="1" a="1"/>
  <c r="H1308" i="1" s="1"/>
  <c r="H1309" i="1" a="1"/>
  <c r="H1309" i="1" s="1"/>
  <c r="H1310" i="1" a="1"/>
  <c r="H1310" i="1" s="1"/>
  <c r="H1311" i="1" a="1"/>
  <c r="H1311" i="1" s="1"/>
  <c r="H1312" i="1" a="1"/>
  <c r="H1312" i="1" s="1"/>
  <c r="H1313" i="1" a="1"/>
  <c r="H1313" i="1" s="1"/>
  <c r="H1314" i="1" a="1"/>
  <c r="H1314" i="1" s="1"/>
  <c r="H1315" i="1" a="1"/>
  <c r="H1315" i="1" s="1"/>
  <c r="H1316" i="1" a="1"/>
  <c r="H1316" i="1" s="1"/>
  <c r="H1317" i="1" a="1"/>
  <c r="H1317" i="1" s="1"/>
  <c r="H1318" i="1" a="1"/>
  <c r="H1318" i="1" s="1"/>
  <c r="H1319" i="1" a="1"/>
  <c r="H1319" i="1" s="1"/>
  <c r="H1320" i="1" a="1"/>
  <c r="H1320" i="1" s="1"/>
  <c r="H1321" i="1" a="1"/>
  <c r="H1321" i="1" s="1"/>
  <c r="H1322" i="1" a="1"/>
  <c r="H1322" i="1" s="1"/>
  <c r="H1323" i="1" a="1"/>
  <c r="H1323" i="1" s="1"/>
  <c r="H1324" i="1" a="1"/>
  <c r="H1324" i="1" s="1"/>
  <c r="H1325" i="1" a="1"/>
  <c r="H1325" i="1" s="1"/>
  <c r="H1326" i="1" a="1"/>
  <c r="H1326" i="1" s="1"/>
  <c r="H1327" i="1" a="1"/>
  <c r="H1327" i="1" s="1"/>
  <c r="H1328" i="1" a="1"/>
  <c r="H1328" i="1" s="1"/>
  <c r="H1329" i="1" a="1"/>
  <c r="H1329" i="1" s="1"/>
  <c r="H1330" i="1" a="1"/>
  <c r="H1330" i="1" s="1"/>
  <c r="H1331" i="1" a="1"/>
  <c r="H1331" i="1" s="1"/>
  <c r="H1332" i="1" a="1"/>
  <c r="H1332" i="1" s="1"/>
  <c r="H1333" i="1" a="1"/>
  <c r="H1333" i="1" s="1"/>
  <c r="H1334" i="1" a="1"/>
  <c r="H1334" i="1" s="1"/>
  <c r="H1335" i="1" a="1"/>
  <c r="H1335" i="1" s="1"/>
  <c r="H1336" i="1" a="1"/>
  <c r="H1336" i="1" s="1"/>
  <c r="H1337" i="1" a="1"/>
  <c r="H1337" i="1" s="1"/>
  <c r="H1338" i="1" a="1"/>
  <c r="H1338" i="1" s="1"/>
  <c r="H1339" i="1" a="1"/>
  <c r="H1339" i="1" s="1"/>
  <c r="H1340" i="1" a="1"/>
  <c r="H1340" i="1" s="1"/>
  <c r="H1341" i="1" a="1"/>
  <c r="H1341" i="1" s="1"/>
  <c r="H1342" i="1" a="1"/>
  <c r="H1342" i="1" s="1"/>
  <c r="H1343" i="1" a="1"/>
  <c r="H1343" i="1" s="1"/>
  <c r="H1344" i="1" a="1"/>
  <c r="H1344" i="1" s="1"/>
  <c r="H1345" i="1" a="1"/>
  <c r="H1345" i="1" s="1"/>
  <c r="H1346" i="1" a="1"/>
  <c r="H1346" i="1" s="1"/>
  <c r="H1347" i="1" a="1"/>
  <c r="H1347" i="1" s="1"/>
  <c r="H1348" i="1" a="1"/>
  <c r="H1348" i="1" s="1"/>
  <c r="H1349" i="1" a="1"/>
  <c r="H1349" i="1" s="1"/>
  <c r="H1350" i="1" a="1"/>
  <c r="H1350" i="1" s="1"/>
  <c r="H1351" i="1" a="1"/>
  <c r="H1351" i="1" s="1"/>
  <c r="H1352" i="1" a="1"/>
  <c r="H1352" i="1" s="1"/>
  <c r="H1353" i="1" a="1"/>
  <c r="H1353" i="1" s="1"/>
  <c r="H1354" i="1" a="1"/>
  <c r="H1354" i="1" s="1"/>
  <c r="H1355" i="1" a="1"/>
  <c r="H1355" i="1" s="1"/>
  <c r="H1356" i="1" a="1"/>
  <c r="H1356" i="1" s="1"/>
  <c r="H1357" i="1" a="1"/>
  <c r="H1357" i="1" s="1"/>
  <c r="H1358" i="1" a="1"/>
  <c r="H1358" i="1" s="1"/>
  <c r="H1359" i="1" a="1"/>
  <c r="H1359" i="1" s="1"/>
  <c r="H1360" i="1" a="1"/>
  <c r="H1360" i="1" s="1"/>
  <c r="H1361" i="1" a="1"/>
  <c r="H1361" i="1" s="1"/>
  <c r="H1362" i="1" a="1"/>
  <c r="H1362" i="1" s="1"/>
  <c r="H1363" i="1" a="1"/>
  <c r="H1363" i="1" s="1"/>
  <c r="H1364" i="1" a="1"/>
  <c r="H1364" i="1" s="1"/>
  <c r="H1365" i="1" a="1"/>
  <c r="H1365" i="1" s="1"/>
  <c r="H1366" i="1" a="1"/>
  <c r="H1366" i="1" s="1"/>
  <c r="H1367" i="1" a="1"/>
  <c r="H1367" i="1" s="1"/>
  <c r="H1368" i="1" a="1"/>
  <c r="H1368" i="1" s="1"/>
  <c r="H1369" i="1" a="1"/>
  <c r="H1369" i="1" s="1"/>
  <c r="H1370" i="1" a="1"/>
  <c r="H1370" i="1" s="1"/>
  <c r="H1371" i="1" a="1"/>
  <c r="H1371" i="1" s="1"/>
  <c r="H1372" i="1" a="1"/>
  <c r="H1372" i="1" s="1"/>
  <c r="H1373" i="1" a="1"/>
  <c r="H1373" i="1" s="1"/>
  <c r="H1374" i="1" a="1"/>
  <c r="H1374" i="1" s="1"/>
  <c r="H1375" i="1" a="1"/>
  <c r="H1375" i="1" s="1"/>
  <c r="H1376" i="1" a="1"/>
  <c r="H1376" i="1" s="1"/>
  <c r="H1377" i="1" a="1"/>
  <c r="H1377" i="1" s="1"/>
  <c r="H1378" i="1" a="1"/>
  <c r="H1378" i="1" s="1"/>
  <c r="H1379" i="1" a="1"/>
  <c r="H1379" i="1" s="1"/>
  <c r="H1380" i="1" a="1"/>
  <c r="H1380" i="1" s="1"/>
  <c r="H1381" i="1" a="1"/>
  <c r="H1381" i="1" s="1"/>
  <c r="H1382" i="1" a="1"/>
  <c r="H1382" i="1" s="1"/>
  <c r="H1383" i="1" a="1"/>
  <c r="H1383" i="1" s="1"/>
  <c r="H1384" i="1" a="1"/>
  <c r="H1384" i="1" s="1"/>
  <c r="H1385" i="1" a="1"/>
  <c r="H1385" i="1" s="1"/>
  <c r="H1386" i="1" a="1"/>
  <c r="H1386" i="1" s="1"/>
  <c r="H1387" i="1" a="1"/>
  <c r="H1387" i="1" s="1"/>
  <c r="H1388" i="1" a="1"/>
  <c r="H1388" i="1" s="1"/>
  <c r="H1389" i="1" a="1"/>
  <c r="H1389" i="1" s="1"/>
  <c r="H1390" i="1" a="1"/>
  <c r="H1390" i="1" s="1"/>
  <c r="H1391" i="1" a="1"/>
  <c r="H1391" i="1" s="1"/>
  <c r="H1392" i="1" a="1"/>
  <c r="H1392" i="1" s="1"/>
  <c r="H1393" i="1" a="1"/>
  <c r="H1393" i="1" s="1"/>
  <c r="H1394" i="1" a="1"/>
  <c r="H1394" i="1" s="1"/>
  <c r="H1395" i="1" a="1"/>
  <c r="H1395" i="1" s="1"/>
  <c r="H1396" i="1" a="1"/>
  <c r="H1396" i="1" s="1"/>
  <c r="H1397" i="1" a="1"/>
  <c r="H1397" i="1" s="1"/>
  <c r="H1398" i="1" a="1"/>
  <c r="H1398" i="1" s="1"/>
  <c r="H1399" i="1" a="1"/>
  <c r="H1399" i="1" s="1"/>
  <c r="H1400" i="1" a="1"/>
  <c r="H1400" i="1" s="1"/>
  <c r="H1401" i="1" a="1"/>
  <c r="H1401" i="1" s="1"/>
  <c r="H1402" i="1" a="1"/>
  <c r="H1402" i="1" s="1"/>
  <c r="H1403" i="1" a="1"/>
  <c r="H1403" i="1" s="1"/>
  <c r="H1404" i="1" a="1"/>
  <c r="H1404" i="1" s="1"/>
  <c r="H1405" i="1" a="1"/>
  <c r="H1405" i="1" s="1"/>
  <c r="H1406" i="1" a="1"/>
  <c r="H1406" i="1" s="1"/>
  <c r="H1407" i="1" a="1"/>
  <c r="H1407" i="1" s="1"/>
  <c r="H1408" i="1" a="1"/>
  <c r="H1408" i="1" s="1"/>
  <c r="H1409" i="1" a="1"/>
  <c r="H1409" i="1" s="1"/>
  <c r="H1410" i="1" a="1"/>
  <c r="H1410" i="1" s="1"/>
  <c r="H1411" i="1" a="1"/>
  <c r="H1411" i="1" s="1"/>
  <c r="H1412" i="1" a="1"/>
  <c r="H1412" i="1" s="1"/>
  <c r="H1413" i="1" a="1"/>
  <c r="H1413" i="1" s="1"/>
  <c r="H1414" i="1" a="1"/>
  <c r="H1414" i="1" s="1"/>
  <c r="H1415" i="1" a="1"/>
  <c r="H1415" i="1" s="1"/>
  <c r="H1416" i="1" a="1"/>
  <c r="H1416" i="1" s="1"/>
  <c r="H1417" i="1" a="1"/>
  <c r="H1417" i="1" s="1"/>
  <c r="H1418" i="1" a="1"/>
  <c r="H1418" i="1" s="1"/>
  <c r="H1419" i="1" a="1"/>
  <c r="H1419" i="1" s="1"/>
  <c r="H1420" i="1" a="1"/>
  <c r="H1420" i="1" s="1"/>
  <c r="H1421" i="1" a="1"/>
  <c r="H1421" i="1" s="1"/>
  <c r="H1422" i="1" a="1"/>
  <c r="H1422" i="1" s="1"/>
  <c r="H1423" i="1" a="1"/>
  <c r="H1423" i="1" s="1"/>
  <c r="H1424" i="1" a="1"/>
  <c r="H1424" i="1" s="1"/>
  <c r="H1425" i="1" a="1"/>
  <c r="H1425" i="1" s="1"/>
  <c r="H1426" i="1" a="1"/>
  <c r="H1426" i="1" s="1"/>
  <c r="H1427" i="1" a="1"/>
  <c r="H1427" i="1" s="1"/>
  <c r="H1428" i="1" a="1"/>
  <c r="H1428" i="1" s="1"/>
  <c r="H1429" i="1" a="1"/>
  <c r="H1429" i="1" s="1"/>
  <c r="H1430" i="1" a="1"/>
  <c r="H1430" i="1" s="1"/>
  <c r="H1431" i="1" a="1"/>
  <c r="H1431" i="1" s="1"/>
  <c r="H1432" i="1" a="1"/>
  <c r="H1432" i="1" s="1"/>
  <c r="H1433" i="1" a="1"/>
  <c r="H1433" i="1" s="1"/>
  <c r="H1434" i="1" a="1"/>
  <c r="H1434" i="1" s="1"/>
  <c r="H1435" i="1" a="1"/>
  <c r="H1435" i="1" s="1"/>
  <c r="H1436" i="1" a="1"/>
  <c r="H1436" i="1" s="1"/>
  <c r="H1437" i="1" a="1"/>
  <c r="H1437" i="1" s="1"/>
  <c r="H1438" i="1" a="1"/>
  <c r="H1438" i="1" s="1"/>
  <c r="H1439" i="1" a="1"/>
  <c r="H1439" i="1" s="1"/>
  <c r="H1440" i="1" a="1"/>
  <c r="H1440" i="1" s="1"/>
  <c r="H1441" i="1" a="1"/>
  <c r="H1441" i="1" s="1"/>
  <c r="H1442" i="1" a="1"/>
  <c r="H1442" i="1" s="1"/>
  <c r="H1443" i="1" a="1"/>
  <c r="H1443" i="1" s="1"/>
  <c r="H1444" i="1" a="1"/>
  <c r="H1444" i="1" s="1"/>
  <c r="H1445" i="1" a="1"/>
  <c r="H1445" i="1" s="1"/>
  <c r="H1446" i="1" a="1"/>
  <c r="H1446" i="1" s="1"/>
  <c r="H1447" i="1" a="1"/>
  <c r="H1447" i="1" s="1"/>
  <c r="H1448" i="1" a="1"/>
  <c r="H1448" i="1" s="1"/>
  <c r="H1449" i="1" a="1"/>
  <c r="H1449" i="1" s="1"/>
  <c r="H1450" i="1" a="1"/>
  <c r="H1450" i="1" s="1"/>
  <c r="H1451" i="1" a="1"/>
  <c r="H1451" i="1" s="1"/>
  <c r="H1452" i="1" a="1"/>
  <c r="H1452" i="1" s="1"/>
  <c r="H1453" i="1" a="1"/>
  <c r="H1453" i="1" s="1"/>
  <c r="H1454" i="1" a="1"/>
  <c r="H1454" i="1" s="1"/>
  <c r="H1455" i="1" a="1"/>
  <c r="H1455" i="1" s="1"/>
  <c r="H1456" i="1" a="1"/>
  <c r="H1456" i="1" s="1"/>
  <c r="H1457" i="1" a="1"/>
  <c r="H1457" i="1" s="1"/>
  <c r="H1458" i="1" a="1"/>
  <c r="H1458" i="1" s="1"/>
  <c r="H1459" i="1" a="1"/>
  <c r="H1459" i="1" s="1"/>
  <c r="H1460" i="1" a="1"/>
  <c r="H1460" i="1" s="1"/>
  <c r="H1461" i="1" a="1"/>
  <c r="H1461" i="1" s="1"/>
  <c r="H1462" i="1" a="1"/>
  <c r="H1462" i="1" s="1"/>
  <c r="H1463" i="1" a="1"/>
  <c r="H1463" i="1" s="1"/>
  <c r="H1464" i="1" a="1"/>
  <c r="H1464" i="1" s="1"/>
  <c r="H1465" i="1" a="1"/>
  <c r="H1465" i="1" s="1"/>
  <c r="H1466" i="1" a="1"/>
  <c r="H1466" i="1" s="1"/>
  <c r="H1467" i="1" a="1"/>
  <c r="H1467" i="1" s="1"/>
  <c r="H1468" i="1" a="1"/>
  <c r="H1468" i="1" s="1"/>
  <c r="H1469" i="1" a="1"/>
  <c r="H1469" i="1" s="1"/>
  <c r="H1470" i="1" a="1"/>
  <c r="H1470" i="1" s="1"/>
  <c r="H1471" i="1" a="1"/>
  <c r="H1471" i="1" s="1"/>
  <c r="H1472" i="1" a="1"/>
  <c r="H1472" i="1" s="1"/>
  <c r="H1473" i="1" a="1"/>
  <c r="H1473" i="1" s="1"/>
  <c r="H1474" i="1" a="1"/>
  <c r="H1474" i="1" s="1"/>
  <c r="H1475" i="1" a="1"/>
  <c r="H1475" i="1" s="1"/>
  <c r="H1476" i="1" a="1"/>
  <c r="H1476" i="1" s="1"/>
  <c r="H1477" i="1" a="1"/>
  <c r="H1477" i="1" s="1"/>
  <c r="H1478" i="1" a="1"/>
  <c r="H1478" i="1" s="1"/>
  <c r="H1479" i="1" a="1"/>
  <c r="H1479" i="1" s="1"/>
  <c r="H1480" i="1" a="1"/>
  <c r="H1480" i="1" s="1"/>
  <c r="H1481" i="1" a="1"/>
  <c r="H1481" i="1" s="1"/>
  <c r="H1482" i="1" a="1"/>
  <c r="H1482" i="1" s="1"/>
  <c r="H1483" i="1" a="1"/>
  <c r="H1483" i="1" s="1"/>
  <c r="H1484" i="1" a="1"/>
  <c r="H1484" i="1" s="1"/>
  <c r="H1485" i="1" a="1"/>
  <c r="H1485" i="1" s="1"/>
  <c r="H1486" i="1" a="1"/>
  <c r="H1486" i="1" s="1"/>
  <c r="H1487" i="1" a="1"/>
  <c r="H1487" i="1" s="1"/>
  <c r="H1488" i="1" a="1"/>
  <c r="H1488" i="1" s="1"/>
  <c r="H1489" i="1" a="1"/>
  <c r="H1489" i="1" s="1"/>
  <c r="H1490" i="1" a="1"/>
  <c r="H1490" i="1" s="1"/>
  <c r="H1491" i="1" a="1"/>
  <c r="H1491" i="1" s="1"/>
  <c r="H1492" i="1" a="1"/>
  <c r="H1492" i="1" s="1"/>
  <c r="H1493" i="1" a="1"/>
  <c r="H1493" i="1" s="1"/>
  <c r="H1494" i="1" a="1"/>
  <c r="H1494" i="1" s="1"/>
  <c r="H1495" i="1" a="1"/>
  <c r="H1495" i="1" s="1"/>
  <c r="H1496" i="1" a="1"/>
  <c r="H1496" i="1" s="1"/>
  <c r="H1497" i="1" a="1"/>
  <c r="H1497" i="1" s="1"/>
  <c r="H1498" i="1" a="1"/>
  <c r="H1498" i="1" s="1"/>
  <c r="H1499" i="1" a="1"/>
  <c r="H1499" i="1" s="1"/>
  <c r="H1500" i="1" a="1"/>
  <c r="H1500" i="1" s="1"/>
  <c r="H1501" i="1" a="1"/>
  <c r="H1501" i="1" s="1"/>
  <c r="H1502" i="1" a="1"/>
  <c r="H1502" i="1" s="1"/>
  <c r="H1503" i="1" a="1"/>
  <c r="H1503" i="1" s="1"/>
  <c r="H1504" i="1" a="1"/>
  <c r="H1504" i="1" s="1"/>
  <c r="H1505" i="1" a="1"/>
  <c r="H1505" i="1" s="1"/>
  <c r="H1506" i="1" a="1"/>
  <c r="H1506" i="1" s="1"/>
  <c r="H1507" i="1" a="1"/>
  <c r="H1507" i="1" s="1"/>
  <c r="H1508" i="1" a="1"/>
  <c r="H1508" i="1" s="1"/>
  <c r="H1509" i="1" a="1"/>
  <c r="H1509" i="1" s="1"/>
  <c r="H1510" i="1" a="1"/>
  <c r="H1510" i="1" s="1"/>
  <c r="H1511" i="1" a="1"/>
  <c r="H1511" i="1" s="1"/>
  <c r="H1512" i="1" a="1"/>
  <c r="H1512" i="1" s="1"/>
  <c r="H1513" i="1" a="1"/>
  <c r="H1513" i="1" s="1"/>
  <c r="H1514" i="1" a="1"/>
  <c r="H1514" i="1" s="1"/>
  <c r="H1515" i="1" a="1"/>
  <c r="H1515" i="1" s="1"/>
  <c r="H1516" i="1" a="1"/>
  <c r="H1516" i="1" s="1"/>
  <c r="H1517" i="1" a="1"/>
  <c r="H1517" i="1" s="1"/>
  <c r="H1518" i="1" a="1"/>
  <c r="H1518" i="1" s="1"/>
  <c r="H1519" i="1" a="1"/>
  <c r="H1519" i="1" s="1"/>
  <c r="H1520" i="1" a="1"/>
  <c r="H1520" i="1" s="1"/>
  <c r="H1521" i="1" a="1"/>
  <c r="H1521" i="1" s="1"/>
  <c r="H1522" i="1" a="1"/>
  <c r="H1522" i="1" s="1"/>
  <c r="H1523" i="1" a="1"/>
  <c r="H1523" i="1" s="1"/>
  <c r="H1524" i="1" a="1"/>
  <c r="H1524" i="1" s="1"/>
  <c r="H1525" i="1" a="1"/>
  <c r="H1525" i="1" s="1"/>
  <c r="H1526" i="1" a="1"/>
  <c r="H1526" i="1" s="1"/>
  <c r="H1527" i="1" a="1"/>
  <c r="H1527" i="1" s="1"/>
  <c r="H1528" i="1" a="1"/>
  <c r="H1528" i="1" s="1"/>
  <c r="H1529" i="1" a="1"/>
  <c r="H1529" i="1" s="1"/>
  <c r="H1530" i="1" a="1"/>
  <c r="H1530" i="1" s="1"/>
  <c r="H1531" i="1" a="1"/>
  <c r="H1531" i="1" s="1"/>
  <c r="H1532" i="1" a="1"/>
  <c r="H1532" i="1" s="1"/>
  <c r="H1533" i="1" a="1"/>
  <c r="H1533" i="1" s="1"/>
  <c r="H1534" i="1" a="1"/>
  <c r="H1534" i="1" s="1"/>
  <c r="H1535" i="1" a="1"/>
  <c r="H1535" i="1" s="1"/>
  <c r="H1536" i="1" a="1"/>
  <c r="H1536" i="1" s="1"/>
  <c r="H1537" i="1" a="1"/>
  <c r="H1537" i="1" s="1"/>
  <c r="H1538" i="1" a="1"/>
  <c r="H1538" i="1" s="1"/>
  <c r="H1539" i="1" a="1"/>
  <c r="H1539" i="1" s="1"/>
  <c r="H1540" i="1" a="1"/>
  <c r="H1540" i="1" s="1"/>
  <c r="H1541" i="1" a="1"/>
  <c r="H1541" i="1" s="1"/>
  <c r="H1542" i="1" a="1"/>
  <c r="H1542" i="1" s="1"/>
  <c r="H1543" i="1" a="1"/>
  <c r="H1543" i="1" s="1"/>
  <c r="H1544" i="1" a="1"/>
  <c r="H1544" i="1" s="1"/>
  <c r="H1545" i="1" a="1"/>
  <c r="H1545" i="1" s="1"/>
  <c r="H1546" i="1" a="1"/>
  <c r="H1546" i="1" s="1"/>
  <c r="H1547" i="1" a="1"/>
  <c r="H1547" i="1" s="1"/>
  <c r="H1548" i="1" a="1"/>
  <c r="H1548" i="1" s="1"/>
  <c r="H1549" i="1" a="1"/>
  <c r="H1549" i="1" s="1"/>
  <c r="H1550" i="1" a="1"/>
  <c r="H1550" i="1" s="1"/>
  <c r="H1551" i="1" a="1"/>
  <c r="H1551" i="1" s="1"/>
  <c r="H1552" i="1" a="1"/>
  <c r="H1552" i="1" s="1"/>
  <c r="H1553" i="1" a="1"/>
  <c r="H1553" i="1" s="1"/>
  <c r="H1554" i="1" a="1"/>
  <c r="H1554" i="1" s="1"/>
  <c r="H1555" i="1" a="1"/>
  <c r="H1555" i="1" s="1"/>
  <c r="H1556" i="1" a="1"/>
  <c r="H1556" i="1" s="1"/>
  <c r="H1557" i="1" a="1"/>
  <c r="H1557" i="1" s="1"/>
  <c r="H1558" i="1" a="1"/>
  <c r="H1558" i="1" s="1"/>
  <c r="H1559" i="1" a="1"/>
  <c r="H1559" i="1" s="1"/>
  <c r="H1560" i="1" a="1"/>
  <c r="H1560" i="1" s="1"/>
  <c r="H1561" i="1" a="1"/>
  <c r="H1561" i="1" s="1"/>
  <c r="H1562" i="1" a="1"/>
  <c r="H1562" i="1" s="1"/>
  <c r="H1563" i="1" a="1"/>
  <c r="H1563" i="1" s="1"/>
  <c r="H1564" i="1" a="1"/>
  <c r="H1564" i="1" s="1"/>
  <c r="H1565" i="1" a="1"/>
  <c r="H1565" i="1" s="1"/>
  <c r="H1566" i="1" a="1"/>
  <c r="H1566" i="1" s="1"/>
  <c r="H1567" i="1" a="1"/>
  <c r="H1567" i="1" s="1"/>
  <c r="H1568" i="1" a="1"/>
  <c r="H1568" i="1" s="1"/>
  <c r="H1569" i="1" a="1"/>
  <c r="H1569" i="1" s="1"/>
  <c r="H1570" i="1" a="1"/>
  <c r="H1570" i="1" s="1"/>
  <c r="H1571" i="1" a="1"/>
  <c r="H1571" i="1" s="1"/>
  <c r="H1572" i="1" a="1"/>
  <c r="H1572" i="1" s="1"/>
  <c r="H1573" i="1" a="1"/>
  <c r="H1573" i="1" s="1"/>
  <c r="H1574" i="1" a="1"/>
  <c r="H1574" i="1" s="1"/>
  <c r="H1575" i="1" a="1"/>
  <c r="H1575" i="1" s="1"/>
  <c r="H1576" i="1" a="1"/>
  <c r="H1576" i="1" s="1"/>
  <c r="H1577" i="1" a="1"/>
  <c r="H1577" i="1" s="1"/>
  <c r="H1578" i="1" a="1"/>
  <c r="H1578" i="1" s="1"/>
  <c r="H1579" i="1" a="1"/>
  <c r="H1579" i="1" s="1"/>
  <c r="H1580" i="1" a="1"/>
  <c r="H1580" i="1" s="1"/>
  <c r="H1581" i="1" a="1"/>
  <c r="H1581" i="1" s="1"/>
  <c r="H1582" i="1" a="1"/>
  <c r="H1582" i="1" s="1"/>
  <c r="H1583" i="1" a="1"/>
  <c r="H1583" i="1" s="1"/>
  <c r="H1584" i="1" a="1"/>
  <c r="H1584" i="1" s="1"/>
  <c r="H1585" i="1" a="1"/>
  <c r="H1585" i="1" s="1"/>
  <c r="H1586" i="1" a="1"/>
  <c r="H1586" i="1" s="1"/>
  <c r="H1587" i="1" a="1"/>
  <c r="H1587" i="1" s="1"/>
  <c r="H1588" i="1" a="1"/>
  <c r="H1588" i="1" s="1"/>
  <c r="H1589" i="1" a="1"/>
  <c r="H1589" i="1" s="1"/>
  <c r="H1590" i="1" a="1"/>
  <c r="H1590" i="1" s="1"/>
  <c r="H1591" i="1" a="1"/>
  <c r="H1591" i="1" s="1"/>
  <c r="H1592" i="1" a="1"/>
  <c r="H1592" i="1" s="1"/>
  <c r="H1593" i="1" a="1"/>
  <c r="H1593" i="1" s="1"/>
  <c r="H1594" i="1" a="1"/>
  <c r="H1594" i="1" s="1"/>
  <c r="H1595" i="1" a="1"/>
  <c r="H1595" i="1" s="1"/>
  <c r="H1596" i="1" a="1"/>
  <c r="H1596" i="1" s="1"/>
  <c r="H1597" i="1" a="1"/>
  <c r="H1597" i="1" s="1"/>
  <c r="H1598" i="1" a="1"/>
  <c r="H1598" i="1" s="1"/>
  <c r="H1599" i="1" a="1"/>
  <c r="H1599" i="1" s="1"/>
  <c r="H1600" i="1" a="1"/>
  <c r="H1600" i="1" s="1"/>
  <c r="H1601" i="1" a="1"/>
  <c r="H1601" i="1" s="1"/>
  <c r="H1602" i="1" a="1"/>
  <c r="H1602" i="1" s="1"/>
  <c r="H1603" i="1" a="1"/>
  <c r="H1603" i="1" s="1"/>
  <c r="H1604" i="1" a="1"/>
  <c r="H1604" i="1" s="1"/>
  <c r="H1605" i="1" a="1"/>
  <c r="H1605" i="1" s="1"/>
  <c r="H1606" i="1" a="1"/>
  <c r="H1606" i="1" s="1"/>
  <c r="H1607" i="1" a="1"/>
  <c r="H1607" i="1" s="1"/>
  <c r="H1608" i="1" a="1"/>
  <c r="H1608" i="1" s="1"/>
  <c r="H1609" i="1" a="1"/>
  <c r="H1609" i="1" s="1"/>
  <c r="H1610" i="1" a="1"/>
  <c r="H1610" i="1" s="1"/>
  <c r="H1611" i="1" a="1"/>
  <c r="H1611" i="1" s="1"/>
  <c r="H1612" i="1" a="1"/>
  <c r="H1612" i="1" s="1"/>
  <c r="H1613" i="1" a="1"/>
  <c r="H1613" i="1" s="1"/>
  <c r="H1614" i="1" a="1"/>
  <c r="H1614" i="1" s="1"/>
  <c r="H1615" i="1" a="1"/>
  <c r="H1615" i="1" s="1"/>
  <c r="H1616" i="1" a="1"/>
  <c r="H1616" i="1" s="1"/>
  <c r="H1617" i="1" a="1"/>
  <c r="H1617" i="1" s="1"/>
  <c r="H1618" i="1" a="1"/>
  <c r="H1618" i="1" s="1"/>
  <c r="H1619" i="1" a="1"/>
  <c r="H1619" i="1" s="1"/>
  <c r="H1620" i="1" a="1"/>
  <c r="H1620" i="1" s="1"/>
  <c r="H1621" i="1" a="1"/>
  <c r="H1621" i="1" s="1"/>
  <c r="H1622" i="1" a="1"/>
  <c r="H1622" i="1" s="1"/>
  <c r="H1623" i="1" a="1"/>
  <c r="H1623" i="1" s="1"/>
  <c r="H1624" i="1" a="1"/>
  <c r="H1624" i="1" s="1"/>
  <c r="H1625" i="1" a="1"/>
  <c r="H1625" i="1" s="1"/>
  <c r="H1626" i="1" a="1"/>
  <c r="H1626" i="1" s="1"/>
  <c r="H1627" i="1" a="1"/>
  <c r="H1627" i="1" s="1"/>
  <c r="H1628" i="1" a="1"/>
  <c r="H1628" i="1" s="1"/>
  <c r="H1629" i="1" a="1"/>
  <c r="H1629" i="1" s="1"/>
  <c r="H1630" i="1" a="1"/>
  <c r="H1630" i="1" s="1"/>
  <c r="H1631" i="1" a="1"/>
  <c r="H1631" i="1" s="1"/>
  <c r="H1632" i="1" a="1"/>
  <c r="H1632" i="1" s="1"/>
  <c r="H1633" i="1" a="1"/>
  <c r="H1633" i="1" s="1"/>
  <c r="H1634" i="1" a="1"/>
  <c r="H1634" i="1" s="1"/>
  <c r="H1635" i="1" a="1"/>
  <c r="H1635" i="1" s="1"/>
  <c r="H1636" i="1" a="1"/>
  <c r="H1636" i="1" s="1"/>
  <c r="H1637" i="1" a="1"/>
  <c r="H1637" i="1" s="1"/>
  <c r="H1638" i="1" a="1"/>
  <c r="H1638" i="1" s="1"/>
  <c r="H1639" i="1" a="1"/>
  <c r="H1639" i="1" s="1"/>
  <c r="H1640" i="1" a="1"/>
  <c r="H1640" i="1" s="1"/>
  <c r="H1641" i="1" a="1"/>
  <c r="H1641" i="1" s="1"/>
  <c r="H1642" i="1" a="1"/>
  <c r="H1642" i="1" s="1"/>
  <c r="H1643" i="1" a="1"/>
  <c r="H1643" i="1" s="1"/>
  <c r="H1644" i="1" a="1"/>
  <c r="H1644" i="1" s="1"/>
  <c r="H1645" i="1" a="1"/>
  <c r="H1645" i="1" s="1"/>
  <c r="H1646" i="1" a="1"/>
  <c r="H1646" i="1" s="1"/>
  <c r="H1647" i="1" a="1"/>
  <c r="H1647" i="1" s="1"/>
  <c r="H1648" i="1" a="1"/>
  <c r="H1648" i="1" s="1"/>
  <c r="H1649" i="1" a="1"/>
  <c r="H1649" i="1" s="1"/>
  <c r="H1650" i="1" a="1"/>
  <c r="H1650" i="1" s="1"/>
  <c r="H1651" i="1" a="1"/>
  <c r="H1651" i="1" s="1"/>
  <c r="H1652" i="1" a="1"/>
  <c r="H1652" i="1" s="1"/>
  <c r="H1653" i="1" a="1"/>
  <c r="H1653" i="1" s="1"/>
  <c r="H1654" i="1" a="1"/>
  <c r="H1654" i="1" s="1"/>
  <c r="H1655" i="1" a="1"/>
  <c r="H1655" i="1" s="1"/>
  <c r="H1656" i="1" a="1"/>
  <c r="H1656" i="1" s="1"/>
  <c r="H1657" i="1" a="1"/>
  <c r="H1657" i="1" s="1"/>
  <c r="H1658" i="1" a="1"/>
  <c r="H1658" i="1" s="1"/>
  <c r="H1659" i="1" a="1"/>
  <c r="H1659" i="1" s="1"/>
  <c r="H1660" i="1" a="1"/>
  <c r="H1660" i="1" s="1"/>
  <c r="H1661" i="1" a="1"/>
  <c r="H1661" i="1" s="1"/>
  <c r="H1662" i="1" a="1"/>
  <c r="H1662" i="1" s="1"/>
  <c r="H1663" i="1" a="1"/>
  <c r="H1663" i="1" s="1"/>
  <c r="H1664" i="1" a="1"/>
  <c r="H1664" i="1" s="1"/>
  <c r="H1665" i="1" a="1"/>
  <c r="H1665" i="1" s="1"/>
  <c r="H1666" i="1" a="1"/>
  <c r="H1666" i="1" s="1"/>
  <c r="H1667" i="1" a="1"/>
  <c r="H1667" i="1" s="1"/>
  <c r="H1668" i="1" a="1"/>
  <c r="H1668" i="1" s="1"/>
  <c r="H1669" i="1" a="1"/>
  <c r="H1669" i="1" s="1"/>
  <c r="H1670" i="1" a="1"/>
  <c r="H1670" i="1" s="1"/>
  <c r="H1671" i="1" a="1"/>
  <c r="H1671" i="1" s="1"/>
  <c r="H1672" i="1" a="1"/>
  <c r="H1672" i="1" s="1"/>
  <c r="H1673" i="1" a="1"/>
  <c r="H1673" i="1" s="1"/>
  <c r="H1674" i="1" a="1"/>
  <c r="H1674" i="1" s="1"/>
  <c r="H1675" i="1" a="1"/>
  <c r="H1675" i="1" s="1"/>
  <c r="H1676" i="1" a="1"/>
  <c r="H1676" i="1" s="1"/>
  <c r="H1677" i="1" a="1"/>
  <c r="H1677" i="1" s="1"/>
  <c r="H1678" i="1" a="1"/>
  <c r="H1678" i="1" s="1"/>
  <c r="H1679" i="1" a="1"/>
  <c r="H1679" i="1" s="1"/>
  <c r="H1680" i="1" a="1"/>
  <c r="H1680" i="1" s="1"/>
  <c r="H1681" i="1" a="1"/>
  <c r="H1681" i="1" s="1"/>
  <c r="H1682" i="1" a="1"/>
  <c r="H1682" i="1" s="1"/>
  <c r="H1683" i="1" a="1"/>
  <c r="H1683" i="1" s="1"/>
  <c r="H1684" i="1" a="1"/>
  <c r="H1684" i="1" s="1"/>
  <c r="H1685" i="1" a="1"/>
  <c r="H1685" i="1" s="1"/>
  <c r="H1686" i="1" a="1"/>
  <c r="H1686" i="1" s="1"/>
  <c r="H1687" i="1" a="1"/>
  <c r="H1687" i="1" s="1"/>
  <c r="H1688" i="1" a="1"/>
  <c r="H1688" i="1" s="1"/>
  <c r="H1689" i="1" a="1"/>
  <c r="H1689" i="1" s="1"/>
  <c r="H1690" i="1" a="1"/>
  <c r="H1690" i="1" s="1"/>
  <c r="H1691" i="1" a="1"/>
  <c r="H1691" i="1" s="1"/>
  <c r="H1692" i="1" a="1"/>
  <c r="H1692" i="1" s="1"/>
  <c r="H1693" i="1" a="1"/>
  <c r="H1693" i="1" s="1"/>
  <c r="H1694" i="1" a="1"/>
  <c r="H1694" i="1" s="1"/>
  <c r="H1695" i="1" a="1"/>
  <c r="H1695" i="1" s="1"/>
  <c r="H1696" i="1" a="1"/>
  <c r="H1696" i="1" s="1"/>
  <c r="H1697" i="1" a="1"/>
  <c r="H1697" i="1" s="1"/>
  <c r="H1698" i="1" a="1"/>
  <c r="H1698" i="1" s="1"/>
  <c r="H1699" i="1" a="1"/>
  <c r="H1699" i="1" s="1"/>
  <c r="H1700" i="1" a="1"/>
  <c r="H1700" i="1" s="1"/>
  <c r="H1701" i="1" a="1"/>
  <c r="H1701" i="1" s="1"/>
  <c r="H1702" i="1" a="1"/>
  <c r="H1702" i="1" s="1"/>
  <c r="H1703" i="1" a="1"/>
  <c r="H1703" i="1" s="1"/>
  <c r="H1704" i="1" a="1"/>
  <c r="H1704" i="1" s="1"/>
  <c r="H1705" i="1" a="1"/>
  <c r="H1705" i="1" s="1"/>
  <c r="H1706" i="1" a="1"/>
  <c r="H1706" i="1" s="1"/>
  <c r="H1707" i="1" a="1"/>
  <c r="H1707" i="1" s="1"/>
  <c r="H1708" i="1" a="1"/>
  <c r="H1708" i="1" s="1"/>
  <c r="H1709" i="1" a="1"/>
  <c r="H1709" i="1" s="1"/>
  <c r="H1710" i="1" a="1"/>
  <c r="H1710" i="1" s="1"/>
  <c r="H1711" i="1" a="1"/>
  <c r="H1711" i="1" s="1"/>
  <c r="H1712" i="1" a="1"/>
  <c r="H1712" i="1" s="1"/>
  <c r="H1713" i="1" a="1"/>
  <c r="H1713" i="1" s="1"/>
  <c r="H1714" i="1" a="1"/>
  <c r="H1714" i="1" s="1"/>
  <c r="H1715" i="1" a="1"/>
  <c r="H1715" i="1" s="1"/>
  <c r="H1716" i="1" a="1"/>
  <c r="H1716" i="1" s="1"/>
  <c r="H1717" i="1" a="1"/>
  <c r="H1717" i="1" s="1"/>
  <c r="H1718" i="1" a="1"/>
  <c r="H1718" i="1" s="1"/>
  <c r="H1719" i="1" a="1"/>
  <c r="H1719" i="1" s="1"/>
  <c r="H1720" i="1" a="1"/>
  <c r="H1720" i="1" s="1"/>
  <c r="H1721" i="1" a="1"/>
  <c r="H1721" i="1" s="1"/>
  <c r="H1722" i="1" a="1"/>
  <c r="H1722" i="1" s="1"/>
  <c r="H1723" i="1" a="1"/>
  <c r="H1723" i="1" s="1"/>
  <c r="H1724" i="1" a="1"/>
  <c r="H1724" i="1" s="1"/>
  <c r="H1725" i="1" a="1"/>
  <c r="H1725" i="1" s="1"/>
  <c r="H1726" i="1" a="1"/>
  <c r="H1726" i="1" s="1"/>
  <c r="H1727" i="1" a="1"/>
  <c r="H1727" i="1" s="1"/>
  <c r="H1728" i="1" a="1"/>
  <c r="H1728" i="1" s="1"/>
  <c r="H1729" i="1" a="1"/>
  <c r="H1729" i="1" s="1"/>
  <c r="H1730" i="1" a="1"/>
  <c r="H1730" i="1" s="1"/>
  <c r="H1731" i="1" a="1"/>
  <c r="H1731" i="1" s="1"/>
  <c r="H1732" i="1" a="1"/>
  <c r="H1732" i="1" s="1"/>
  <c r="H1733" i="1" a="1"/>
  <c r="H1733" i="1" s="1"/>
  <c r="H1734" i="1" a="1"/>
  <c r="H1734" i="1" s="1"/>
  <c r="H1735" i="1" a="1"/>
  <c r="H1735" i="1" s="1"/>
  <c r="H1736" i="1" a="1"/>
  <c r="H1736" i="1" s="1"/>
  <c r="H1737" i="1" a="1"/>
  <c r="H1737" i="1" s="1"/>
  <c r="H1738" i="1" a="1"/>
  <c r="H1738" i="1" s="1"/>
  <c r="H1739" i="1" a="1"/>
  <c r="H1739" i="1" s="1"/>
  <c r="H1740" i="1" a="1"/>
  <c r="H1740" i="1" s="1"/>
  <c r="H1741" i="1" a="1"/>
  <c r="H1741" i="1" s="1"/>
  <c r="H1742" i="1" a="1"/>
  <c r="H1742" i="1" s="1"/>
  <c r="H1743" i="1" a="1"/>
  <c r="H1743" i="1" s="1"/>
  <c r="H1744" i="1" a="1"/>
  <c r="H1744" i="1" s="1"/>
  <c r="H1745" i="1" a="1"/>
  <c r="H1745" i="1" s="1"/>
  <c r="H1746" i="1" a="1"/>
  <c r="H1746" i="1" s="1"/>
  <c r="H1747" i="1" a="1"/>
  <c r="H1747" i="1" s="1"/>
  <c r="H1748" i="1" a="1"/>
  <c r="H1748" i="1" s="1"/>
  <c r="H1749" i="1" a="1"/>
  <c r="H1749" i="1" s="1"/>
  <c r="H1750" i="1" a="1"/>
  <c r="H1750" i="1" s="1"/>
  <c r="H1751" i="1" a="1"/>
  <c r="H1751" i="1" s="1"/>
  <c r="H1752" i="1" a="1"/>
  <c r="H1752" i="1" s="1"/>
  <c r="H1753" i="1" a="1"/>
  <c r="H1753" i="1" s="1"/>
  <c r="H1754" i="1" a="1"/>
  <c r="H1754" i="1" s="1"/>
  <c r="H1755" i="1" a="1"/>
  <c r="H1755" i="1" s="1"/>
  <c r="H1756" i="1" a="1"/>
  <c r="H1756" i="1" s="1"/>
  <c r="H1757" i="1" a="1"/>
  <c r="H1757" i="1" s="1"/>
  <c r="H1758" i="1" a="1"/>
  <c r="H1758" i="1" s="1"/>
  <c r="H1759" i="1" a="1"/>
  <c r="H1759" i="1" s="1"/>
  <c r="H1760" i="1" a="1"/>
  <c r="H1760" i="1" s="1"/>
  <c r="H1761" i="1" a="1"/>
  <c r="H1761" i="1" s="1"/>
  <c r="H1762" i="1" a="1"/>
  <c r="H1762" i="1" s="1"/>
  <c r="H1763" i="1" a="1"/>
  <c r="H1763" i="1" s="1"/>
  <c r="H1764" i="1" a="1"/>
  <c r="H1764" i="1" s="1"/>
  <c r="H1765" i="1" a="1"/>
  <c r="H1765" i="1" s="1"/>
  <c r="H1766" i="1" a="1"/>
  <c r="H1766" i="1" s="1"/>
  <c r="H1767" i="1" a="1"/>
  <c r="H1767" i="1" s="1"/>
  <c r="H1768" i="1" a="1"/>
  <c r="H1768" i="1" s="1"/>
  <c r="H1769" i="1" a="1"/>
  <c r="H1769" i="1" s="1"/>
  <c r="H1770" i="1" a="1"/>
  <c r="H1770" i="1" s="1"/>
  <c r="H1771" i="1" a="1"/>
  <c r="H1771" i="1" s="1"/>
  <c r="H1772" i="1" a="1"/>
  <c r="H1772" i="1" s="1"/>
  <c r="H1773" i="1" a="1"/>
  <c r="H1773" i="1" s="1"/>
  <c r="H1774" i="1" a="1"/>
  <c r="H1774" i="1" s="1"/>
  <c r="H1775" i="1" a="1"/>
  <c r="H1775" i="1" s="1"/>
  <c r="H1776" i="1" a="1"/>
  <c r="H1776" i="1" s="1"/>
  <c r="H1777" i="1" a="1"/>
  <c r="H1777" i="1" s="1"/>
  <c r="H1778" i="1" a="1"/>
  <c r="H1778" i="1" s="1"/>
  <c r="H1779" i="1" a="1"/>
  <c r="H1779" i="1" s="1"/>
  <c r="H1780" i="1" a="1"/>
  <c r="H1780" i="1" s="1"/>
  <c r="H1781" i="1" a="1"/>
  <c r="H1781" i="1" s="1"/>
  <c r="H1782" i="1" a="1"/>
  <c r="H1782" i="1" s="1"/>
  <c r="H1783" i="1" a="1"/>
  <c r="H1783" i="1" s="1"/>
  <c r="H1784" i="1" a="1"/>
  <c r="H1784" i="1" s="1"/>
  <c r="H1785" i="1" a="1"/>
  <c r="H1785" i="1" s="1"/>
  <c r="H1786" i="1" a="1"/>
  <c r="H1786" i="1" s="1"/>
  <c r="H1787" i="1" a="1"/>
  <c r="H1787" i="1" s="1"/>
  <c r="H1788" i="1" a="1"/>
  <c r="H1788" i="1" s="1"/>
  <c r="H1789" i="1" a="1"/>
  <c r="H1789" i="1" s="1"/>
  <c r="H1790" i="1" a="1"/>
  <c r="H1790" i="1" s="1"/>
  <c r="H1791" i="1" a="1"/>
  <c r="H1791" i="1" s="1"/>
  <c r="H1792" i="1" a="1"/>
  <c r="H1792" i="1" s="1"/>
  <c r="H1793" i="1" a="1"/>
  <c r="H1793" i="1" s="1"/>
  <c r="H1794" i="1" a="1"/>
  <c r="H1794" i="1" s="1"/>
  <c r="H1795" i="1" a="1"/>
  <c r="H1795" i="1" s="1"/>
  <c r="H1796" i="1" a="1"/>
  <c r="H1796" i="1" s="1"/>
  <c r="H1797" i="1" a="1"/>
  <c r="H1797" i="1" s="1"/>
  <c r="H1798" i="1" a="1"/>
  <c r="H1798" i="1" s="1"/>
  <c r="H1799" i="1" a="1"/>
  <c r="H1799" i="1" s="1"/>
  <c r="H1800" i="1" a="1"/>
  <c r="H1800" i="1" s="1"/>
  <c r="H1801" i="1" a="1"/>
  <c r="H1801" i="1" s="1"/>
  <c r="H1802" i="1" a="1"/>
  <c r="H1802" i="1" s="1"/>
  <c r="H1803" i="1" a="1"/>
  <c r="H1803" i="1" s="1"/>
  <c r="H1804" i="1" a="1"/>
  <c r="H1804" i="1" s="1"/>
  <c r="H1805" i="1" a="1"/>
  <c r="H1805" i="1" s="1"/>
  <c r="H1806" i="1" a="1"/>
  <c r="H1806" i="1" s="1"/>
  <c r="H1807" i="1" a="1"/>
  <c r="H1807" i="1" s="1"/>
  <c r="H1808" i="1" a="1"/>
  <c r="H1808" i="1" s="1"/>
  <c r="H1809" i="1" a="1"/>
  <c r="H1809" i="1" s="1"/>
  <c r="H1810" i="1" a="1"/>
  <c r="H1810" i="1" s="1"/>
  <c r="H1811" i="1" a="1"/>
  <c r="H1811" i="1" s="1"/>
  <c r="H1812" i="1" a="1"/>
  <c r="H1812" i="1" s="1"/>
  <c r="H1813" i="1" a="1"/>
  <c r="H1813" i="1" s="1"/>
  <c r="H1814" i="1" a="1"/>
  <c r="H1814" i="1" s="1"/>
  <c r="H1815" i="1" a="1"/>
  <c r="H1815" i="1" s="1"/>
  <c r="H1816" i="1" a="1"/>
  <c r="H1816" i="1" s="1"/>
  <c r="H1817" i="1" a="1"/>
  <c r="H1817" i="1" s="1"/>
  <c r="H1818" i="1" a="1"/>
  <c r="H1818" i="1" s="1"/>
  <c r="H1819" i="1" a="1"/>
  <c r="H1819" i="1" s="1"/>
  <c r="H1820" i="1" a="1"/>
  <c r="H1820" i="1" s="1"/>
  <c r="H1821" i="1" a="1"/>
  <c r="H1821" i="1" s="1"/>
  <c r="H1822" i="1" a="1"/>
  <c r="H1822" i="1" s="1"/>
  <c r="H1823" i="1" a="1"/>
  <c r="H1823" i="1" s="1"/>
  <c r="H1824" i="1" a="1"/>
  <c r="H1824" i="1" s="1"/>
  <c r="H1825" i="1" a="1"/>
  <c r="H1825" i="1" s="1"/>
  <c r="H1826" i="1" a="1"/>
  <c r="H1826" i="1" s="1"/>
  <c r="H1827" i="1" a="1"/>
  <c r="H1827" i="1" s="1"/>
  <c r="H1828" i="1" a="1"/>
  <c r="H1828" i="1" s="1"/>
  <c r="H1829" i="1" a="1"/>
  <c r="H1829" i="1" s="1"/>
  <c r="H1830" i="1" a="1"/>
  <c r="H1830" i="1" s="1"/>
  <c r="H1831" i="1" a="1"/>
  <c r="H1831" i="1" s="1"/>
  <c r="H1832" i="1" a="1"/>
  <c r="H1832" i="1" s="1"/>
  <c r="H1833" i="1" a="1"/>
  <c r="H1833" i="1" s="1"/>
  <c r="H1834" i="1" a="1"/>
  <c r="H1834" i="1" s="1"/>
  <c r="H1835" i="1" a="1"/>
  <c r="H1835" i="1" s="1"/>
  <c r="H1836" i="1" a="1"/>
  <c r="H1836" i="1" s="1"/>
  <c r="H1837" i="1" a="1"/>
  <c r="H1837" i="1" s="1"/>
  <c r="H1838" i="1" a="1"/>
  <c r="H1838" i="1" s="1"/>
  <c r="H1839" i="1" a="1"/>
  <c r="H1839" i="1" s="1"/>
  <c r="H1840" i="1" a="1"/>
  <c r="H1840" i="1" s="1"/>
  <c r="H1841" i="1" a="1"/>
  <c r="H1841" i="1" s="1"/>
  <c r="H1842" i="1" a="1"/>
  <c r="H1842" i="1" s="1"/>
  <c r="H1843" i="1" a="1"/>
  <c r="H1843" i="1" s="1"/>
  <c r="H1844" i="1" a="1"/>
  <c r="H1844" i="1" s="1"/>
  <c r="H1845" i="1" a="1"/>
  <c r="H1845" i="1" s="1"/>
  <c r="H1846" i="1" a="1"/>
  <c r="H1846" i="1" s="1"/>
  <c r="H1847" i="1" a="1"/>
  <c r="H1847" i="1" s="1"/>
  <c r="H1848" i="1" a="1"/>
  <c r="H1848" i="1" s="1"/>
  <c r="H1849" i="1" a="1"/>
  <c r="H1849" i="1" s="1"/>
  <c r="H1850" i="1" a="1"/>
  <c r="H1850" i="1" s="1"/>
  <c r="H1851" i="1" a="1"/>
  <c r="H1851" i="1" s="1"/>
  <c r="H1852" i="1" a="1"/>
  <c r="H1852" i="1" s="1"/>
  <c r="H1853" i="1" a="1"/>
  <c r="H1853" i="1" s="1"/>
  <c r="H1854" i="1" a="1"/>
  <c r="H1854" i="1" s="1"/>
  <c r="H1855" i="1" a="1"/>
  <c r="H1855" i="1" s="1"/>
  <c r="H1856" i="1" a="1"/>
  <c r="H1856" i="1" s="1"/>
  <c r="H1857" i="1" a="1"/>
  <c r="H1857" i="1" s="1"/>
  <c r="H1858" i="1" a="1"/>
  <c r="H1858" i="1" s="1"/>
  <c r="H1859" i="1" a="1"/>
  <c r="H1859" i="1" s="1"/>
  <c r="H1860" i="1" a="1"/>
  <c r="H1860" i="1" s="1"/>
  <c r="H1861" i="1" a="1"/>
  <c r="H1861" i="1" s="1"/>
  <c r="H1862" i="1" a="1"/>
  <c r="H1862" i="1" s="1"/>
  <c r="H1863" i="1" a="1"/>
  <c r="H1863" i="1" s="1"/>
  <c r="H1864" i="1" a="1"/>
  <c r="H1864" i="1" s="1"/>
  <c r="H1865" i="1" a="1"/>
  <c r="H1865" i="1" s="1"/>
  <c r="H1866" i="1" a="1"/>
  <c r="H1866" i="1" s="1"/>
  <c r="H1867" i="1" a="1"/>
  <c r="H1867" i="1" s="1"/>
  <c r="H1868" i="1" a="1"/>
  <c r="H1868" i="1" s="1"/>
  <c r="H1869" i="1" a="1"/>
  <c r="H1869" i="1" s="1"/>
  <c r="H1870" i="1" a="1"/>
  <c r="H1870" i="1" s="1"/>
  <c r="H1871" i="1" a="1"/>
  <c r="H1871" i="1" s="1"/>
  <c r="H1872" i="1" a="1"/>
  <c r="H1872" i="1" s="1"/>
  <c r="H1873" i="1" a="1"/>
  <c r="H1873" i="1" s="1"/>
  <c r="H1874" i="1" a="1"/>
  <c r="H1874" i="1" s="1"/>
  <c r="H1875" i="1" a="1"/>
  <c r="H1875" i="1" s="1"/>
  <c r="H1876" i="1" a="1"/>
  <c r="H1876" i="1" s="1"/>
  <c r="H1877" i="1" a="1"/>
  <c r="H1877" i="1" s="1"/>
  <c r="H1878" i="1" a="1"/>
  <c r="H1878" i="1" s="1"/>
  <c r="H1879" i="1" a="1"/>
  <c r="H1879" i="1" s="1"/>
  <c r="H1880" i="1" a="1"/>
  <c r="H1880" i="1" s="1"/>
  <c r="H1881" i="1" a="1"/>
  <c r="H1881" i="1" s="1"/>
  <c r="H1882" i="1" a="1"/>
  <c r="H1882" i="1" s="1"/>
  <c r="H1883" i="1" a="1"/>
  <c r="H1883" i="1" s="1"/>
  <c r="H1884" i="1" a="1"/>
  <c r="H1884" i="1" s="1"/>
  <c r="H1885" i="1" a="1"/>
  <c r="H1885" i="1" s="1"/>
  <c r="H1886" i="1" a="1"/>
  <c r="H1886" i="1" s="1"/>
  <c r="H1887" i="1" a="1"/>
  <c r="H1887" i="1" s="1"/>
  <c r="H1888" i="1" a="1"/>
  <c r="H1888" i="1" s="1"/>
  <c r="H1889" i="1" a="1"/>
  <c r="H1889" i="1" s="1"/>
  <c r="H1890" i="1" a="1"/>
  <c r="H1890" i="1" s="1"/>
  <c r="H1891" i="1" a="1"/>
  <c r="H1891" i="1" s="1"/>
  <c r="H1892" i="1" a="1"/>
  <c r="H1892" i="1" s="1"/>
  <c r="H1893" i="1" a="1"/>
  <c r="H1893" i="1" s="1"/>
  <c r="H1894" i="1" a="1"/>
  <c r="H1894" i="1" s="1"/>
  <c r="H1895" i="1" a="1"/>
  <c r="H1895" i="1" s="1"/>
  <c r="H1896" i="1" a="1"/>
  <c r="H1896" i="1" s="1"/>
  <c r="H1897" i="1" a="1"/>
  <c r="H1897" i="1" s="1"/>
  <c r="H1898" i="1" a="1"/>
  <c r="H1898" i="1" s="1"/>
  <c r="H1899" i="1" a="1"/>
  <c r="H1899" i="1" s="1"/>
  <c r="H1900" i="1" a="1"/>
  <c r="H1900" i="1" s="1"/>
  <c r="H1901" i="1" a="1"/>
  <c r="H1901" i="1" s="1"/>
  <c r="H1902" i="1" a="1"/>
  <c r="H1902" i="1" s="1"/>
  <c r="H1903" i="1" a="1"/>
  <c r="H1903" i="1" s="1"/>
  <c r="H1904" i="1" a="1"/>
  <c r="H1904" i="1" s="1"/>
  <c r="H1905" i="1" a="1"/>
  <c r="H1905" i="1" s="1"/>
  <c r="H1906" i="1" a="1"/>
  <c r="H1906" i="1" s="1"/>
  <c r="H1907" i="1" a="1"/>
  <c r="H1907" i="1" s="1"/>
  <c r="H1908" i="1" a="1"/>
  <c r="H1908" i="1" s="1"/>
  <c r="H1909" i="1" a="1"/>
  <c r="H1909" i="1" s="1"/>
  <c r="H1910" i="1" a="1"/>
  <c r="H1910" i="1" s="1"/>
  <c r="H1911" i="1" a="1"/>
  <c r="H1911" i="1" s="1"/>
  <c r="H1912" i="1" a="1"/>
  <c r="H1912" i="1" s="1"/>
  <c r="H1913" i="1" a="1"/>
  <c r="H1913" i="1" s="1"/>
  <c r="H1914" i="1" a="1"/>
  <c r="H1914" i="1" s="1"/>
  <c r="H1915" i="1" a="1"/>
  <c r="H1915" i="1" s="1"/>
  <c r="H1916" i="1" a="1"/>
  <c r="H1916" i="1" s="1"/>
  <c r="H1917" i="1" a="1"/>
  <c r="H1917" i="1" s="1"/>
  <c r="H1918" i="1" a="1"/>
  <c r="H1918" i="1" s="1"/>
  <c r="H1919" i="1" a="1"/>
  <c r="H1919" i="1" s="1"/>
  <c r="H1920" i="1" a="1"/>
  <c r="H1920" i="1" s="1"/>
  <c r="H1921" i="1" a="1"/>
  <c r="H1921" i="1" s="1"/>
  <c r="H1922" i="1" a="1"/>
  <c r="H1922" i="1" s="1"/>
  <c r="H1923" i="1" a="1"/>
  <c r="H1923" i="1" s="1"/>
  <c r="H1924" i="1" a="1"/>
  <c r="H1924" i="1" s="1"/>
  <c r="H1925" i="1" a="1"/>
  <c r="H1925" i="1" s="1"/>
  <c r="H1926" i="1" a="1"/>
  <c r="H1926" i="1" s="1"/>
  <c r="H1927" i="1" a="1"/>
  <c r="H1927" i="1" s="1"/>
  <c r="H1928" i="1" a="1"/>
  <c r="H1928" i="1" s="1"/>
  <c r="H1929" i="1" a="1"/>
  <c r="H1929" i="1" s="1"/>
  <c r="H1930" i="1" a="1"/>
  <c r="H1930" i="1" s="1"/>
  <c r="H1931" i="1" a="1"/>
  <c r="H1931" i="1" s="1"/>
  <c r="H1932" i="1" a="1"/>
  <c r="H1932" i="1" s="1"/>
  <c r="H1933" i="1" a="1"/>
  <c r="H1933" i="1" s="1"/>
  <c r="H1934" i="1" a="1"/>
  <c r="H1934" i="1" s="1"/>
  <c r="H1935" i="1" a="1"/>
  <c r="H1935" i="1" s="1"/>
  <c r="H1936" i="1" a="1"/>
  <c r="H1936" i="1" s="1"/>
  <c r="H1937" i="1" a="1"/>
  <c r="H1937" i="1" s="1"/>
  <c r="H1938" i="1" a="1"/>
  <c r="H1938" i="1" s="1"/>
  <c r="H1939" i="1" a="1"/>
  <c r="H1939" i="1" s="1"/>
  <c r="H1940" i="1" a="1"/>
  <c r="H1940" i="1" s="1"/>
  <c r="H1941" i="1" a="1"/>
  <c r="H1941" i="1" s="1"/>
  <c r="H1942" i="1" a="1"/>
  <c r="H1942" i="1" s="1"/>
  <c r="H1943" i="1" a="1"/>
  <c r="H1943" i="1" s="1"/>
  <c r="H1944" i="1" a="1"/>
  <c r="H1944" i="1" s="1"/>
  <c r="H1945" i="1" a="1"/>
  <c r="H1945" i="1" s="1"/>
  <c r="H1946" i="1" a="1"/>
  <c r="H1946" i="1" s="1"/>
  <c r="H1947" i="1" a="1"/>
  <c r="H1947" i="1" s="1"/>
  <c r="H1948" i="1" a="1"/>
  <c r="H1948" i="1" s="1"/>
  <c r="H1949" i="1" a="1"/>
  <c r="H1949" i="1" s="1"/>
  <c r="H1950" i="1" a="1"/>
  <c r="H1950" i="1" s="1"/>
  <c r="H1951" i="1" a="1"/>
  <c r="H1951" i="1" s="1"/>
  <c r="H1952" i="1" a="1"/>
  <c r="H1952" i="1" s="1"/>
  <c r="H1953" i="1" a="1"/>
  <c r="H1953" i="1" s="1"/>
  <c r="H1954" i="1" a="1"/>
  <c r="H1954" i="1" s="1"/>
  <c r="H1955" i="1" a="1"/>
  <c r="H1955" i="1" s="1"/>
  <c r="H1956" i="1" a="1"/>
  <c r="H1956" i="1" s="1"/>
  <c r="H1957" i="1" a="1"/>
  <c r="H1957" i="1" s="1"/>
  <c r="H1958" i="1" a="1"/>
  <c r="H1958" i="1" s="1"/>
  <c r="H1959" i="1" a="1"/>
  <c r="H1959" i="1" s="1"/>
  <c r="H1960" i="1" a="1"/>
  <c r="H1960" i="1" s="1"/>
  <c r="H1961" i="1" a="1"/>
  <c r="H1961" i="1" s="1"/>
  <c r="H1962" i="1" a="1"/>
  <c r="H1962" i="1" s="1"/>
  <c r="H1963" i="1" a="1"/>
  <c r="H1963" i="1" s="1"/>
  <c r="H1964" i="1" a="1"/>
  <c r="H1964" i="1" s="1"/>
  <c r="H1965" i="1" a="1"/>
  <c r="H1965" i="1" s="1"/>
  <c r="H1966" i="1" a="1"/>
  <c r="H1966" i="1" s="1"/>
  <c r="H1967" i="1" a="1"/>
  <c r="H1967" i="1" s="1"/>
  <c r="H1968" i="1" a="1"/>
  <c r="H1968" i="1" s="1"/>
  <c r="H1969" i="1" a="1"/>
  <c r="H1969" i="1" s="1"/>
  <c r="H1970" i="1" a="1"/>
  <c r="H1970" i="1" s="1"/>
  <c r="H1971" i="1" a="1"/>
  <c r="H1971" i="1" s="1"/>
  <c r="H1972" i="1" a="1"/>
  <c r="H1972" i="1" s="1"/>
  <c r="H1973" i="1" a="1"/>
  <c r="H1973" i="1" s="1"/>
  <c r="H1974" i="1" a="1"/>
  <c r="H1974" i="1" s="1"/>
  <c r="H1975" i="1" a="1"/>
  <c r="H1975" i="1" s="1"/>
  <c r="H1976" i="1" a="1"/>
  <c r="H1976" i="1" s="1"/>
  <c r="H1977" i="1" a="1"/>
  <c r="H1977" i="1" s="1"/>
  <c r="H1978" i="1" a="1"/>
  <c r="H1978" i="1" s="1"/>
  <c r="H1979" i="1" a="1"/>
  <c r="H1979" i="1" s="1"/>
  <c r="H1980" i="1" a="1"/>
  <c r="H1980" i="1" s="1"/>
  <c r="H1981" i="1" a="1"/>
  <c r="H1981" i="1" s="1"/>
  <c r="H1982" i="1" a="1"/>
  <c r="H1982" i="1" s="1"/>
  <c r="H1983" i="1" a="1"/>
  <c r="H1983" i="1" s="1"/>
  <c r="H1984" i="1" a="1"/>
  <c r="H1984" i="1" s="1"/>
  <c r="H1985" i="1" a="1"/>
  <c r="H1985" i="1" s="1"/>
  <c r="H1986" i="1" a="1"/>
  <c r="H1986" i="1" s="1"/>
  <c r="H1987" i="1" a="1"/>
  <c r="H1987" i="1" s="1"/>
  <c r="H1988" i="1" a="1"/>
  <c r="H1988" i="1" s="1"/>
  <c r="H1989" i="1" a="1"/>
  <c r="H1989" i="1" s="1"/>
  <c r="H1990" i="1" a="1"/>
  <c r="H1990" i="1" s="1"/>
  <c r="H1991" i="1" a="1"/>
  <c r="H1991" i="1" s="1"/>
  <c r="H1992" i="1" a="1"/>
  <c r="H1992" i="1" s="1"/>
  <c r="H1993" i="1" a="1"/>
  <c r="H1993" i="1" s="1"/>
  <c r="H1994" i="1" a="1"/>
  <c r="H1994" i="1" s="1"/>
  <c r="H1995" i="1" a="1"/>
  <c r="H1995" i="1" s="1"/>
  <c r="H1996" i="1" a="1"/>
  <c r="H1996" i="1" s="1"/>
  <c r="H1997" i="1" a="1"/>
  <c r="H1997" i="1" s="1"/>
  <c r="H1998" i="1" a="1"/>
  <c r="H1998" i="1" s="1"/>
  <c r="H1999" i="1" a="1"/>
  <c r="H1999" i="1" s="1"/>
  <c r="H2000" i="1" a="1"/>
  <c r="H2000" i="1" s="1"/>
  <c r="H2001" i="1" a="1"/>
  <c r="H2001" i="1" s="1"/>
  <c r="F202" i="1" a="1"/>
  <c r="F202" i="1" s="1"/>
  <c r="F203" i="1" a="1"/>
  <c r="F203" i="1" s="1"/>
  <c r="F204" i="1" a="1"/>
  <c r="F204" i="1" s="1"/>
  <c r="F205" i="1" a="1"/>
  <c r="F205" i="1" s="1"/>
  <c r="F206" i="1" a="1"/>
  <c r="F206" i="1" s="1"/>
  <c r="F207" i="1" a="1"/>
  <c r="F207" i="1" s="1"/>
  <c r="F208" i="1" a="1"/>
  <c r="F208" i="1" s="1"/>
  <c r="F209" i="1" a="1"/>
  <c r="F209" i="1" s="1"/>
  <c r="F210" i="1" a="1"/>
  <c r="F210" i="1" s="1"/>
  <c r="F211" i="1" a="1"/>
  <c r="F211" i="1" s="1"/>
  <c r="F212" i="1" a="1"/>
  <c r="F212" i="1" s="1"/>
  <c r="F213" i="1" a="1"/>
  <c r="F213" i="1" s="1"/>
  <c r="F214" i="1" a="1"/>
  <c r="F214" i="1" s="1"/>
  <c r="F215" i="1" a="1"/>
  <c r="F215" i="1" s="1"/>
  <c r="F216" i="1" a="1"/>
  <c r="F216" i="1" s="1"/>
  <c r="F217" i="1" a="1"/>
  <c r="F217" i="1" s="1"/>
  <c r="F218" i="1" a="1"/>
  <c r="F218" i="1" s="1"/>
  <c r="F219" i="1" a="1"/>
  <c r="F219" i="1" s="1"/>
  <c r="F220" i="1" a="1"/>
  <c r="F220" i="1" s="1"/>
  <c r="F221" i="1" a="1"/>
  <c r="F221" i="1" s="1"/>
  <c r="F222" i="1" a="1"/>
  <c r="F222" i="1" s="1"/>
  <c r="F223" i="1" a="1"/>
  <c r="F223" i="1" s="1"/>
  <c r="F224" i="1" a="1"/>
  <c r="F224" i="1" s="1"/>
  <c r="F225" i="1" a="1"/>
  <c r="F225" i="1" s="1"/>
  <c r="F226" i="1" a="1"/>
  <c r="F226" i="1" s="1"/>
  <c r="F227" i="1" a="1"/>
  <c r="F227" i="1" s="1"/>
  <c r="F228" i="1" a="1"/>
  <c r="F228" i="1" s="1"/>
  <c r="F229" i="1" a="1"/>
  <c r="F229" i="1" s="1"/>
  <c r="F230" i="1" a="1"/>
  <c r="F230" i="1" s="1"/>
  <c r="F231" i="1" a="1"/>
  <c r="F231" i="1" s="1"/>
  <c r="F232" i="1" a="1"/>
  <c r="F232" i="1" s="1"/>
  <c r="F233" i="1" a="1"/>
  <c r="F233" i="1" s="1"/>
  <c r="F234" i="1" a="1"/>
  <c r="F234" i="1" s="1"/>
  <c r="F235" i="1" a="1"/>
  <c r="F235" i="1" s="1"/>
  <c r="F236" i="1" a="1"/>
  <c r="F236" i="1" s="1"/>
  <c r="F237" i="1" a="1"/>
  <c r="F237" i="1" s="1"/>
  <c r="F238" i="1" a="1"/>
  <c r="F238" i="1" s="1"/>
  <c r="F239" i="1" a="1"/>
  <c r="F239" i="1" s="1"/>
  <c r="F240" i="1" a="1"/>
  <c r="F240" i="1" s="1"/>
  <c r="F241" i="1" a="1"/>
  <c r="F241" i="1" s="1"/>
  <c r="F242" i="1" a="1"/>
  <c r="F242" i="1" s="1"/>
  <c r="F243" i="1" a="1"/>
  <c r="F243" i="1" s="1"/>
  <c r="F244" i="1" a="1"/>
  <c r="F244" i="1" s="1"/>
  <c r="F245" i="1" a="1"/>
  <c r="F245" i="1" s="1"/>
  <c r="F246" i="1" a="1"/>
  <c r="F246" i="1" s="1"/>
  <c r="F247" i="1" a="1"/>
  <c r="F247" i="1" s="1"/>
  <c r="F248" i="1" a="1"/>
  <c r="F248" i="1" s="1"/>
  <c r="F249" i="1" a="1"/>
  <c r="F249" i="1" s="1"/>
  <c r="F250" i="1" a="1"/>
  <c r="F250" i="1" s="1"/>
  <c r="F251" i="1" a="1"/>
  <c r="F251" i="1" s="1"/>
  <c r="F252" i="1" a="1"/>
  <c r="F252" i="1" s="1"/>
  <c r="F253" i="1" a="1"/>
  <c r="F253" i="1" s="1"/>
  <c r="F254" i="1" a="1"/>
  <c r="F254" i="1" s="1"/>
  <c r="F255" i="1" a="1"/>
  <c r="F255" i="1" s="1"/>
  <c r="F256" i="1" a="1"/>
  <c r="F256" i="1" s="1"/>
  <c r="F257" i="1" a="1"/>
  <c r="F257" i="1" s="1"/>
  <c r="F258" i="1" a="1"/>
  <c r="F258" i="1" s="1"/>
  <c r="F259" i="1" a="1"/>
  <c r="F259" i="1" s="1"/>
  <c r="F260" i="1" a="1"/>
  <c r="F260" i="1" s="1"/>
  <c r="F261" i="1" a="1"/>
  <c r="F261" i="1" s="1"/>
  <c r="F262" i="1" a="1"/>
  <c r="F262" i="1" s="1"/>
  <c r="F263" i="1" a="1"/>
  <c r="F263" i="1" s="1"/>
  <c r="F264" i="1" a="1"/>
  <c r="F264" i="1" s="1"/>
  <c r="F265" i="1" a="1"/>
  <c r="F265" i="1" s="1"/>
  <c r="F266" i="1" a="1"/>
  <c r="F266" i="1" s="1"/>
  <c r="F267" i="1" a="1"/>
  <c r="F267" i="1" s="1"/>
  <c r="F268" i="1" a="1"/>
  <c r="F268" i="1" s="1"/>
  <c r="F269" i="1" a="1"/>
  <c r="F269" i="1" s="1"/>
  <c r="F270" i="1" a="1"/>
  <c r="F270" i="1" s="1"/>
  <c r="F271" i="1" a="1"/>
  <c r="F271" i="1" s="1"/>
  <c r="F272" i="1" a="1"/>
  <c r="F272" i="1" s="1"/>
  <c r="F273" i="1" a="1"/>
  <c r="F273" i="1" s="1"/>
  <c r="F274" i="1" a="1"/>
  <c r="F274" i="1" s="1"/>
  <c r="F275" i="1" a="1"/>
  <c r="F275" i="1" s="1"/>
  <c r="F276" i="1" a="1"/>
  <c r="F276" i="1" s="1"/>
  <c r="F277" i="1" a="1"/>
  <c r="F277" i="1" s="1"/>
  <c r="F278" i="1" a="1"/>
  <c r="F278" i="1" s="1"/>
  <c r="F279" i="1" a="1"/>
  <c r="F279" i="1" s="1"/>
  <c r="F280" i="1" a="1"/>
  <c r="F280" i="1" s="1"/>
  <c r="F281" i="1" a="1"/>
  <c r="F281" i="1" s="1"/>
  <c r="F282" i="1" a="1"/>
  <c r="F282" i="1" s="1"/>
  <c r="F283" i="1" a="1"/>
  <c r="F283" i="1" s="1"/>
  <c r="F284" i="1" a="1"/>
  <c r="F284" i="1" s="1"/>
  <c r="F285" i="1" a="1"/>
  <c r="F285" i="1" s="1"/>
  <c r="F286" i="1" a="1"/>
  <c r="F286" i="1" s="1"/>
  <c r="F287" i="1" a="1"/>
  <c r="F287" i="1" s="1"/>
  <c r="F288" i="1" a="1"/>
  <c r="F288" i="1" s="1"/>
  <c r="F289" i="1" a="1"/>
  <c r="F289" i="1" s="1"/>
  <c r="F290" i="1" a="1"/>
  <c r="F290" i="1" s="1"/>
  <c r="F291" i="1" a="1"/>
  <c r="F291" i="1" s="1"/>
  <c r="F292" i="1" a="1"/>
  <c r="F292" i="1" s="1"/>
  <c r="F293" i="1" a="1"/>
  <c r="F293" i="1" s="1"/>
  <c r="F294" i="1" a="1"/>
  <c r="F294" i="1" s="1"/>
  <c r="F295" i="1" a="1"/>
  <c r="F295" i="1" s="1"/>
  <c r="F296" i="1" a="1"/>
  <c r="F296" i="1" s="1"/>
  <c r="F297" i="1" a="1"/>
  <c r="F297" i="1" s="1"/>
  <c r="F298" i="1" a="1"/>
  <c r="F298" i="1" s="1"/>
  <c r="F299" i="1" a="1"/>
  <c r="F299" i="1" s="1"/>
  <c r="F300" i="1" a="1"/>
  <c r="F300" i="1" s="1"/>
  <c r="F301" i="1" a="1"/>
  <c r="F301" i="1" s="1"/>
  <c r="F302" i="1" a="1"/>
  <c r="F302" i="1" s="1"/>
  <c r="F303" i="1" a="1"/>
  <c r="F303" i="1" s="1"/>
  <c r="F304" i="1" a="1"/>
  <c r="F304" i="1" s="1"/>
  <c r="F305" i="1" a="1"/>
  <c r="F305" i="1" s="1"/>
  <c r="F306" i="1" a="1"/>
  <c r="F306" i="1" s="1"/>
  <c r="F307" i="1" a="1"/>
  <c r="F307" i="1" s="1"/>
  <c r="F308" i="1" a="1"/>
  <c r="F308" i="1" s="1"/>
  <c r="F309" i="1" a="1"/>
  <c r="F309" i="1" s="1"/>
  <c r="F310" i="1" a="1"/>
  <c r="F310" i="1" s="1"/>
  <c r="F311" i="1" a="1"/>
  <c r="F311" i="1" s="1"/>
  <c r="F312" i="1" a="1"/>
  <c r="F312" i="1" s="1"/>
  <c r="F313" i="1" a="1"/>
  <c r="F313" i="1" s="1"/>
  <c r="F314" i="1" a="1"/>
  <c r="F314" i="1" s="1"/>
  <c r="F315" i="1" a="1"/>
  <c r="F315" i="1" s="1"/>
  <c r="F316" i="1" a="1"/>
  <c r="F316" i="1" s="1"/>
  <c r="F317" i="1" a="1"/>
  <c r="F317" i="1" s="1"/>
  <c r="F318" i="1" a="1"/>
  <c r="F318" i="1" s="1"/>
  <c r="F319" i="1" a="1"/>
  <c r="F319" i="1" s="1"/>
  <c r="F320" i="1" a="1"/>
  <c r="F320" i="1" s="1"/>
  <c r="F321" i="1" a="1"/>
  <c r="F321" i="1" s="1"/>
  <c r="F322" i="1" a="1"/>
  <c r="F322" i="1" s="1"/>
  <c r="F323" i="1" a="1"/>
  <c r="F323" i="1" s="1"/>
  <c r="F324" i="1" a="1"/>
  <c r="F324" i="1" s="1"/>
  <c r="F325" i="1" a="1"/>
  <c r="F325" i="1" s="1"/>
  <c r="F326" i="1" a="1"/>
  <c r="F326" i="1" s="1"/>
  <c r="F327" i="1" a="1"/>
  <c r="F327" i="1" s="1"/>
  <c r="F328" i="1" a="1"/>
  <c r="F328" i="1" s="1"/>
  <c r="F329" i="1" a="1"/>
  <c r="F329" i="1" s="1"/>
  <c r="F330" i="1" a="1"/>
  <c r="F330" i="1" s="1"/>
  <c r="F331" i="1" a="1"/>
  <c r="F331" i="1" s="1"/>
  <c r="F332" i="1" a="1"/>
  <c r="F332" i="1" s="1"/>
  <c r="F333" i="1" a="1"/>
  <c r="F333" i="1" s="1"/>
  <c r="F334" i="1" a="1"/>
  <c r="F334" i="1" s="1"/>
  <c r="F335" i="1" a="1"/>
  <c r="F335" i="1" s="1"/>
  <c r="F336" i="1" a="1"/>
  <c r="F336" i="1" s="1"/>
  <c r="F337" i="1" a="1"/>
  <c r="F337" i="1" s="1"/>
  <c r="F338" i="1" a="1"/>
  <c r="F338" i="1" s="1"/>
  <c r="F339" i="1" a="1"/>
  <c r="F339" i="1" s="1"/>
  <c r="F340" i="1" a="1"/>
  <c r="F340" i="1" s="1"/>
  <c r="F341" i="1" a="1"/>
  <c r="F341" i="1" s="1"/>
  <c r="F342" i="1" a="1"/>
  <c r="F342" i="1" s="1"/>
  <c r="F343" i="1" a="1"/>
  <c r="F343" i="1" s="1"/>
  <c r="F344" i="1" a="1"/>
  <c r="F344" i="1" s="1"/>
  <c r="F345" i="1" a="1"/>
  <c r="F345" i="1" s="1"/>
  <c r="F346" i="1" a="1"/>
  <c r="F346" i="1" s="1"/>
  <c r="F347" i="1" a="1"/>
  <c r="F347" i="1" s="1"/>
  <c r="F348" i="1" a="1"/>
  <c r="F348" i="1" s="1"/>
  <c r="F349" i="1" a="1"/>
  <c r="F349" i="1" s="1"/>
  <c r="F350" i="1" a="1"/>
  <c r="F350" i="1" s="1"/>
  <c r="F351" i="1" a="1"/>
  <c r="F351" i="1" s="1"/>
  <c r="F352" i="1" a="1"/>
  <c r="F352" i="1" s="1"/>
  <c r="F353" i="1" a="1"/>
  <c r="F353" i="1" s="1"/>
  <c r="F354" i="1" a="1"/>
  <c r="F354" i="1" s="1"/>
  <c r="F355" i="1" a="1"/>
  <c r="F355" i="1" s="1"/>
  <c r="F356" i="1" a="1"/>
  <c r="F356" i="1" s="1"/>
  <c r="F357" i="1" a="1"/>
  <c r="F357" i="1" s="1"/>
  <c r="F358" i="1" a="1"/>
  <c r="F358" i="1" s="1"/>
  <c r="F359" i="1" a="1"/>
  <c r="F359" i="1" s="1"/>
  <c r="F360" i="1" a="1"/>
  <c r="F360" i="1" s="1"/>
  <c r="F361" i="1" a="1"/>
  <c r="F361" i="1" s="1"/>
  <c r="F362" i="1" a="1"/>
  <c r="F362" i="1" s="1"/>
  <c r="F363" i="1" a="1"/>
  <c r="F363" i="1" s="1"/>
  <c r="F364" i="1" a="1"/>
  <c r="F364" i="1" s="1"/>
  <c r="F365" i="1" a="1"/>
  <c r="F365" i="1" s="1"/>
  <c r="F366" i="1" a="1"/>
  <c r="F366" i="1" s="1"/>
  <c r="F367" i="1" a="1"/>
  <c r="F367" i="1" s="1"/>
  <c r="F368" i="1" a="1"/>
  <c r="F368" i="1" s="1"/>
  <c r="F369" i="1" a="1"/>
  <c r="F369" i="1" s="1"/>
  <c r="F370" i="1" a="1"/>
  <c r="F370" i="1" s="1"/>
  <c r="F371" i="1" a="1"/>
  <c r="F371" i="1" s="1"/>
  <c r="F372" i="1" a="1"/>
  <c r="F372" i="1" s="1"/>
  <c r="F373" i="1" a="1"/>
  <c r="F373" i="1" s="1"/>
  <c r="F374" i="1" a="1"/>
  <c r="F374" i="1" s="1"/>
  <c r="F375" i="1" a="1"/>
  <c r="F375" i="1" s="1"/>
  <c r="F376" i="1" a="1"/>
  <c r="F376" i="1" s="1"/>
  <c r="F377" i="1" a="1"/>
  <c r="F377" i="1" s="1"/>
  <c r="F378" i="1" a="1"/>
  <c r="F378" i="1" s="1"/>
  <c r="F379" i="1" a="1"/>
  <c r="F379" i="1" s="1"/>
  <c r="F380" i="1" a="1"/>
  <c r="F380" i="1" s="1"/>
  <c r="F381" i="1" a="1"/>
  <c r="F381" i="1" s="1"/>
  <c r="F382" i="1" a="1"/>
  <c r="F382" i="1" s="1"/>
  <c r="F383" i="1" a="1"/>
  <c r="F383" i="1" s="1"/>
  <c r="F384" i="1" a="1"/>
  <c r="F384" i="1" s="1"/>
  <c r="F385" i="1" a="1"/>
  <c r="F385" i="1" s="1"/>
  <c r="F386" i="1" a="1"/>
  <c r="F386" i="1" s="1"/>
  <c r="F387" i="1" a="1"/>
  <c r="F387" i="1" s="1"/>
  <c r="F388" i="1" a="1"/>
  <c r="F388" i="1" s="1"/>
  <c r="F389" i="1" a="1"/>
  <c r="F389" i="1" s="1"/>
  <c r="F390" i="1" a="1"/>
  <c r="F390" i="1" s="1"/>
  <c r="F391" i="1" a="1"/>
  <c r="F391" i="1" s="1"/>
  <c r="F392" i="1" a="1"/>
  <c r="F392" i="1" s="1"/>
  <c r="F393" i="1" a="1"/>
  <c r="F393" i="1" s="1"/>
  <c r="F394" i="1" a="1"/>
  <c r="F394" i="1" s="1"/>
  <c r="F395" i="1" a="1"/>
  <c r="F395" i="1" s="1"/>
  <c r="F396" i="1" a="1"/>
  <c r="F396" i="1" s="1"/>
  <c r="F397" i="1" a="1"/>
  <c r="F397" i="1" s="1"/>
  <c r="F398" i="1" a="1"/>
  <c r="F398" i="1" s="1"/>
  <c r="F399" i="1" a="1"/>
  <c r="F399" i="1" s="1"/>
  <c r="F400" i="1" a="1"/>
  <c r="F400" i="1" s="1"/>
  <c r="F401" i="1" a="1"/>
  <c r="F401" i="1" s="1"/>
  <c r="F402" i="1" a="1"/>
  <c r="F402" i="1" s="1"/>
  <c r="F403" i="1" a="1"/>
  <c r="F403" i="1" s="1"/>
  <c r="F404" i="1" a="1"/>
  <c r="F404" i="1" s="1"/>
  <c r="F405" i="1" a="1"/>
  <c r="F405" i="1" s="1"/>
  <c r="F406" i="1" a="1"/>
  <c r="F406" i="1" s="1"/>
  <c r="F407" i="1" a="1"/>
  <c r="F407" i="1" s="1"/>
  <c r="F408" i="1" a="1"/>
  <c r="F408" i="1" s="1"/>
  <c r="F409" i="1" a="1"/>
  <c r="F409" i="1" s="1"/>
  <c r="F410" i="1" a="1"/>
  <c r="F410" i="1" s="1"/>
  <c r="F411" i="1" a="1"/>
  <c r="F411" i="1" s="1"/>
  <c r="F412" i="1" a="1"/>
  <c r="F412" i="1" s="1"/>
  <c r="F413" i="1" a="1"/>
  <c r="F413" i="1" s="1"/>
  <c r="F414" i="1" a="1"/>
  <c r="F414" i="1" s="1"/>
  <c r="F415" i="1" a="1"/>
  <c r="F415" i="1" s="1"/>
  <c r="F416" i="1" a="1"/>
  <c r="F416" i="1" s="1"/>
  <c r="F417" i="1" a="1"/>
  <c r="F417" i="1" s="1"/>
  <c r="F418" i="1" a="1"/>
  <c r="F418" i="1" s="1"/>
  <c r="F419" i="1" a="1"/>
  <c r="F419" i="1" s="1"/>
  <c r="F420" i="1" a="1"/>
  <c r="F420" i="1" s="1"/>
  <c r="F421" i="1" a="1"/>
  <c r="F421" i="1" s="1"/>
  <c r="F422" i="1" a="1"/>
  <c r="F422" i="1" s="1"/>
  <c r="F423" i="1" a="1"/>
  <c r="F423" i="1" s="1"/>
  <c r="F424" i="1" a="1"/>
  <c r="F424" i="1" s="1"/>
  <c r="F425" i="1" a="1"/>
  <c r="F425" i="1" s="1"/>
  <c r="F426" i="1" a="1"/>
  <c r="F426" i="1" s="1"/>
  <c r="F427" i="1" a="1"/>
  <c r="F427" i="1" s="1"/>
  <c r="F428" i="1" a="1"/>
  <c r="F428" i="1" s="1"/>
  <c r="F429" i="1" a="1"/>
  <c r="F429" i="1" s="1"/>
  <c r="F430" i="1" a="1"/>
  <c r="F430" i="1" s="1"/>
  <c r="F431" i="1" a="1"/>
  <c r="F431" i="1" s="1"/>
  <c r="F432" i="1" a="1"/>
  <c r="F432" i="1" s="1"/>
  <c r="F433" i="1" a="1"/>
  <c r="F433" i="1" s="1"/>
  <c r="F434" i="1" a="1"/>
  <c r="F434" i="1" s="1"/>
  <c r="F435" i="1" a="1"/>
  <c r="F435" i="1" s="1"/>
  <c r="F436" i="1" a="1"/>
  <c r="F436" i="1" s="1"/>
  <c r="F437" i="1" a="1"/>
  <c r="F437" i="1" s="1"/>
  <c r="F438" i="1" a="1"/>
  <c r="F438" i="1" s="1"/>
  <c r="F439" i="1" a="1"/>
  <c r="F439" i="1" s="1"/>
  <c r="F440" i="1" a="1"/>
  <c r="F440" i="1" s="1"/>
  <c r="F441" i="1" a="1"/>
  <c r="F441" i="1" s="1"/>
  <c r="F442" i="1" a="1"/>
  <c r="F442" i="1" s="1"/>
  <c r="F443" i="1" a="1"/>
  <c r="F443" i="1" s="1"/>
  <c r="F444" i="1" a="1"/>
  <c r="F444" i="1" s="1"/>
  <c r="F445" i="1" a="1"/>
  <c r="F445" i="1" s="1"/>
  <c r="F446" i="1" a="1"/>
  <c r="F446" i="1" s="1"/>
  <c r="F447" i="1" a="1"/>
  <c r="F447" i="1" s="1"/>
  <c r="F448" i="1" a="1"/>
  <c r="F448" i="1" s="1"/>
  <c r="F449" i="1" a="1"/>
  <c r="F449" i="1" s="1"/>
  <c r="F450" i="1" a="1"/>
  <c r="F450" i="1" s="1"/>
  <c r="F451" i="1" a="1"/>
  <c r="F451" i="1" s="1"/>
  <c r="F452" i="1" a="1"/>
  <c r="F452" i="1" s="1"/>
  <c r="F453" i="1" a="1"/>
  <c r="F453" i="1" s="1"/>
  <c r="F454" i="1" a="1"/>
  <c r="F454" i="1" s="1"/>
  <c r="F455" i="1" a="1"/>
  <c r="F455" i="1" s="1"/>
  <c r="F456" i="1" a="1"/>
  <c r="F456" i="1" s="1"/>
  <c r="F457" i="1" a="1"/>
  <c r="F457" i="1" s="1"/>
  <c r="F458" i="1" a="1"/>
  <c r="F458" i="1" s="1"/>
  <c r="F459" i="1" a="1"/>
  <c r="F459" i="1" s="1"/>
  <c r="F460" i="1" a="1"/>
  <c r="F460" i="1" s="1"/>
  <c r="F461" i="1" a="1"/>
  <c r="F461" i="1" s="1"/>
  <c r="F462" i="1" a="1"/>
  <c r="F462" i="1" s="1"/>
  <c r="F463" i="1" a="1"/>
  <c r="F463" i="1" s="1"/>
  <c r="F464" i="1" a="1"/>
  <c r="F464" i="1" s="1"/>
  <c r="F465" i="1" a="1"/>
  <c r="F465" i="1" s="1"/>
  <c r="F466" i="1" a="1"/>
  <c r="F466" i="1" s="1"/>
  <c r="F467" i="1" a="1"/>
  <c r="F467" i="1" s="1"/>
  <c r="F468" i="1" a="1"/>
  <c r="F468" i="1" s="1"/>
  <c r="F469" i="1" a="1"/>
  <c r="F469" i="1" s="1"/>
  <c r="F470" i="1" a="1"/>
  <c r="F470" i="1" s="1"/>
  <c r="F471" i="1" a="1"/>
  <c r="F471" i="1" s="1"/>
  <c r="F472" i="1" a="1"/>
  <c r="F472" i="1" s="1"/>
  <c r="F473" i="1" a="1"/>
  <c r="F473" i="1" s="1"/>
  <c r="F474" i="1" a="1"/>
  <c r="F474" i="1" s="1"/>
  <c r="F475" i="1" a="1"/>
  <c r="F475" i="1" s="1"/>
  <c r="F476" i="1" a="1"/>
  <c r="F476" i="1" s="1"/>
  <c r="F477" i="1" a="1"/>
  <c r="F477" i="1" s="1"/>
  <c r="F478" i="1" a="1"/>
  <c r="F478" i="1" s="1"/>
  <c r="F479" i="1" a="1"/>
  <c r="F479" i="1" s="1"/>
  <c r="F480" i="1" a="1"/>
  <c r="F480" i="1" s="1"/>
  <c r="F481" i="1" a="1"/>
  <c r="F481" i="1" s="1"/>
  <c r="F482" i="1" a="1"/>
  <c r="F482" i="1" s="1"/>
  <c r="F483" i="1" a="1"/>
  <c r="F483" i="1" s="1"/>
  <c r="F484" i="1" a="1"/>
  <c r="F484" i="1" s="1"/>
  <c r="F485" i="1" a="1"/>
  <c r="F485" i="1" s="1"/>
  <c r="F486" i="1" a="1"/>
  <c r="F486" i="1" s="1"/>
  <c r="F487" i="1" a="1"/>
  <c r="F487" i="1" s="1"/>
  <c r="F488" i="1" a="1"/>
  <c r="F488" i="1" s="1"/>
  <c r="F489" i="1" a="1"/>
  <c r="F489" i="1" s="1"/>
  <c r="F490" i="1" a="1"/>
  <c r="F490" i="1" s="1"/>
  <c r="F491" i="1" a="1"/>
  <c r="F491" i="1" s="1"/>
  <c r="F492" i="1" a="1"/>
  <c r="F492" i="1" s="1"/>
  <c r="F493" i="1" a="1"/>
  <c r="F493" i="1" s="1"/>
  <c r="F494" i="1" a="1"/>
  <c r="F494" i="1" s="1"/>
  <c r="F495" i="1" a="1"/>
  <c r="F495" i="1" s="1"/>
  <c r="F496" i="1" a="1"/>
  <c r="F496" i="1" s="1"/>
  <c r="F497" i="1" a="1"/>
  <c r="F497" i="1" s="1"/>
  <c r="F498" i="1" a="1"/>
  <c r="F498" i="1" s="1"/>
  <c r="F499" i="1" a="1"/>
  <c r="F499" i="1" s="1"/>
  <c r="F500" i="1" a="1"/>
  <c r="F500" i="1" s="1"/>
  <c r="F501" i="1" a="1"/>
  <c r="F501" i="1" s="1"/>
  <c r="F502" i="1" a="1"/>
  <c r="F502" i="1" s="1"/>
  <c r="F503" i="1" a="1"/>
  <c r="F503" i="1" s="1"/>
  <c r="F504" i="1" a="1"/>
  <c r="F504" i="1" s="1"/>
  <c r="F505" i="1" a="1"/>
  <c r="F505" i="1" s="1"/>
  <c r="F506" i="1" a="1"/>
  <c r="F506" i="1" s="1"/>
  <c r="F507" i="1" a="1"/>
  <c r="F507" i="1" s="1"/>
  <c r="F508" i="1" a="1"/>
  <c r="F508" i="1" s="1"/>
  <c r="F509" i="1" a="1"/>
  <c r="F509" i="1" s="1"/>
  <c r="F510" i="1" a="1"/>
  <c r="F510" i="1" s="1"/>
  <c r="F511" i="1" a="1"/>
  <c r="F511" i="1" s="1"/>
  <c r="F512" i="1" a="1"/>
  <c r="F512" i="1" s="1"/>
  <c r="F513" i="1" a="1"/>
  <c r="F513" i="1" s="1"/>
  <c r="F514" i="1" a="1"/>
  <c r="F514" i="1" s="1"/>
  <c r="F515" i="1" a="1"/>
  <c r="F515" i="1" s="1"/>
  <c r="F516" i="1" a="1"/>
  <c r="F516" i="1" s="1"/>
  <c r="F517" i="1" a="1"/>
  <c r="F517" i="1" s="1"/>
  <c r="F518" i="1" a="1"/>
  <c r="F518" i="1" s="1"/>
  <c r="F519" i="1" a="1"/>
  <c r="F519" i="1" s="1"/>
  <c r="F520" i="1" a="1"/>
  <c r="F520" i="1" s="1"/>
  <c r="F521" i="1" a="1"/>
  <c r="F521" i="1" s="1"/>
  <c r="F522" i="1" a="1"/>
  <c r="F522" i="1" s="1"/>
  <c r="F523" i="1" a="1"/>
  <c r="F523" i="1" s="1"/>
  <c r="F524" i="1" a="1"/>
  <c r="F524" i="1" s="1"/>
  <c r="F525" i="1" a="1"/>
  <c r="F525" i="1" s="1"/>
  <c r="F526" i="1" a="1"/>
  <c r="F526" i="1" s="1"/>
  <c r="F527" i="1" a="1"/>
  <c r="F527" i="1" s="1"/>
  <c r="F528" i="1" a="1"/>
  <c r="F528" i="1" s="1"/>
  <c r="F529" i="1" a="1"/>
  <c r="F529" i="1" s="1"/>
  <c r="F530" i="1" a="1"/>
  <c r="F530" i="1" s="1"/>
  <c r="F531" i="1" a="1"/>
  <c r="F531" i="1" s="1"/>
  <c r="F532" i="1" a="1"/>
  <c r="F532" i="1" s="1"/>
  <c r="F533" i="1" a="1"/>
  <c r="F533" i="1" s="1"/>
  <c r="F534" i="1" a="1"/>
  <c r="F534" i="1" s="1"/>
  <c r="F535" i="1" a="1"/>
  <c r="F535" i="1" s="1"/>
  <c r="F536" i="1" a="1"/>
  <c r="F536" i="1" s="1"/>
  <c r="F537" i="1" a="1"/>
  <c r="F537" i="1" s="1"/>
  <c r="F538" i="1" a="1"/>
  <c r="F538" i="1" s="1"/>
  <c r="F539" i="1" a="1"/>
  <c r="F539" i="1" s="1"/>
  <c r="F540" i="1" a="1"/>
  <c r="F540" i="1" s="1"/>
  <c r="F541" i="1" a="1"/>
  <c r="F541" i="1" s="1"/>
  <c r="F542" i="1" a="1"/>
  <c r="F542" i="1" s="1"/>
  <c r="F543" i="1" a="1"/>
  <c r="F543" i="1" s="1"/>
  <c r="F544" i="1" a="1"/>
  <c r="F544" i="1" s="1"/>
  <c r="F545" i="1" a="1"/>
  <c r="F545" i="1" s="1"/>
  <c r="F546" i="1" a="1"/>
  <c r="F546" i="1" s="1"/>
  <c r="F547" i="1" a="1"/>
  <c r="F547" i="1" s="1"/>
  <c r="F548" i="1" a="1"/>
  <c r="F548" i="1" s="1"/>
  <c r="F549" i="1" a="1"/>
  <c r="F549" i="1" s="1"/>
  <c r="F550" i="1" a="1"/>
  <c r="F550" i="1" s="1"/>
  <c r="F551" i="1" a="1"/>
  <c r="F551" i="1" s="1"/>
  <c r="F552" i="1" a="1"/>
  <c r="F552" i="1" s="1"/>
  <c r="F553" i="1" a="1"/>
  <c r="F553" i="1" s="1"/>
  <c r="F554" i="1" a="1"/>
  <c r="F554" i="1" s="1"/>
  <c r="F555" i="1" a="1"/>
  <c r="F555" i="1" s="1"/>
  <c r="F556" i="1" a="1"/>
  <c r="F556" i="1" s="1"/>
  <c r="F557" i="1" a="1"/>
  <c r="F557" i="1" s="1"/>
  <c r="F558" i="1" a="1"/>
  <c r="F558" i="1" s="1"/>
  <c r="F559" i="1" a="1"/>
  <c r="F559" i="1" s="1"/>
  <c r="F560" i="1" a="1"/>
  <c r="F560" i="1" s="1"/>
  <c r="F561" i="1" a="1"/>
  <c r="F561" i="1" s="1"/>
  <c r="F562" i="1" a="1"/>
  <c r="F562" i="1" s="1"/>
  <c r="F563" i="1" a="1"/>
  <c r="F563" i="1" s="1"/>
  <c r="F564" i="1" a="1"/>
  <c r="F564" i="1" s="1"/>
  <c r="F565" i="1" a="1"/>
  <c r="F565" i="1" s="1"/>
  <c r="F566" i="1" a="1"/>
  <c r="F566" i="1" s="1"/>
  <c r="F567" i="1" a="1"/>
  <c r="F567" i="1" s="1"/>
  <c r="F568" i="1" a="1"/>
  <c r="F568" i="1" s="1"/>
  <c r="F569" i="1" a="1"/>
  <c r="F569" i="1" s="1"/>
  <c r="F570" i="1" a="1"/>
  <c r="F570" i="1" s="1"/>
  <c r="F571" i="1" a="1"/>
  <c r="F571" i="1" s="1"/>
  <c r="F572" i="1" a="1"/>
  <c r="F572" i="1" s="1"/>
  <c r="F573" i="1" a="1"/>
  <c r="F573" i="1" s="1"/>
  <c r="F574" i="1" a="1"/>
  <c r="F574" i="1" s="1"/>
  <c r="F575" i="1" a="1"/>
  <c r="F575" i="1" s="1"/>
  <c r="F576" i="1" a="1"/>
  <c r="F576" i="1" s="1"/>
  <c r="F577" i="1" a="1"/>
  <c r="F577" i="1" s="1"/>
  <c r="F578" i="1" a="1"/>
  <c r="F578" i="1" s="1"/>
  <c r="F579" i="1" a="1"/>
  <c r="F579" i="1" s="1"/>
  <c r="F580" i="1" a="1"/>
  <c r="F580" i="1" s="1"/>
  <c r="F581" i="1" a="1"/>
  <c r="F581" i="1" s="1"/>
  <c r="F582" i="1" a="1"/>
  <c r="F582" i="1" s="1"/>
  <c r="F583" i="1" a="1"/>
  <c r="F583" i="1" s="1"/>
  <c r="F584" i="1" a="1"/>
  <c r="F584" i="1" s="1"/>
  <c r="F585" i="1" a="1"/>
  <c r="F585" i="1" s="1"/>
  <c r="F586" i="1" a="1"/>
  <c r="F586" i="1" s="1"/>
  <c r="F587" i="1" a="1"/>
  <c r="F587" i="1" s="1"/>
  <c r="F588" i="1" a="1"/>
  <c r="F588" i="1" s="1"/>
  <c r="F589" i="1" a="1"/>
  <c r="F589" i="1" s="1"/>
  <c r="F590" i="1" a="1"/>
  <c r="F590" i="1" s="1"/>
  <c r="F591" i="1" a="1"/>
  <c r="F591" i="1" s="1"/>
  <c r="F592" i="1" a="1"/>
  <c r="F592" i="1" s="1"/>
  <c r="F593" i="1" a="1"/>
  <c r="F593" i="1" s="1"/>
  <c r="F594" i="1" a="1"/>
  <c r="F594" i="1" s="1"/>
  <c r="F595" i="1" a="1"/>
  <c r="F595" i="1" s="1"/>
  <c r="F596" i="1" a="1"/>
  <c r="F596" i="1" s="1"/>
  <c r="F597" i="1" a="1"/>
  <c r="F597" i="1" s="1"/>
  <c r="F598" i="1" a="1"/>
  <c r="F598" i="1" s="1"/>
  <c r="F599" i="1" a="1"/>
  <c r="F599" i="1" s="1"/>
  <c r="F600" i="1" a="1"/>
  <c r="F600" i="1" s="1"/>
  <c r="F601" i="1" a="1"/>
  <c r="F601" i="1" s="1"/>
  <c r="F602" i="1" a="1"/>
  <c r="F602" i="1" s="1"/>
  <c r="F603" i="1" a="1"/>
  <c r="F603" i="1" s="1"/>
  <c r="F604" i="1" a="1"/>
  <c r="F604" i="1" s="1"/>
  <c r="F605" i="1" a="1"/>
  <c r="F605" i="1" s="1"/>
  <c r="F606" i="1" a="1"/>
  <c r="F606" i="1" s="1"/>
  <c r="F607" i="1" a="1"/>
  <c r="F607" i="1" s="1"/>
  <c r="F608" i="1" a="1"/>
  <c r="F608" i="1" s="1"/>
  <c r="F609" i="1" a="1"/>
  <c r="F609" i="1" s="1"/>
  <c r="F610" i="1" a="1"/>
  <c r="F610" i="1" s="1"/>
  <c r="F611" i="1" a="1"/>
  <c r="F611" i="1" s="1"/>
  <c r="F612" i="1" a="1"/>
  <c r="F612" i="1" s="1"/>
  <c r="F613" i="1" a="1"/>
  <c r="F613" i="1" s="1"/>
  <c r="F614" i="1" a="1"/>
  <c r="F614" i="1" s="1"/>
  <c r="F615" i="1" a="1"/>
  <c r="F615" i="1" s="1"/>
  <c r="F616" i="1" a="1"/>
  <c r="F616" i="1" s="1"/>
  <c r="F617" i="1" a="1"/>
  <c r="F617" i="1" s="1"/>
  <c r="F618" i="1" a="1"/>
  <c r="F618" i="1" s="1"/>
  <c r="F619" i="1" a="1"/>
  <c r="F619" i="1" s="1"/>
  <c r="F620" i="1" a="1"/>
  <c r="F620" i="1" s="1"/>
  <c r="F621" i="1" a="1"/>
  <c r="F621" i="1" s="1"/>
  <c r="F622" i="1" a="1"/>
  <c r="F622" i="1" s="1"/>
  <c r="F623" i="1" a="1"/>
  <c r="F623" i="1" s="1"/>
  <c r="F624" i="1" a="1"/>
  <c r="F624" i="1" s="1"/>
  <c r="F625" i="1" a="1"/>
  <c r="F625" i="1" s="1"/>
  <c r="F626" i="1" a="1"/>
  <c r="F626" i="1" s="1"/>
  <c r="F627" i="1" a="1"/>
  <c r="F627" i="1" s="1"/>
  <c r="F628" i="1" a="1"/>
  <c r="F628" i="1" s="1"/>
  <c r="F629" i="1" a="1"/>
  <c r="F629" i="1" s="1"/>
  <c r="F630" i="1" a="1"/>
  <c r="F630" i="1" s="1"/>
  <c r="F631" i="1" a="1"/>
  <c r="F631" i="1" s="1"/>
  <c r="F632" i="1" a="1"/>
  <c r="F632" i="1" s="1"/>
  <c r="F633" i="1" a="1"/>
  <c r="F633" i="1" s="1"/>
  <c r="F634" i="1" a="1"/>
  <c r="F634" i="1" s="1"/>
  <c r="F635" i="1" a="1"/>
  <c r="F635" i="1" s="1"/>
  <c r="F636" i="1" a="1"/>
  <c r="F636" i="1" s="1"/>
  <c r="F637" i="1" a="1"/>
  <c r="F637" i="1" s="1"/>
  <c r="F638" i="1" a="1"/>
  <c r="F638" i="1" s="1"/>
  <c r="F639" i="1" a="1"/>
  <c r="F639" i="1" s="1"/>
  <c r="F640" i="1" a="1"/>
  <c r="F640" i="1" s="1"/>
  <c r="F641" i="1" a="1"/>
  <c r="F641" i="1" s="1"/>
  <c r="F642" i="1" a="1"/>
  <c r="F642" i="1" s="1"/>
  <c r="F643" i="1" a="1"/>
  <c r="F643" i="1" s="1"/>
  <c r="F644" i="1" a="1"/>
  <c r="F644" i="1" s="1"/>
  <c r="F645" i="1" a="1"/>
  <c r="F645" i="1" s="1"/>
  <c r="F646" i="1" a="1"/>
  <c r="F646" i="1" s="1"/>
  <c r="F647" i="1" a="1"/>
  <c r="F647" i="1" s="1"/>
  <c r="F648" i="1" a="1"/>
  <c r="F648" i="1" s="1"/>
  <c r="F649" i="1" a="1"/>
  <c r="F649" i="1" s="1"/>
  <c r="F650" i="1" a="1"/>
  <c r="F650" i="1" s="1"/>
  <c r="F651" i="1" a="1"/>
  <c r="F651" i="1" s="1"/>
  <c r="F652" i="1" a="1"/>
  <c r="F652" i="1" s="1"/>
  <c r="F653" i="1" a="1"/>
  <c r="F653" i="1" s="1"/>
  <c r="F654" i="1" a="1"/>
  <c r="F654" i="1" s="1"/>
  <c r="F655" i="1" a="1"/>
  <c r="F655" i="1" s="1"/>
  <c r="F656" i="1" a="1"/>
  <c r="F656" i="1" s="1"/>
  <c r="F657" i="1" a="1"/>
  <c r="F657" i="1" s="1"/>
  <c r="F658" i="1" a="1"/>
  <c r="F658" i="1" s="1"/>
  <c r="F659" i="1" a="1"/>
  <c r="F659" i="1" s="1"/>
  <c r="F660" i="1" a="1"/>
  <c r="F660" i="1" s="1"/>
  <c r="F661" i="1" a="1"/>
  <c r="F661" i="1" s="1"/>
  <c r="F662" i="1" a="1"/>
  <c r="F662" i="1" s="1"/>
  <c r="F663" i="1" a="1"/>
  <c r="F663" i="1" s="1"/>
  <c r="F664" i="1" a="1"/>
  <c r="F664" i="1" s="1"/>
  <c r="F665" i="1" a="1"/>
  <c r="F665" i="1" s="1"/>
  <c r="F666" i="1" a="1"/>
  <c r="F666" i="1" s="1"/>
  <c r="F667" i="1" a="1"/>
  <c r="F667" i="1" s="1"/>
  <c r="F668" i="1" a="1"/>
  <c r="F668" i="1" s="1"/>
  <c r="F669" i="1" a="1"/>
  <c r="F669" i="1" s="1"/>
  <c r="F670" i="1" a="1"/>
  <c r="F670" i="1" s="1"/>
  <c r="F671" i="1" a="1"/>
  <c r="F671" i="1" s="1"/>
  <c r="F672" i="1" a="1"/>
  <c r="F672" i="1" s="1"/>
  <c r="F673" i="1" a="1"/>
  <c r="F673" i="1" s="1"/>
  <c r="F674" i="1" a="1"/>
  <c r="F674" i="1" s="1"/>
  <c r="F675" i="1" a="1"/>
  <c r="F675" i="1" s="1"/>
  <c r="F676" i="1" a="1"/>
  <c r="F676" i="1" s="1"/>
  <c r="F677" i="1" a="1"/>
  <c r="F677" i="1" s="1"/>
  <c r="F678" i="1" a="1"/>
  <c r="F678" i="1" s="1"/>
  <c r="F679" i="1" a="1"/>
  <c r="F679" i="1" s="1"/>
  <c r="F680" i="1" a="1"/>
  <c r="F680" i="1" s="1"/>
  <c r="F681" i="1" a="1"/>
  <c r="F681" i="1" s="1"/>
  <c r="F682" i="1" a="1"/>
  <c r="F682" i="1" s="1"/>
  <c r="F683" i="1" a="1"/>
  <c r="F683" i="1" s="1"/>
  <c r="F684" i="1" a="1"/>
  <c r="F684" i="1" s="1"/>
  <c r="F685" i="1" a="1"/>
  <c r="F685" i="1" s="1"/>
  <c r="F686" i="1" a="1"/>
  <c r="F686" i="1" s="1"/>
  <c r="F687" i="1" a="1"/>
  <c r="F687" i="1" s="1"/>
  <c r="F688" i="1" a="1"/>
  <c r="F688" i="1" s="1"/>
  <c r="F689" i="1" a="1"/>
  <c r="F689" i="1" s="1"/>
  <c r="F690" i="1" a="1"/>
  <c r="F690" i="1" s="1"/>
  <c r="F691" i="1" a="1"/>
  <c r="F691" i="1" s="1"/>
  <c r="F692" i="1" a="1"/>
  <c r="F692" i="1" s="1"/>
  <c r="F693" i="1" a="1"/>
  <c r="F693" i="1" s="1"/>
  <c r="F694" i="1" a="1"/>
  <c r="F694" i="1" s="1"/>
  <c r="F695" i="1" a="1"/>
  <c r="F695" i="1" s="1"/>
  <c r="F696" i="1" a="1"/>
  <c r="F696" i="1" s="1"/>
  <c r="F697" i="1" a="1"/>
  <c r="F697" i="1" s="1"/>
  <c r="F698" i="1" a="1"/>
  <c r="F698" i="1" s="1"/>
  <c r="F699" i="1" a="1"/>
  <c r="F699" i="1" s="1"/>
  <c r="F700" i="1" a="1"/>
  <c r="F700" i="1" s="1"/>
  <c r="F701" i="1" a="1"/>
  <c r="F701" i="1" s="1"/>
  <c r="F702" i="1" a="1"/>
  <c r="F702" i="1" s="1"/>
  <c r="F703" i="1" a="1"/>
  <c r="F703" i="1" s="1"/>
  <c r="F704" i="1" a="1"/>
  <c r="F704" i="1" s="1"/>
  <c r="F705" i="1" a="1"/>
  <c r="F705" i="1" s="1"/>
  <c r="F706" i="1" a="1"/>
  <c r="F706" i="1" s="1"/>
  <c r="F707" i="1" a="1"/>
  <c r="F707" i="1" s="1"/>
  <c r="F708" i="1" a="1"/>
  <c r="F708" i="1" s="1"/>
  <c r="F709" i="1" a="1"/>
  <c r="F709" i="1" s="1"/>
  <c r="F710" i="1" a="1"/>
  <c r="F710" i="1" s="1"/>
  <c r="F711" i="1" a="1"/>
  <c r="F711" i="1" s="1"/>
  <c r="F712" i="1" a="1"/>
  <c r="F712" i="1" s="1"/>
  <c r="F713" i="1" a="1"/>
  <c r="F713" i="1" s="1"/>
  <c r="F714" i="1" a="1"/>
  <c r="F714" i="1" s="1"/>
  <c r="F715" i="1" a="1"/>
  <c r="F715" i="1" s="1"/>
  <c r="F716" i="1" a="1"/>
  <c r="F716" i="1" s="1"/>
  <c r="F717" i="1" a="1"/>
  <c r="F717" i="1" s="1"/>
  <c r="F718" i="1" a="1"/>
  <c r="F718" i="1" s="1"/>
  <c r="F719" i="1" a="1"/>
  <c r="F719" i="1" s="1"/>
  <c r="F720" i="1" a="1"/>
  <c r="F720" i="1" s="1"/>
  <c r="F721" i="1" a="1"/>
  <c r="F721" i="1" s="1"/>
  <c r="F722" i="1" a="1"/>
  <c r="F722" i="1" s="1"/>
  <c r="F723" i="1" a="1"/>
  <c r="F723" i="1" s="1"/>
  <c r="F724" i="1" a="1"/>
  <c r="F724" i="1" s="1"/>
  <c r="F725" i="1" a="1"/>
  <c r="F725" i="1" s="1"/>
  <c r="F726" i="1" a="1"/>
  <c r="F726" i="1" s="1"/>
  <c r="F727" i="1" a="1"/>
  <c r="F727" i="1" s="1"/>
  <c r="F728" i="1" a="1"/>
  <c r="F728" i="1" s="1"/>
  <c r="F729" i="1" a="1"/>
  <c r="F729" i="1" s="1"/>
  <c r="F730" i="1" a="1"/>
  <c r="F730" i="1" s="1"/>
  <c r="F731" i="1" a="1"/>
  <c r="F731" i="1" s="1"/>
  <c r="F732" i="1" a="1"/>
  <c r="F732" i="1" s="1"/>
  <c r="F733" i="1" a="1"/>
  <c r="F733" i="1" s="1"/>
  <c r="F734" i="1" a="1"/>
  <c r="F734" i="1" s="1"/>
  <c r="F735" i="1" a="1"/>
  <c r="F735" i="1" s="1"/>
  <c r="F736" i="1" a="1"/>
  <c r="F736" i="1" s="1"/>
  <c r="F737" i="1" a="1"/>
  <c r="F737" i="1" s="1"/>
  <c r="F738" i="1" a="1"/>
  <c r="F738" i="1" s="1"/>
  <c r="F739" i="1" a="1"/>
  <c r="F739" i="1" s="1"/>
  <c r="F740" i="1" a="1"/>
  <c r="F740" i="1" s="1"/>
  <c r="F741" i="1" a="1"/>
  <c r="F741" i="1" s="1"/>
  <c r="F742" i="1" a="1"/>
  <c r="F742" i="1" s="1"/>
  <c r="F743" i="1" a="1"/>
  <c r="F743" i="1" s="1"/>
  <c r="F744" i="1" a="1"/>
  <c r="F744" i="1" s="1"/>
  <c r="F745" i="1" a="1"/>
  <c r="F745" i="1" s="1"/>
  <c r="F746" i="1" a="1"/>
  <c r="F746" i="1" s="1"/>
  <c r="F747" i="1" a="1"/>
  <c r="F747" i="1" s="1"/>
  <c r="F748" i="1" a="1"/>
  <c r="F748" i="1" s="1"/>
  <c r="F749" i="1" a="1"/>
  <c r="F749" i="1" s="1"/>
  <c r="F750" i="1" a="1"/>
  <c r="F750" i="1" s="1"/>
  <c r="F751" i="1" a="1"/>
  <c r="F751" i="1" s="1"/>
  <c r="F752" i="1" a="1"/>
  <c r="F752" i="1" s="1"/>
  <c r="F753" i="1" a="1"/>
  <c r="F753" i="1" s="1"/>
  <c r="F754" i="1" a="1"/>
  <c r="F754" i="1" s="1"/>
  <c r="F755" i="1" a="1"/>
  <c r="F755" i="1" s="1"/>
  <c r="F756" i="1" a="1"/>
  <c r="F756" i="1" s="1"/>
  <c r="F757" i="1" a="1"/>
  <c r="F757" i="1" s="1"/>
  <c r="F758" i="1" a="1"/>
  <c r="F758" i="1" s="1"/>
  <c r="F759" i="1" a="1"/>
  <c r="F759" i="1" s="1"/>
  <c r="F760" i="1" a="1"/>
  <c r="F760" i="1" s="1"/>
  <c r="F761" i="1" a="1"/>
  <c r="F761" i="1" s="1"/>
  <c r="F762" i="1" a="1"/>
  <c r="F762" i="1" s="1"/>
  <c r="F763" i="1" a="1"/>
  <c r="F763" i="1" s="1"/>
  <c r="F764" i="1" a="1"/>
  <c r="F764" i="1" s="1"/>
  <c r="F765" i="1" a="1"/>
  <c r="F765" i="1" s="1"/>
  <c r="F766" i="1" a="1"/>
  <c r="F766" i="1" s="1"/>
  <c r="F767" i="1" a="1"/>
  <c r="F767" i="1" s="1"/>
  <c r="F768" i="1" a="1"/>
  <c r="F768" i="1" s="1"/>
  <c r="F769" i="1" a="1"/>
  <c r="F769" i="1" s="1"/>
  <c r="F770" i="1" a="1"/>
  <c r="F770" i="1" s="1"/>
  <c r="F771" i="1" a="1"/>
  <c r="F771" i="1" s="1"/>
  <c r="F772" i="1" a="1"/>
  <c r="F772" i="1" s="1"/>
  <c r="F773" i="1" a="1"/>
  <c r="F773" i="1" s="1"/>
  <c r="F774" i="1" a="1"/>
  <c r="F774" i="1" s="1"/>
  <c r="F775" i="1" a="1"/>
  <c r="F775" i="1" s="1"/>
  <c r="F776" i="1" a="1"/>
  <c r="F776" i="1" s="1"/>
  <c r="F777" i="1" a="1"/>
  <c r="F777" i="1" s="1"/>
  <c r="F778" i="1" a="1"/>
  <c r="F778" i="1" s="1"/>
  <c r="F779" i="1" a="1"/>
  <c r="F779" i="1" s="1"/>
  <c r="F780" i="1" a="1"/>
  <c r="F780" i="1" s="1"/>
  <c r="F781" i="1" a="1"/>
  <c r="F781" i="1" s="1"/>
  <c r="F782" i="1" a="1"/>
  <c r="F782" i="1" s="1"/>
  <c r="F783" i="1" a="1"/>
  <c r="F783" i="1" s="1"/>
  <c r="F784" i="1" a="1"/>
  <c r="F784" i="1" s="1"/>
  <c r="F785" i="1" a="1"/>
  <c r="F785" i="1" s="1"/>
  <c r="F786" i="1" a="1"/>
  <c r="F786" i="1" s="1"/>
  <c r="F787" i="1" a="1"/>
  <c r="F787" i="1" s="1"/>
  <c r="F788" i="1" a="1"/>
  <c r="F788" i="1" s="1"/>
  <c r="F789" i="1" a="1"/>
  <c r="F789" i="1" s="1"/>
  <c r="F790" i="1" a="1"/>
  <c r="F790" i="1" s="1"/>
  <c r="F791" i="1" a="1"/>
  <c r="F791" i="1" s="1"/>
  <c r="F792" i="1" a="1"/>
  <c r="F792" i="1" s="1"/>
  <c r="F793" i="1" a="1"/>
  <c r="F793" i="1" s="1"/>
  <c r="F794" i="1" a="1"/>
  <c r="F794" i="1" s="1"/>
  <c r="F795" i="1" a="1"/>
  <c r="F795" i="1" s="1"/>
  <c r="F796" i="1" a="1"/>
  <c r="F796" i="1" s="1"/>
  <c r="F797" i="1" a="1"/>
  <c r="F797" i="1" s="1"/>
  <c r="F798" i="1" a="1"/>
  <c r="F798" i="1" s="1"/>
  <c r="F799" i="1" a="1"/>
  <c r="F799" i="1" s="1"/>
  <c r="F800" i="1" a="1"/>
  <c r="F800" i="1" s="1"/>
  <c r="F801" i="1" a="1"/>
  <c r="F801" i="1" s="1"/>
  <c r="F802" i="1" a="1"/>
  <c r="F802" i="1" s="1"/>
  <c r="F803" i="1" a="1"/>
  <c r="F803" i="1" s="1"/>
  <c r="F804" i="1" a="1"/>
  <c r="F804" i="1" s="1"/>
  <c r="F805" i="1" a="1"/>
  <c r="F805" i="1" s="1"/>
  <c r="F806" i="1" a="1"/>
  <c r="F806" i="1" s="1"/>
  <c r="F807" i="1" a="1"/>
  <c r="F807" i="1" s="1"/>
  <c r="F808" i="1" a="1"/>
  <c r="F808" i="1" s="1"/>
  <c r="F809" i="1" a="1"/>
  <c r="F809" i="1" s="1"/>
  <c r="F810" i="1" a="1"/>
  <c r="F810" i="1" s="1"/>
  <c r="F811" i="1" a="1"/>
  <c r="F811" i="1" s="1"/>
  <c r="F812" i="1" a="1"/>
  <c r="F812" i="1" s="1"/>
  <c r="F813" i="1" a="1"/>
  <c r="F813" i="1" s="1"/>
  <c r="F814" i="1" a="1"/>
  <c r="F814" i="1" s="1"/>
  <c r="F815" i="1" a="1"/>
  <c r="F815" i="1" s="1"/>
  <c r="F816" i="1" a="1"/>
  <c r="F816" i="1" s="1"/>
  <c r="F817" i="1" a="1"/>
  <c r="F817" i="1" s="1"/>
  <c r="F818" i="1" a="1"/>
  <c r="F818" i="1" s="1"/>
  <c r="F819" i="1" a="1"/>
  <c r="F819" i="1" s="1"/>
  <c r="F820" i="1" a="1"/>
  <c r="F820" i="1" s="1"/>
  <c r="F821" i="1" a="1"/>
  <c r="F821" i="1" s="1"/>
  <c r="F822" i="1" a="1"/>
  <c r="F822" i="1" s="1"/>
  <c r="F823" i="1" a="1"/>
  <c r="F823" i="1" s="1"/>
  <c r="F824" i="1" a="1"/>
  <c r="F824" i="1" s="1"/>
  <c r="F825" i="1" a="1"/>
  <c r="F825" i="1" s="1"/>
  <c r="F826" i="1" a="1"/>
  <c r="F826" i="1" s="1"/>
  <c r="F827" i="1" a="1"/>
  <c r="F827" i="1" s="1"/>
  <c r="F828" i="1" a="1"/>
  <c r="F828" i="1" s="1"/>
  <c r="F829" i="1" a="1"/>
  <c r="F829" i="1" s="1"/>
  <c r="F830" i="1" a="1"/>
  <c r="F830" i="1" s="1"/>
  <c r="F831" i="1" a="1"/>
  <c r="F831" i="1" s="1"/>
  <c r="F832" i="1" a="1"/>
  <c r="F832" i="1" s="1"/>
  <c r="F833" i="1" a="1"/>
  <c r="F833" i="1" s="1"/>
  <c r="F834" i="1" a="1"/>
  <c r="F834" i="1" s="1"/>
  <c r="F835" i="1" a="1"/>
  <c r="F835" i="1" s="1"/>
  <c r="F836" i="1" a="1"/>
  <c r="F836" i="1" s="1"/>
  <c r="F837" i="1" a="1"/>
  <c r="F837" i="1" s="1"/>
  <c r="F838" i="1" a="1"/>
  <c r="F838" i="1" s="1"/>
  <c r="F839" i="1" a="1"/>
  <c r="F839" i="1" s="1"/>
  <c r="F840" i="1" a="1"/>
  <c r="F840" i="1" s="1"/>
  <c r="F841" i="1" a="1"/>
  <c r="F841" i="1" s="1"/>
  <c r="F842" i="1" a="1"/>
  <c r="F842" i="1" s="1"/>
  <c r="F843" i="1" a="1"/>
  <c r="F843" i="1" s="1"/>
  <c r="F844" i="1" a="1"/>
  <c r="F844" i="1" s="1"/>
  <c r="F845" i="1" a="1"/>
  <c r="F845" i="1" s="1"/>
  <c r="F846" i="1" a="1"/>
  <c r="F846" i="1" s="1"/>
  <c r="F847" i="1" a="1"/>
  <c r="F847" i="1" s="1"/>
  <c r="F848" i="1" a="1"/>
  <c r="F848" i="1" s="1"/>
  <c r="F849" i="1" a="1"/>
  <c r="F849" i="1" s="1"/>
  <c r="F850" i="1" a="1"/>
  <c r="F850" i="1" s="1"/>
  <c r="F851" i="1" a="1"/>
  <c r="F851" i="1" s="1"/>
  <c r="F852" i="1" a="1"/>
  <c r="F852" i="1" s="1"/>
  <c r="F853" i="1" a="1"/>
  <c r="F853" i="1" s="1"/>
  <c r="F854" i="1" a="1"/>
  <c r="F854" i="1" s="1"/>
  <c r="F855" i="1" a="1"/>
  <c r="F855" i="1" s="1"/>
  <c r="F856" i="1" a="1"/>
  <c r="F856" i="1" s="1"/>
  <c r="F857" i="1" a="1"/>
  <c r="F857" i="1" s="1"/>
  <c r="F858" i="1" a="1"/>
  <c r="F858" i="1" s="1"/>
  <c r="F859" i="1" a="1"/>
  <c r="F859" i="1" s="1"/>
  <c r="F860" i="1" a="1"/>
  <c r="F860" i="1" s="1"/>
  <c r="F861" i="1" a="1"/>
  <c r="F861" i="1" s="1"/>
  <c r="F862" i="1" a="1"/>
  <c r="F862" i="1" s="1"/>
  <c r="F863" i="1" a="1"/>
  <c r="F863" i="1" s="1"/>
  <c r="F864" i="1" a="1"/>
  <c r="F864" i="1" s="1"/>
  <c r="F865" i="1" a="1"/>
  <c r="F865" i="1" s="1"/>
  <c r="F866" i="1" a="1"/>
  <c r="F866" i="1" s="1"/>
  <c r="F867" i="1" a="1"/>
  <c r="F867" i="1" s="1"/>
  <c r="F868" i="1" a="1"/>
  <c r="F868" i="1" s="1"/>
  <c r="F869" i="1" a="1"/>
  <c r="F869" i="1" s="1"/>
  <c r="F870" i="1" a="1"/>
  <c r="F870" i="1" s="1"/>
  <c r="F871" i="1" a="1"/>
  <c r="F871" i="1" s="1"/>
  <c r="F872" i="1" a="1"/>
  <c r="F872" i="1" s="1"/>
  <c r="F873" i="1" a="1"/>
  <c r="F873" i="1" s="1"/>
  <c r="F874" i="1" a="1"/>
  <c r="F874" i="1" s="1"/>
  <c r="F875" i="1" a="1"/>
  <c r="F875" i="1" s="1"/>
  <c r="F876" i="1" a="1"/>
  <c r="F876" i="1" s="1"/>
  <c r="F877" i="1" a="1"/>
  <c r="F877" i="1" s="1"/>
  <c r="F878" i="1" a="1"/>
  <c r="F878" i="1" s="1"/>
  <c r="F879" i="1" a="1"/>
  <c r="F879" i="1" s="1"/>
  <c r="F880" i="1" a="1"/>
  <c r="F880" i="1" s="1"/>
  <c r="F881" i="1" a="1"/>
  <c r="F881" i="1" s="1"/>
  <c r="F882" i="1" a="1"/>
  <c r="F882" i="1" s="1"/>
  <c r="F883" i="1" a="1"/>
  <c r="F883" i="1" s="1"/>
  <c r="F884" i="1" a="1"/>
  <c r="F884" i="1" s="1"/>
  <c r="F885" i="1" a="1"/>
  <c r="F885" i="1" s="1"/>
  <c r="F886" i="1" a="1"/>
  <c r="F886" i="1" s="1"/>
  <c r="F887" i="1" a="1"/>
  <c r="F887" i="1" s="1"/>
  <c r="F888" i="1" a="1"/>
  <c r="F888" i="1" s="1"/>
  <c r="F889" i="1" a="1"/>
  <c r="F889" i="1" s="1"/>
  <c r="F890" i="1" a="1"/>
  <c r="F890" i="1" s="1"/>
  <c r="F891" i="1" a="1"/>
  <c r="F891" i="1" s="1"/>
  <c r="F892" i="1" a="1"/>
  <c r="F892" i="1" s="1"/>
  <c r="F893" i="1" a="1"/>
  <c r="F893" i="1" s="1"/>
  <c r="F894" i="1" a="1"/>
  <c r="F894" i="1" s="1"/>
  <c r="F895" i="1" a="1"/>
  <c r="F895" i="1" s="1"/>
  <c r="F896" i="1" a="1"/>
  <c r="F896" i="1" s="1"/>
  <c r="F897" i="1" a="1"/>
  <c r="F897" i="1" s="1"/>
  <c r="F898" i="1" a="1"/>
  <c r="F898" i="1" s="1"/>
  <c r="F899" i="1" a="1"/>
  <c r="F899" i="1" s="1"/>
  <c r="F900" i="1" a="1"/>
  <c r="F900" i="1" s="1"/>
  <c r="F901" i="1" a="1"/>
  <c r="F901" i="1" s="1"/>
  <c r="F902" i="1" a="1"/>
  <c r="F902" i="1" s="1"/>
  <c r="F903" i="1" a="1"/>
  <c r="F903" i="1" s="1"/>
  <c r="F904" i="1" a="1"/>
  <c r="F904" i="1" s="1"/>
  <c r="F905" i="1" a="1"/>
  <c r="F905" i="1" s="1"/>
  <c r="F906" i="1" a="1"/>
  <c r="F906" i="1" s="1"/>
  <c r="F907" i="1" a="1"/>
  <c r="F907" i="1" s="1"/>
  <c r="F908" i="1" a="1"/>
  <c r="F908" i="1" s="1"/>
  <c r="F909" i="1" a="1"/>
  <c r="F909" i="1" s="1"/>
  <c r="F910" i="1" a="1"/>
  <c r="F910" i="1" s="1"/>
  <c r="F911" i="1" a="1"/>
  <c r="F911" i="1" s="1"/>
  <c r="F912" i="1" a="1"/>
  <c r="F912" i="1" s="1"/>
  <c r="F913" i="1" a="1"/>
  <c r="F913" i="1" s="1"/>
  <c r="F914" i="1" a="1"/>
  <c r="F914" i="1" s="1"/>
  <c r="F915" i="1" a="1"/>
  <c r="F915" i="1" s="1"/>
  <c r="F916" i="1" a="1"/>
  <c r="F916" i="1" s="1"/>
  <c r="F917" i="1" a="1"/>
  <c r="F917" i="1" s="1"/>
  <c r="F918" i="1" a="1"/>
  <c r="F918" i="1" s="1"/>
  <c r="F919" i="1" a="1"/>
  <c r="F919" i="1" s="1"/>
  <c r="F920" i="1" a="1"/>
  <c r="F920" i="1" s="1"/>
  <c r="F921" i="1" a="1"/>
  <c r="F921" i="1" s="1"/>
  <c r="F922" i="1" a="1"/>
  <c r="F922" i="1" s="1"/>
  <c r="F923" i="1" a="1"/>
  <c r="F923" i="1" s="1"/>
  <c r="F924" i="1" a="1"/>
  <c r="F924" i="1" s="1"/>
  <c r="F925" i="1" a="1"/>
  <c r="F925" i="1" s="1"/>
  <c r="F926" i="1" a="1"/>
  <c r="F926" i="1" s="1"/>
  <c r="F927" i="1" a="1"/>
  <c r="F927" i="1" s="1"/>
  <c r="F928" i="1" a="1"/>
  <c r="F928" i="1" s="1"/>
  <c r="F929" i="1" a="1"/>
  <c r="F929" i="1" s="1"/>
  <c r="F930" i="1" a="1"/>
  <c r="F930" i="1" s="1"/>
  <c r="F931" i="1" a="1"/>
  <c r="F931" i="1" s="1"/>
  <c r="F932" i="1" a="1"/>
  <c r="F932" i="1" s="1"/>
  <c r="F933" i="1" a="1"/>
  <c r="F933" i="1" s="1"/>
  <c r="F934" i="1" a="1"/>
  <c r="F934" i="1" s="1"/>
  <c r="F935" i="1" a="1"/>
  <c r="F935" i="1" s="1"/>
  <c r="F936" i="1" a="1"/>
  <c r="F936" i="1" s="1"/>
  <c r="F937" i="1" a="1"/>
  <c r="F937" i="1" s="1"/>
  <c r="F938" i="1" a="1"/>
  <c r="F938" i="1" s="1"/>
  <c r="F939" i="1" a="1"/>
  <c r="F939" i="1" s="1"/>
  <c r="F940" i="1" a="1"/>
  <c r="F940" i="1" s="1"/>
  <c r="F941" i="1" a="1"/>
  <c r="F941" i="1" s="1"/>
  <c r="F942" i="1" a="1"/>
  <c r="F942" i="1" s="1"/>
  <c r="F943" i="1" a="1"/>
  <c r="F943" i="1" s="1"/>
  <c r="F944" i="1" a="1"/>
  <c r="F944" i="1" s="1"/>
  <c r="F945" i="1" a="1"/>
  <c r="F945" i="1" s="1"/>
  <c r="F946" i="1" a="1"/>
  <c r="F946" i="1" s="1"/>
  <c r="F947" i="1" a="1"/>
  <c r="F947" i="1" s="1"/>
  <c r="F948" i="1" a="1"/>
  <c r="F948" i="1" s="1"/>
  <c r="F949" i="1" a="1"/>
  <c r="F949" i="1" s="1"/>
  <c r="F950" i="1" a="1"/>
  <c r="F950" i="1" s="1"/>
  <c r="F951" i="1" a="1"/>
  <c r="F951" i="1" s="1"/>
  <c r="F952" i="1" a="1"/>
  <c r="F952" i="1" s="1"/>
  <c r="F953" i="1" a="1"/>
  <c r="F953" i="1" s="1"/>
  <c r="F954" i="1" a="1"/>
  <c r="F954" i="1" s="1"/>
  <c r="F955" i="1" a="1"/>
  <c r="F955" i="1" s="1"/>
  <c r="F956" i="1" a="1"/>
  <c r="F956" i="1" s="1"/>
  <c r="F957" i="1" a="1"/>
  <c r="F957" i="1" s="1"/>
  <c r="F958" i="1" a="1"/>
  <c r="F958" i="1" s="1"/>
  <c r="F959" i="1" a="1"/>
  <c r="F959" i="1" s="1"/>
  <c r="F960" i="1" a="1"/>
  <c r="F960" i="1" s="1"/>
  <c r="F961" i="1" a="1"/>
  <c r="F961" i="1" s="1"/>
  <c r="F962" i="1" a="1"/>
  <c r="F962" i="1" s="1"/>
  <c r="F963" i="1" a="1"/>
  <c r="F963" i="1" s="1"/>
  <c r="F964" i="1" a="1"/>
  <c r="F964" i="1" s="1"/>
  <c r="F965" i="1" a="1"/>
  <c r="F965" i="1" s="1"/>
  <c r="F966" i="1" a="1"/>
  <c r="F966" i="1" s="1"/>
  <c r="F967" i="1" a="1"/>
  <c r="F967" i="1" s="1"/>
  <c r="F968" i="1" a="1"/>
  <c r="F968" i="1" s="1"/>
  <c r="F969" i="1" a="1"/>
  <c r="F969" i="1" s="1"/>
  <c r="F970" i="1" a="1"/>
  <c r="F970" i="1" s="1"/>
  <c r="F971" i="1" a="1"/>
  <c r="F971" i="1" s="1"/>
  <c r="F972" i="1" a="1"/>
  <c r="F972" i="1" s="1"/>
  <c r="F973" i="1" a="1"/>
  <c r="F973" i="1" s="1"/>
  <c r="F974" i="1" a="1"/>
  <c r="F974" i="1" s="1"/>
  <c r="F975" i="1" a="1"/>
  <c r="F975" i="1" s="1"/>
  <c r="F976" i="1" a="1"/>
  <c r="F976" i="1" s="1"/>
  <c r="F977" i="1" a="1"/>
  <c r="F977" i="1" s="1"/>
  <c r="F978" i="1" a="1"/>
  <c r="F978" i="1" s="1"/>
  <c r="F979" i="1" a="1"/>
  <c r="F979" i="1" s="1"/>
  <c r="F980" i="1" a="1"/>
  <c r="F980" i="1" s="1"/>
  <c r="F981" i="1" a="1"/>
  <c r="F981" i="1" s="1"/>
  <c r="F982" i="1" a="1"/>
  <c r="F982" i="1" s="1"/>
  <c r="F983" i="1" a="1"/>
  <c r="F983" i="1" s="1"/>
  <c r="F984" i="1" a="1"/>
  <c r="F984" i="1" s="1"/>
  <c r="F985" i="1" a="1"/>
  <c r="F985" i="1" s="1"/>
  <c r="F986" i="1" a="1"/>
  <c r="F986" i="1" s="1"/>
  <c r="F987" i="1" a="1"/>
  <c r="F987" i="1" s="1"/>
  <c r="F988" i="1" a="1"/>
  <c r="F988" i="1" s="1"/>
  <c r="F989" i="1" a="1"/>
  <c r="F989" i="1" s="1"/>
  <c r="F990" i="1" a="1"/>
  <c r="F990" i="1" s="1"/>
  <c r="F991" i="1" a="1"/>
  <c r="F991" i="1" s="1"/>
  <c r="F992" i="1" a="1"/>
  <c r="F992" i="1" s="1"/>
  <c r="F993" i="1" a="1"/>
  <c r="F993" i="1" s="1"/>
  <c r="F994" i="1" a="1"/>
  <c r="F994" i="1" s="1"/>
  <c r="F995" i="1" a="1"/>
  <c r="F995" i="1" s="1"/>
  <c r="F996" i="1" a="1"/>
  <c r="F996" i="1" s="1"/>
  <c r="F997" i="1" a="1"/>
  <c r="F997" i="1" s="1"/>
  <c r="F998" i="1" a="1"/>
  <c r="F998" i="1" s="1"/>
  <c r="F999" i="1" a="1"/>
  <c r="F999" i="1" s="1"/>
  <c r="F1000" i="1" a="1"/>
  <c r="F1000" i="1" s="1"/>
  <c r="F1001" i="1" a="1"/>
  <c r="F1001" i="1" s="1"/>
  <c r="F1002" i="1" a="1"/>
  <c r="F1002" i="1" s="1"/>
  <c r="F1003" i="1" a="1"/>
  <c r="F1003" i="1" s="1"/>
  <c r="F1004" i="1" a="1"/>
  <c r="F1004" i="1" s="1"/>
  <c r="F1005" i="1" a="1"/>
  <c r="F1005" i="1" s="1"/>
  <c r="F1006" i="1" a="1"/>
  <c r="F1006" i="1" s="1"/>
  <c r="F1007" i="1" a="1"/>
  <c r="F1007" i="1" s="1"/>
  <c r="F1008" i="1" a="1"/>
  <c r="F1008" i="1" s="1"/>
  <c r="F1009" i="1" a="1"/>
  <c r="F1009" i="1" s="1"/>
  <c r="F1010" i="1" a="1"/>
  <c r="F1010" i="1" s="1"/>
  <c r="F1011" i="1" a="1"/>
  <c r="F1011" i="1" s="1"/>
  <c r="F1012" i="1" a="1"/>
  <c r="F1012" i="1" s="1"/>
  <c r="F1013" i="1" a="1"/>
  <c r="F1013" i="1" s="1"/>
  <c r="F1014" i="1" a="1"/>
  <c r="F1014" i="1" s="1"/>
  <c r="F1015" i="1" a="1"/>
  <c r="F1015" i="1" s="1"/>
  <c r="F1016" i="1" a="1"/>
  <c r="F1016" i="1" s="1"/>
  <c r="F1017" i="1" a="1"/>
  <c r="F1017" i="1" s="1"/>
  <c r="F1018" i="1" a="1"/>
  <c r="F1018" i="1" s="1"/>
  <c r="F1019" i="1" a="1"/>
  <c r="F1019" i="1" s="1"/>
  <c r="F1020" i="1" a="1"/>
  <c r="F1020" i="1" s="1"/>
  <c r="F1021" i="1" a="1"/>
  <c r="F1021" i="1" s="1"/>
  <c r="F1022" i="1" a="1"/>
  <c r="F1022" i="1" s="1"/>
  <c r="F1023" i="1" a="1"/>
  <c r="F1023" i="1" s="1"/>
  <c r="F1024" i="1" a="1"/>
  <c r="F1024" i="1" s="1"/>
  <c r="F1025" i="1" a="1"/>
  <c r="F1025" i="1" s="1"/>
  <c r="F1026" i="1" a="1"/>
  <c r="F1026" i="1" s="1"/>
  <c r="F1027" i="1" a="1"/>
  <c r="F1027" i="1" s="1"/>
  <c r="F1028" i="1" a="1"/>
  <c r="F1028" i="1" s="1"/>
  <c r="F1029" i="1" a="1"/>
  <c r="F1029" i="1" s="1"/>
  <c r="F1030" i="1" a="1"/>
  <c r="F1030" i="1" s="1"/>
  <c r="F1031" i="1" a="1"/>
  <c r="F1031" i="1" s="1"/>
  <c r="F1032" i="1" a="1"/>
  <c r="F1032" i="1" s="1"/>
  <c r="F1033" i="1" a="1"/>
  <c r="F1033" i="1" s="1"/>
  <c r="F1034" i="1" a="1"/>
  <c r="F1034" i="1" s="1"/>
  <c r="F1035" i="1" a="1"/>
  <c r="F1035" i="1" s="1"/>
  <c r="F1036" i="1" a="1"/>
  <c r="F1036" i="1" s="1"/>
  <c r="F1037" i="1" a="1"/>
  <c r="F1037" i="1" s="1"/>
  <c r="F1038" i="1" a="1"/>
  <c r="F1038" i="1" s="1"/>
  <c r="F1039" i="1" a="1"/>
  <c r="F1039" i="1" s="1"/>
  <c r="F1040" i="1" a="1"/>
  <c r="F1040" i="1" s="1"/>
  <c r="F1041" i="1" a="1"/>
  <c r="F1041" i="1" s="1"/>
  <c r="F1042" i="1" a="1"/>
  <c r="F1042" i="1" s="1"/>
  <c r="F1043" i="1" a="1"/>
  <c r="F1043" i="1" s="1"/>
  <c r="F1044" i="1" a="1"/>
  <c r="F1044" i="1" s="1"/>
  <c r="F1045" i="1" a="1"/>
  <c r="F1045" i="1" s="1"/>
  <c r="F1046" i="1" a="1"/>
  <c r="F1046" i="1" s="1"/>
  <c r="F1047" i="1" a="1"/>
  <c r="F1047" i="1" s="1"/>
  <c r="F1048" i="1" a="1"/>
  <c r="F1048" i="1" s="1"/>
  <c r="F1049" i="1" a="1"/>
  <c r="F1049" i="1" s="1"/>
  <c r="F1050" i="1" a="1"/>
  <c r="F1050" i="1" s="1"/>
  <c r="F1051" i="1" a="1"/>
  <c r="F1051" i="1" s="1"/>
  <c r="F1052" i="1" a="1"/>
  <c r="F1052" i="1" s="1"/>
  <c r="F1053" i="1" a="1"/>
  <c r="F1053" i="1" s="1"/>
  <c r="F1054" i="1" a="1"/>
  <c r="F1054" i="1" s="1"/>
  <c r="F1055" i="1" a="1"/>
  <c r="F1055" i="1" s="1"/>
  <c r="F1056" i="1" a="1"/>
  <c r="F1056" i="1" s="1"/>
  <c r="F1057" i="1" a="1"/>
  <c r="F1057" i="1" s="1"/>
  <c r="F1058" i="1" a="1"/>
  <c r="F1058" i="1" s="1"/>
  <c r="F1059" i="1" a="1"/>
  <c r="F1059" i="1" s="1"/>
  <c r="F1060" i="1" a="1"/>
  <c r="F1060" i="1" s="1"/>
  <c r="F1061" i="1" a="1"/>
  <c r="F1061" i="1" s="1"/>
  <c r="F1062" i="1" a="1"/>
  <c r="F1062" i="1" s="1"/>
  <c r="F1063" i="1" a="1"/>
  <c r="F1063" i="1" s="1"/>
  <c r="F1064" i="1" a="1"/>
  <c r="F1064" i="1" s="1"/>
  <c r="F1065" i="1" a="1"/>
  <c r="F1065" i="1" s="1"/>
  <c r="F1066" i="1" a="1"/>
  <c r="F1066" i="1" s="1"/>
  <c r="F1067" i="1" a="1"/>
  <c r="F1067" i="1" s="1"/>
  <c r="F1068" i="1" a="1"/>
  <c r="F1068" i="1" s="1"/>
  <c r="F1069" i="1" a="1"/>
  <c r="F1069" i="1" s="1"/>
  <c r="F1070" i="1" a="1"/>
  <c r="F1070" i="1" s="1"/>
  <c r="F1071" i="1" a="1"/>
  <c r="F1071" i="1" s="1"/>
  <c r="F1072" i="1" a="1"/>
  <c r="F1072" i="1" s="1"/>
  <c r="F1073" i="1" a="1"/>
  <c r="F1073" i="1" s="1"/>
  <c r="F1074" i="1" a="1"/>
  <c r="F1074" i="1" s="1"/>
  <c r="F1075" i="1" a="1"/>
  <c r="F1075" i="1" s="1"/>
  <c r="F1076" i="1" a="1"/>
  <c r="F1076" i="1" s="1"/>
  <c r="F1077" i="1" a="1"/>
  <c r="F1077" i="1" s="1"/>
  <c r="F1078" i="1" a="1"/>
  <c r="F1078" i="1" s="1"/>
  <c r="F1079" i="1" a="1"/>
  <c r="F1079" i="1" s="1"/>
  <c r="F1080" i="1" a="1"/>
  <c r="F1080" i="1" s="1"/>
  <c r="F1081" i="1" a="1"/>
  <c r="F1081" i="1" s="1"/>
  <c r="F1082" i="1" a="1"/>
  <c r="F1082" i="1" s="1"/>
  <c r="F1083" i="1" a="1"/>
  <c r="F1083" i="1" s="1"/>
  <c r="F1084" i="1" a="1"/>
  <c r="F1084" i="1" s="1"/>
  <c r="F1085" i="1" a="1"/>
  <c r="F1085" i="1" s="1"/>
  <c r="F1086" i="1" a="1"/>
  <c r="F1086" i="1" s="1"/>
  <c r="F1087" i="1" a="1"/>
  <c r="F1087" i="1" s="1"/>
  <c r="F1088" i="1" a="1"/>
  <c r="F1088" i="1" s="1"/>
  <c r="F1089" i="1" a="1"/>
  <c r="F1089" i="1" s="1"/>
  <c r="F1090" i="1" a="1"/>
  <c r="F1090" i="1" s="1"/>
  <c r="F1091" i="1" a="1"/>
  <c r="F1091" i="1" s="1"/>
  <c r="F1092" i="1" a="1"/>
  <c r="F1092" i="1" s="1"/>
  <c r="F1093" i="1" a="1"/>
  <c r="F1093" i="1" s="1"/>
  <c r="F1094" i="1" a="1"/>
  <c r="F1094" i="1" s="1"/>
  <c r="F1095" i="1" a="1"/>
  <c r="F1095" i="1" s="1"/>
  <c r="F1096" i="1" a="1"/>
  <c r="F1096" i="1" s="1"/>
  <c r="F1097" i="1" a="1"/>
  <c r="F1097" i="1" s="1"/>
  <c r="F1098" i="1" a="1"/>
  <c r="F1098" i="1" s="1"/>
  <c r="F1099" i="1" a="1"/>
  <c r="F1099" i="1" s="1"/>
  <c r="F1100" i="1" a="1"/>
  <c r="F1100" i="1" s="1"/>
  <c r="F1101" i="1" a="1"/>
  <c r="F1101" i="1" s="1"/>
  <c r="F1102" i="1" a="1"/>
  <c r="F1102" i="1" s="1"/>
  <c r="F1103" i="1" a="1"/>
  <c r="F1103" i="1" s="1"/>
  <c r="F1104" i="1" a="1"/>
  <c r="F1104" i="1" s="1"/>
  <c r="F1105" i="1" a="1"/>
  <c r="F1105" i="1" s="1"/>
  <c r="F1106" i="1" a="1"/>
  <c r="F1106" i="1" s="1"/>
  <c r="F1107" i="1" a="1"/>
  <c r="F1107" i="1" s="1"/>
  <c r="F1108" i="1" a="1"/>
  <c r="F1108" i="1" s="1"/>
  <c r="F1109" i="1" a="1"/>
  <c r="F1109" i="1" s="1"/>
  <c r="F1110" i="1" a="1"/>
  <c r="F1110" i="1" s="1"/>
  <c r="F1111" i="1" a="1"/>
  <c r="F1111" i="1" s="1"/>
  <c r="F1112" i="1" a="1"/>
  <c r="F1112" i="1" s="1"/>
  <c r="F1113" i="1" a="1"/>
  <c r="F1113" i="1" s="1"/>
  <c r="F1114" i="1" a="1"/>
  <c r="F1114" i="1" s="1"/>
  <c r="F1115" i="1" a="1"/>
  <c r="F1115" i="1" s="1"/>
  <c r="F1116" i="1" a="1"/>
  <c r="F1116" i="1" s="1"/>
  <c r="F1117" i="1" a="1"/>
  <c r="F1117" i="1" s="1"/>
  <c r="F1118" i="1" a="1"/>
  <c r="F1118" i="1" s="1"/>
  <c r="F1119" i="1" a="1"/>
  <c r="F1119" i="1" s="1"/>
  <c r="F1120" i="1" a="1"/>
  <c r="F1120" i="1" s="1"/>
  <c r="F1121" i="1" a="1"/>
  <c r="F1121" i="1" s="1"/>
  <c r="F1122" i="1" a="1"/>
  <c r="F1122" i="1" s="1"/>
  <c r="F1123" i="1" a="1"/>
  <c r="F1123" i="1" s="1"/>
  <c r="F1124" i="1" a="1"/>
  <c r="F1124" i="1" s="1"/>
  <c r="F1125" i="1" a="1"/>
  <c r="F1125" i="1" s="1"/>
  <c r="F1126" i="1" a="1"/>
  <c r="F1126" i="1" s="1"/>
  <c r="F1127" i="1" a="1"/>
  <c r="F1127" i="1" s="1"/>
  <c r="F1128" i="1" a="1"/>
  <c r="F1128" i="1" s="1"/>
  <c r="F1129" i="1" a="1"/>
  <c r="F1129" i="1" s="1"/>
  <c r="F1130" i="1" a="1"/>
  <c r="F1130" i="1" s="1"/>
  <c r="F1131" i="1" a="1"/>
  <c r="F1131" i="1" s="1"/>
  <c r="F1132" i="1" a="1"/>
  <c r="F1132" i="1" s="1"/>
  <c r="F1133" i="1" a="1"/>
  <c r="F1133" i="1" s="1"/>
  <c r="F1134" i="1" a="1"/>
  <c r="F1134" i="1" s="1"/>
  <c r="F1135" i="1" a="1"/>
  <c r="F1135" i="1" s="1"/>
  <c r="F1136" i="1" a="1"/>
  <c r="F1136" i="1" s="1"/>
  <c r="F1137" i="1" a="1"/>
  <c r="F1137" i="1" s="1"/>
  <c r="F1138" i="1" a="1"/>
  <c r="F1138" i="1" s="1"/>
  <c r="F1139" i="1" a="1"/>
  <c r="F1139" i="1" s="1"/>
  <c r="F1140" i="1" a="1"/>
  <c r="F1140" i="1" s="1"/>
  <c r="F1141" i="1" a="1"/>
  <c r="F1141" i="1" s="1"/>
  <c r="F1142" i="1" a="1"/>
  <c r="F1142" i="1" s="1"/>
  <c r="F1143" i="1" a="1"/>
  <c r="F1143" i="1" s="1"/>
  <c r="F1144" i="1" a="1"/>
  <c r="F1144" i="1" s="1"/>
  <c r="F1145" i="1" a="1"/>
  <c r="F1145" i="1" s="1"/>
  <c r="F1146" i="1" a="1"/>
  <c r="F1146" i="1" s="1"/>
  <c r="F1147" i="1" a="1"/>
  <c r="F1147" i="1" s="1"/>
  <c r="F1148" i="1" a="1"/>
  <c r="F1148" i="1" s="1"/>
  <c r="F1149" i="1" a="1"/>
  <c r="F1149" i="1" s="1"/>
  <c r="F1150" i="1" a="1"/>
  <c r="F1150" i="1" s="1"/>
  <c r="F1151" i="1" a="1"/>
  <c r="F1151" i="1" s="1"/>
  <c r="F1152" i="1" a="1"/>
  <c r="F1152" i="1" s="1"/>
  <c r="F1153" i="1" a="1"/>
  <c r="F1153" i="1" s="1"/>
  <c r="F1154" i="1" a="1"/>
  <c r="F1154" i="1" s="1"/>
  <c r="F1155" i="1" a="1"/>
  <c r="F1155" i="1" s="1"/>
  <c r="F1156" i="1" a="1"/>
  <c r="F1156" i="1" s="1"/>
  <c r="F1157" i="1" a="1"/>
  <c r="F1157" i="1" s="1"/>
  <c r="F1158" i="1" a="1"/>
  <c r="F1158" i="1" s="1"/>
  <c r="F1159" i="1" a="1"/>
  <c r="F1159" i="1" s="1"/>
  <c r="F1160" i="1" a="1"/>
  <c r="F1160" i="1" s="1"/>
  <c r="F1161" i="1" a="1"/>
  <c r="F1161" i="1" s="1"/>
  <c r="F1162" i="1" a="1"/>
  <c r="F1162" i="1" s="1"/>
  <c r="F1163" i="1" a="1"/>
  <c r="F1163" i="1" s="1"/>
  <c r="F1164" i="1" a="1"/>
  <c r="F1164" i="1" s="1"/>
  <c r="F1165" i="1" a="1"/>
  <c r="F1165" i="1" s="1"/>
  <c r="F1166" i="1" a="1"/>
  <c r="F1166" i="1" s="1"/>
  <c r="F1167" i="1" a="1"/>
  <c r="F1167" i="1" s="1"/>
  <c r="F1168" i="1" a="1"/>
  <c r="F1168" i="1" s="1"/>
  <c r="F1169" i="1" a="1"/>
  <c r="F1169" i="1" s="1"/>
  <c r="F1170" i="1" a="1"/>
  <c r="F1170" i="1" s="1"/>
  <c r="F1171" i="1" a="1"/>
  <c r="F1171" i="1" s="1"/>
  <c r="F1172" i="1" a="1"/>
  <c r="F1172" i="1" s="1"/>
  <c r="F1173" i="1" a="1"/>
  <c r="F1173" i="1" s="1"/>
  <c r="F1174" i="1" a="1"/>
  <c r="F1174" i="1" s="1"/>
  <c r="F1175" i="1" a="1"/>
  <c r="F1175" i="1" s="1"/>
  <c r="F1176" i="1" a="1"/>
  <c r="F1176" i="1" s="1"/>
  <c r="F1177" i="1" a="1"/>
  <c r="F1177" i="1" s="1"/>
  <c r="F1178" i="1" a="1"/>
  <c r="F1178" i="1" s="1"/>
  <c r="F1179" i="1" a="1"/>
  <c r="F1179" i="1" s="1"/>
  <c r="F1180" i="1" a="1"/>
  <c r="F1180" i="1" s="1"/>
  <c r="F1181" i="1" a="1"/>
  <c r="F1181" i="1" s="1"/>
  <c r="F1182" i="1" a="1"/>
  <c r="F1182" i="1" s="1"/>
  <c r="F1183" i="1" a="1"/>
  <c r="F1183" i="1" s="1"/>
  <c r="F1184" i="1" a="1"/>
  <c r="F1184" i="1" s="1"/>
  <c r="F1185" i="1" a="1"/>
  <c r="F1185" i="1" s="1"/>
  <c r="F1186" i="1" a="1"/>
  <c r="F1186" i="1" s="1"/>
  <c r="F1187" i="1" a="1"/>
  <c r="F1187" i="1" s="1"/>
  <c r="F1188" i="1" a="1"/>
  <c r="F1188" i="1" s="1"/>
  <c r="F1189" i="1" a="1"/>
  <c r="F1189" i="1" s="1"/>
  <c r="F1190" i="1" a="1"/>
  <c r="F1190" i="1" s="1"/>
  <c r="F1191" i="1" a="1"/>
  <c r="F1191" i="1" s="1"/>
  <c r="F1192" i="1" a="1"/>
  <c r="F1192" i="1" s="1"/>
  <c r="F1193" i="1" a="1"/>
  <c r="F1193" i="1" s="1"/>
  <c r="F1194" i="1" a="1"/>
  <c r="F1194" i="1" s="1"/>
  <c r="F1195" i="1" a="1"/>
  <c r="F1195" i="1" s="1"/>
  <c r="F1196" i="1" a="1"/>
  <c r="F1196" i="1" s="1"/>
  <c r="F1197" i="1" a="1"/>
  <c r="F1197" i="1" s="1"/>
  <c r="F1198" i="1" a="1"/>
  <c r="F1198" i="1" s="1"/>
  <c r="F1199" i="1" a="1"/>
  <c r="F1199" i="1" s="1"/>
  <c r="F1200" i="1" a="1"/>
  <c r="F1200" i="1" s="1"/>
  <c r="F1201" i="1" a="1"/>
  <c r="F1201" i="1" s="1"/>
  <c r="F1202" i="1" a="1"/>
  <c r="F1202" i="1" s="1"/>
  <c r="F1203" i="1" a="1"/>
  <c r="F1203" i="1" s="1"/>
  <c r="F1204" i="1" a="1"/>
  <c r="F1204" i="1" s="1"/>
  <c r="F1205" i="1" a="1"/>
  <c r="F1205" i="1" s="1"/>
  <c r="F1206" i="1" a="1"/>
  <c r="F1206" i="1" s="1"/>
  <c r="F1207" i="1" a="1"/>
  <c r="F1207" i="1" s="1"/>
  <c r="F1208" i="1" a="1"/>
  <c r="F1208" i="1" s="1"/>
  <c r="F1209" i="1" a="1"/>
  <c r="F1209" i="1" s="1"/>
  <c r="F1210" i="1" a="1"/>
  <c r="F1210" i="1" s="1"/>
  <c r="F1211" i="1" a="1"/>
  <c r="F1211" i="1" s="1"/>
  <c r="F1212" i="1" a="1"/>
  <c r="F1212" i="1" s="1"/>
  <c r="F1213" i="1" a="1"/>
  <c r="F1213" i="1" s="1"/>
  <c r="F1214" i="1" a="1"/>
  <c r="F1214" i="1" s="1"/>
  <c r="F1215" i="1" a="1"/>
  <c r="F1215" i="1" s="1"/>
  <c r="F1216" i="1" a="1"/>
  <c r="F1216" i="1" s="1"/>
  <c r="F1217" i="1" a="1"/>
  <c r="F1217" i="1" s="1"/>
  <c r="F1218" i="1" a="1"/>
  <c r="F1218" i="1" s="1"/>
  <c r="F1219" i="1" a="1"/>
  <c r="F1219" i="1" s="1"/>
  <c r="F1220" i="1" a="1"/>
  <c r="F1220" i="1" s="1"/>
  <c r="F1221" i="1" a="1"/>
  <c r="F1221" i="1" s="1"/>
  <c r="F1222" i="1" a="1"/>
  <c r="F1222" i="1" s="1"/>
  <c r="F1223" i="1" a="1"/>
  <c r="F1223" i="1" s="1"/>
  <c r="F1224" i="1" a="1"/>
  <c r="F1224" i="1" s="1"/>
  <c r="F1225" i="1" a="1"/>
  <c r="F1225" i="1" s="1"/>
  <c r="F1226" i="1" a="1"/>
  <c r="F1226" i="1" s="1"/>
  <c r="F1227" i="1" a="1"/>
  <c r="F1227" i="1" s="1"/>
  <c r="F1228" i="1" a="1"/>
  <c r="F1228" i="1" s="1"/>
  <c r="F1229" i="1" a="1"/>
  <c r="F1229" i="1" s="1"/>
  <c r="F1230" i="1" a="1"/>
  <c r="F1230" i="1" s="1"/>
  <c r="F1231" i="1" a="1"/>
  <c r="F1231" i="1" s="1"/>
  <c r="F1232" i="1" a="1"/>
  <c r="F1232" i="1" s="1"/>
  <c r="F1233" i="1" a="1"/>
  <c r="F1233" i="1" s="1"/>
  <c r="F1234" i="1" a="1"/>
  <c r="F1234" i="1" s="1"/>
  <c r="F1235" i="1" a="1"/>
  <c r="F1235" i="1" s="1"/>
  <c r="F1236" i="1" a="1"/>
  <c r="F1236" i="1" s="1"/>
  <c r="F1237" i="1" a="1"/>
  <c r="F1237" i="1" s="1"/>
  <c r="F1238" i="1" a="1"/>
  <c r="F1238" i="1" s="1"/>
  <c r="F1239" i="1" a="1"/>
  <c r="F1239" i="1" s="1"/>
  <c r="F1240" i="1" a="1"/>
  <c r="F1240" i="1" s="1"/>
  <c r="F1241" i="1" a="1"/>
  <c r="F1241" i="1" s="1"/>
  <c r="F1242" i="1" a="1"/>
  <c r="F1242" i="1" s="1"/>
  <c r="F1243" i="1" a="1"/>
  <c r="F1243" i="1" s="1"/>
  <c r="F1244" i="1" a="1"/>
  <c r="F1244" i="1" s="1"/>
  <c r="F1245" i="1" a="1"/>
  <c r="F1245" i="1" s="1"/>
  <c r="F1246" i="1" a="1"/>
  <c r="F1246" i="1" s="1"/>
  <c r="F1247" i="1" a="1"/>
  <c r="F1247" i="1" s="1"/>
  <c r="F1248" i="1" a="1"/>
  <c r="F1248" i="1" s="1"/>
  <c r="F1249" i="1" a="1"/>
  <c r="F1249" i="1" s="1"/>
  <c r="F1250" i="1" a="1"/>
  <c r="F1250" i="1" s="1"/>
  <c r="F1251" i="1" a="1"/>
  <c r="F1251" i="1" s="1"/>
  <c r="F1252" i="1" a="1"/>
  <c r="F1252" i="1" s="1"/>
  <c r="F1253" i="1" a="1"/>
  <c r="F1253" i="1" s="1"/>
  <c r="F1254" i="1" a="1"/>
  <c r="F1254" i="1" s="1"/>
  <c r="F1255" i="1" a="1"/>
  <c r="F1255" i="1" s="1"/>
  <c r="F1256" i="1" a="1"/>
  <c r="F1256" i="1" s="1"/>
  <c r="F1257" i="1" a="1"/>
  <c r="F1257" i="1" s="1"/>
  <c r="F1258" i="1" a="1"/>
  <c r="F1258" i="1" s="1"/>
  <c r="F1259" i="1" a="1"/>
  <c r="F1259" i="1" s="1"/>
  <c r="F1260" i="1" a="1"/>
  <c r="F1260" i="1" s="1"/>
  <c r="F1261" i="1" a="1"/>
  <c r="F1261" i="1" s="1"/>
  <c r="F1262" i="1" a="1"/>
  <c r="F1262" i="1" s="1"/>
  <c r="F1263" i="1" a="1"/>
  <c r="F1263" i="1" s="1"/>
  <c r="F1264" i="1" a="1"/>
  <c r="F1264" i="1" s="1"/>
  <c r="F1265" i="1" a="1"/>
  <c r="F1265" i="1" s="1"/>
  <c r="F1266" i="1" a="1"/>
  <c r="F1266" i="1" s="1"/>
  <c r="F1267" i="1" a="1"/>
  <c r="F1267" i="1" s="1"/>
  <c r="F1268" i="1" a="1"/>
  <c r="F1268" i="1" s="1"/>
  <c r="F1269" i="1" a="1"/>
  <c r="F1269" i="1" s="1"/>
  <c r="F1270" i="1" a="1"/>
  <c r="F1270" i="1" s="1"/>
  <c r="F1271" i="1" a="1"/>
  <c r="F1271" i="1" s="1"/>
  <c r="F1272" i="1" a="1"/>
  <c r="F1272" i="1" s="1"/>
  <c r="F1273" i="1" a="1"/>
  <c r="F1273" i="1" s="1"/>
  <c r="F1274" i="1" a="1"/>
  <c r="F1274" i="1" s="1"/>
  <c r="F1275" i="1" a="1"/>
  <c r="F1275" i="1" s="1"/>
  <c r="F1276" i="1" a="1"/>
  <c r="F1276" i="1" s="1"/>
  <c r="F1277" i="1" a="1"/>
  <c r="F1277" i="1" s="1"/>
  <c r="F1278" i="1" a="1"/>
  <c r="F1278" i="1" s="1"/>
  <c r="F1279" i="1" a="1"/>
  <c r="F1279" i="1" s="1"/>
  <c r="F1280" i="1" a="1"/>
  <c r="F1280" i="1" s="1"/>
  <c r="F1281" i="1" a="1"/>
  <c r="F1281" i="1" s="1"/>
  <c r="F1282" i="1" a="1"/>
  <c r="F1282" i="1" s="1"/>
  <c r="F1283" i="1" a="1"/>
  <c r="F1283" i="1" s="1"/>
  <c r="F1284" i="1" a="1"/>
  <c r="F1284" i="1" s="1"/>
  <c r="F1285" i="1" a="1"/>
  <c r="F1285" i="1" s="1"/>
  <c r="F1286" i="1" a="1"/>
  <c r="F1286" i="1" s="1"/>
  <c r="F1287" i="1" a="1"/>
  <c r="F1287" i="1" s="1"/>
  <c r="F1288" i="1" a="1"/>
  <c r="F1288" i="1" s="1"/>
  <c r="F1289" i="1" a="1"/>
  <c r="F1289" i="1" s="1"/>
  <c r="F1290" i="1" a="1"/>
  <c r="F1290" i="1" s="1"/>
  <c r="F1291" i="1" a="1"/>
  <c r="F1291" i="1" s="1"/>
  <c r="F1292" i="1" a="1"/>
  <c r="F1292" i="1" s="1"/>
  <c r="F1293" i="1" a="1"/>
  <c r="F1293" i="1" s="1"/>
  <c r="F1294" i="1" a="1"/>
  <c r="F1294" i="1" s="1"/>
  <c r="F1295" i="1" a="1"/>
  <c r="F1295" i="1" s="1"/>
  <c r="F1296" i="1" a="1"/>
  <c r="F1296" i="1" s="1"/>
  <c r="F1297" i="1" a="1"/>
  <c r="F1297" i="1" s="1"/>
  <c r="F1298" i="1" a="1"/>
  <c r="F1298" i="1" s="1"/>
  <c r="F1299" i="1" a="1"/>
  <c r="F1299" i="1" s="1"/>
  <c r="F1300" i="1" a="1"/>
  <c r="F1300" i="1" s="1"/>
  <c r="F1301" i="1" a="1"/>
  <c r="F1301" i="1" s="1"/>
  <c r="F1302" i="1" a="1"/>
  <c r="F1302" i="1" s="1"/>
  <c r="F1303" i="1" a="1"/>
  <c r="F1303" i="1" s="1"/>
  <c r="F1304" i="1" a="1"/>
  <c r="F1304" i="1" s="1"/>
  <c r="F1305" i="1" a="1"/>
  <c r="F1305" i="1" s="1"/>
  <c r="F1306" i="1" a="1"/>
  <c r="F1306" i="1" s="1"/>
  <c r="F1307" i="1" a="1"/>
  <c r="F1307" i="1" s="1"/>
  <c r="F1308" i="1" a="1"/>
  <c r="F1308" i="1" s="1"/>
  <c r="F1309" i="1" a="1"/>
  <c r="F1309" i="1" s="1"/>
  <c r="F1310" i="1" a="1"/>
  <c r="F1310" i="1" s="1"/>
  <c r="F1311" i="1" a="1"/>
  <c r="F1311" i="1" s="1"/>
  <c r="F1312" i="1" a="1"/>
  <c r="F1312" i="1" s="1"/>
  <c r="F1313" i="1" a="1"/>
  <c r="F1313" i="1" s="1"/>
  <c r="F1314" i="1" a="1"/>
  <c r="F1314" i="1" s="1"/>
  <c r="F1315" i="1" a="1"/>
  <c r="F1315" i="1" s="1"/>
  <c r="F1316" i="1" a="1"/>
  <c r="F1316" i="1" s="1"/>
  <c r="F1317" i="1" a="1"/>
  <c r="F1317" i="1" s="1"/>
  <c r="F1318" i="1" a="1"/>
  <c r="F1318" i="1" s="1"/>
  <c r="F1319" i="1" a="1"/>
  <c r="F1319" i="1" s="1"/>
  <c r="F1320" i="1" a="1"/>
  <c r="F1320" i="1" s="1"/>
  <c r="F1321" i="1" a="1"/>
  <c r="F1321" i="1" s="1"/>
  <c r="F1322" i="1" a="1"/>
  <c r="F1322" i="1" s="1"/>
  <c r="F1323" i="1" a="1"/>
  <c r="F1323" i="1" s="1"/>
  <c r="F1324" i="1" a="1"/>
  <c r="F1324" i="1" s="1"/>
  <c r="F1325" i="1" a="1"/>
  <c r="F1325" i="1" s="1"/>
  <c r="F1326" i="1" a="1"/>
  <c r="F1326" i="1" s="1"/>
  <c r="F1327" i="1" a="1"/>
  <c r="F1327" i="1" s="1"/>
  <c r="F1328" i="1" a="1"/>
  <c r="F1328" i="1" s="1"/>
  <c r="F1329" i="1" a="1"/>
  <c r="F1329" i="1" s="1"/>
  <c r="F1330" i="1" a="1"/>
  <c r="F1330" i="1" s="1"/>
  <c r="F1331" i="1" a="1"/>
  <c r="F1331" i="1" s="1"/>
  <c r="F1332" i="1" a="1"/>
  <c r="F1332" i="1" s="1"/>
  <c r="F1333" i="1" a="1"/>
  <c r="F1333" i="1" s="1"/>
  <c r="F1334" i="1" a="1"/>
  <c r="F1334" i="1" s="1"/>
  <c r="F1335" i="1" a="1"/>
  <c r="F1335" i="1" s="1"/>
  <c r="F1336" i="1" a="1"/>
  <c r="F1336" i="1" s="1"/>
  <c r="F1337" i="1" a="1"/>
  <c r="F1337" i="1" s="1"/>
  <c r="F1338" i="1" a="1"/>
  <c r="F1338" i="1" s="1"/>
  <c r="F1339" i="1" a="1"/>
  <c r="F1339" i="1" s="1"/>
  <c r="F1340" i="1" a="1"/>
  <c r="F1340" i="1" s="1"/>
  <c r="F1341" i="1" a="1"/>
  <c r="F1341" i="1" s="1"/>
  <c r="F1342" i="1" a="1"/>
  <c r="F1342" i="1" s="1"/>
  <c r="F1343" i="1" a="1"/>
  <c r="F1343" i="1" s="1"/>
  <c r="F1344" i="1" a="1"/>
  <c r="F1344" i="1" s="1"/>
  <c r="F1345" i="1" a="1"/>
  <c r="F1345" i="1" s="1"/>
  <c r="F1346" i="1" a="1"/>
  <c r="F1346" i="1" s="1"/>
  <c r="F1347" i="1" a="1"/>
  <c r="F1347" i="1" s="1"/>
  <c r="F1348" i="1" a="1"/>
  <c r="F1348" i="1" s="1"/>
  <c r="F1349" i="1" a="1"/>
  <c r="F1349" i="1" s="1"/>
  <c r="F1350" i="1" a="1"/>
  <c r="F1350" i="1" s="1"/>
  <c r="F1351" i="1" a="1"/>
  <c r="F1351" i="1" s="1"/>
  <c r="F1352" i="1" a="1"/>
  <c r="F1352" i="1" s="1"/>
  <c r="F1353" i="1" a="1"/>
  <c r="F1353" i="1" s="1"/>
  <c r="F1354" i="1" a="1"/>
  <c r="F1354" i="1" s="1"/>
  <c r="F1355" i="1" a="1"/>
  <c r="F1355" i="1" s="1"/>
  <c r="F1356" i="1" a="1"/>
  <c r="F1356" i="1" s="1"/>
  <c r="F1357" i="1" a="1"/>
  <c r="F1357" i="1" s="1"/>
  <c r="F1358" i="1" a="1"/>
  <c r="F1358" i="1" s="1"/>
  <c r="F1359" i="1" a="1"/>
  <c r="F1359" i="1" s="1"/>
  <c r="F1360" i="1" a="1"/>
  <c r="F1360" i="1" s="1"/>
  <c r="F1361" i="1" a="1"/>
  <c r="F1361" i="1" s="1"/>
  <c r="F1362" i="1" a="1"/>
  <c r="F1362" i="1" s="1"/>
  <c r="F1363" i="1" a="1"/>
  <c r="F1363" i="1" s="1"/>
  <c r="F1364" i="1" a="1"/>
  <c r="F1364" i="1" s="1"/>
  <c r="F1365" i="1" a="1"/>
  <c r="F1365" i="1" s="1"/>
  <c r="F1366" i="1" a="1"/>
  <c r="F1366" i="1" s="1"/>
  <c r="F1367" i="1" a="1"/>
  <c r="F1367" i="1" s="1"/>
  <c r="F1368" i="1" a="1"/>
  <c r="F1368" i="1" s="1"/>
  <c r="F1369" i="1" a="1"/>
  <c r="F1369" i="1" s="1"/>
  <c r="F1370" i="1" a="1"/>
  <c r="F1370" i="1" s="1"/>
  <c r="F1371" i="1" a="1"/>
  <c r="F1371" i="1" s="1"/>
  <c r="F1372" i="1" a="1"/>
  <c r="F1372" i="1" s="1"/>
  <c r="F1373" i="1" a="1"/>
  <c r="F1373" i="1" s="1"/>
  <c r="F1374" i="1" a="1"/>
  <c r="F1374" i="1" s="1"/>
  <c r="F1375" i="1" a="1"/>
  <c r="F1375" i="1" s="1"/>
  <c r="F1376" i="1" a="1"/>
  <c r="F1376" i="1" s="1"/>
  <c r="F1377" i="1" a="1"/>
  <c r="F1377" i="1" s="1"/>
  <c r="F1378" i="1" a="1"/>
  <c r="F1378" i="1" s="1"/>
  <c r="F1379" i="1" a="1"/>
  <c r="F1379" i="1" s="1"/>
  <c r="F1380" i="1" a="1"/>
  <c r="F1380" i="1" s="1"/>
  <c r="F1381" i="1" a="1"/>
  <c r="F1381" i="1" s="1"/>
  <c r="F1382" i="1" a="1"/>
  <c r="F1382" i="1" s="1"/>
  <c r="F1383" i="1" a="1"/>
  <c r="F1383" i="1" s="1"/>
  <c r="F1384" i="1" a="1"/>
  <c r="F1384" i="1" s="1"/>
  <c r="F1385" i="1" a="1"/>
  <c r="F1385" i="1" s="1"/>
  <c r="F1386" i="1" a="1"/>
  <c r="F1386" i="1" s="1"/>
  <c r="F1387" i="1" a="1"/>
  <c r="F1387" i="1" s="1"/>
  <c r="F1388" i="1" a="1"/>
  <c r="F1388" i="1" s="1"/>
  <c r="F1389" i="1" a="1"/>
  <c r="F1389" i="1" s="1"/>
  <c r="F1390" i="1" a="1"/>
  <c r="F1390" i="1" s="1"/>
  <c r="F1391" i="1" a="1"/>
  <c r="F1391" i="1" s="1"/>
  <c r="F1392" i="1" a="1"/>
  <c r="F1392" i="1" s="1"/>
  <c r="F1393" i="1" a="1"/>
  <c r="F1393" i="1" s="1"/>
  <c r="F1394" i="1" a="1"/>
  <c r="F1394" i="1" s="1"/>
  <c r="F1395" i="1" a="1"/>
  <c r="F1395" i="1" s="1"/>
  <c r="F1396" i="1" a="1"/>
  <c r="F1396" i="1" s="1"/>
  <c r="F1397" i="1" a="1"/>
  <c r="F1397" i="1" s="1"/>
  <c r="F1398" i="1" a="1"/>
  <c r="F1398" i="1" s="1"/>
  <c r="F1399" i="1" a="1"/>
  <c r="F1399" i="1" s="1"/>
  <c r="F1400" i="1" a="1"/>
  <c r="F1400" i="1" s="1"/>
  <c r="F1401" i="1" a="1"/>
  <c r="F1401" i="1" s="1"/>
  <c r="F1402" i="1" a="1"/>
  <c r="F1402" i="1" s="1"/>
  <c r="F1403" i="1" a="1"/>
  <c r="F1403" i="1" s="1"/>
  <c r="F1404" i="1" a="1"/>
  <c r="F1404" i="1" s="1"/>
  <c r="F1405" i="1" a="1"/>
  <c r="F1405" i="1" s="1"/>
  <c r="F1406" i="1" a="1"/>
  <c r="F1406" i="1" s="1"/>
  <c r="F1407" i="1" a="1"/>
  <c r="F1407" i="1" s="1"/>
  <c r="F1408" i="1" a="1"/>
  <c r="F1408" i="1" s="1"/>
  <c r="F1409" i="1" a="1"/>
  <c r="F1409" i="1" s="1"/>
  <c r="F1410" i="1" a="1"/>
  <c r="F1410" i="1" s="1"/>
  <c r="F1411" i="1" a="1"/>
  <c r="F1411" i="1" s="1"/>
  <c r="F1412" i="1" a="1"/>
  <c r="F1412" i="1" s="1"/>
  <c r="F1413" i="1" a="1"/>
  <c r="F1413" i="1" s="1"/>
  <c r="F1414" i="1" a="1"/>
  <c r="F1414" i="1" s="1"/>
  <c r="F1415" i="1" a="1"/>
  <c r="F1415" i="1" s="1"/>
  <c r="F1416" i="1" a="1"/>
  <c r="F1416" i="1" s="1"/>
  <c r="F1417" i="1" a="1"/>
  <c r="F1417" i="1" s="1"/>
  <c r="F1418" i="1" a="1"/>
  <c r="F1418" i="1" s="1"/>
  <c r="F1419" i="1" a="1"/>
  <c r="F1419" i="1" s="1"/>
  <c r="F1420" i="1" a="1"/>
  <c r="F1420" i="1" s="1"/>
  <c r="F1421" i="1" a="1"/>
  <c r="F1421" i="1" s="1"/>
  <c r="F1422" i="1" a="1"/>
  <c r="F1422" i="1" s="1"/>
  <c r="F1423" i="1" a="1"/>
  <c r="F1423" i="1" s="1"/>
  <c r="F1424" i="1" a="1"/>
  <c r="F1424" i="1" s="1"/>
  <c r="F1425" i="1" a="1"/>
  <c r="F1425" i="1" s="1"/>
  <c r="F1426" i="1" a="1"/>
  <c r="F1426" i="1" s="1"/>
  <c r="F1427" i="1" a="1"/>
  <c r="F1427" i="1" s="1"/>
  <c r="F1428" i="1" a="1"/>
  <c r="F1428" i="1" s="1"/>
  <c r="F1429" i="1" a="1"/>
  <c r="F1429" i="1" s="1"/>
  <c r="F1430" i="1" a="1"/>
  <c r="F1430" i="1" s="1"/>
  <c r="F1431" i="1" a="1"/>
  <c r="F1431" i="1" s="1"/>
  <c r="F1432" i="1" a="1"/>
  <c r="F1432" i="1" s="1"/>
  <c r="F1433" i="1" a="1"/>
  <c r="F1433" i="1" s="1"/>
  <c r="F1434" i="1" a="1"/>
  <c r="F1434" i="1" s="1"/>
  <c r="F1435" i="1" a="1"/>
  <c r="F1435" i="1" s="1"/>
  <c r="F1436" i="1" a="1"/>
  <c r="F1436" i="1" s="1"/>
  <c r="F1437" i="1" a="1"/>
  <c r="F1437" i="1" s="1"/>
  <c r="F1438" i="1" a="1"/>
  <c r="F1438" i="1" s="1"/>
  <c r="F1439" i="1" a="1"/>
  <c r="F1439" i="1" s="1"/>
  <c r="F1440" i="1" a="1"/>
  <c r="F1440" i="1" s="1"/>
  <c r="F1441" i="1" a="1"/>
  <c r="F1441" i="1" s="1"/>
  <c r="F1442" i="1" a="1"/>
  <c r="F1442" i="1" s="1"/>
  <c r="F1443" i="1" a="1"/>
  <c r="F1443" i="1" s="1"/>
  <c r="F1444" i="1" a="1"/>
  <c r="F1444" i="1" s="1"/>
  <c r="F1445" i="1" a="1"/>
  <c r="F1445" i="1" s="1"/>
  <c r="F1446" i="1" a="1"/>
  <c r="F1446" i="1" s="1"/>
  <c r="F1447" i="1" a="1"/>
  <c r="F1447" i="1" s="1"/>
  <c r="F1448" i="1" a="1"/>
  <c r="F1448" i="1" s="1"/>
  <c r="F1449" i="1" a="1"/>
  <c r="F1449" i="1" s="1"/>
  <c r="F1450" i="1" a="1"/>
  <c r="F1450" i="1" s="1"/>
  <c r="F1451" i="1" a="1"/>
  <c r="F1451" i="1" s="1"/>
  <c r="F1452" i="1" a="1"/>
  <c r="F1452" i="1" s="1"/>
  <c r="F1453" i="1" a="1"/>
  <c r="F1453" i="1" s="1"/>
  <c r="F1454" i="1" a="1"/>
  <c r="F1454" i="1" s="1"/>
  <c r="F1455" i="1" a="1"/>
  <c r="F1455" i="1" s="1"/>
  <c r="F1456" i="1" a="1"/>
  <c r="F1456" i="1" s="1"/>
  <c r="F1457" i="1" a="1"/>
  <c r="F1457" i="1" s="1"/>
  <c r="F1458" i="1" a="1"/>
  <c r="F1458" i="1" s="1"/>
  <c r="F1459" i="1" a="1"/>
  <c r="F1459" i="1" s="1"/>
  <c r="F1460" i="1" a="1"/>
  <c r="F1460" i="1" s="1"/>
  <c r="F1461" i="1" a="1"/>
  <c r="F1461" i="1" s="1"/>
  <c r="F1462" i="1" a="1"/>
  <c r="F1462" i="1" s="1"/>
  <c r="F1463" i="1" a="1"/>
  <c r="F1463" i="1" s="1"/>
  <c r="F1464" i="1" a="1"/>
  <c r="F1464" i="1" s="1"/>
  <c r="F1465" i="1" a="1"/>
  <c r="F1465" i="1" s="1"/>
  <c r="F1466" i="1" a="1"/>
  <c r="F1466" i="1" s="1"/>
  <c r="F1467" i="1" a="1"/>
  <c r="F1467" i="1" s="1"/>
  <c r="F1468" i="1" a="1"/>
  <c r="F1468" i="1" s="1"/>
  <c r="F1469" i="1" a="1"/>
  <c r="F1469" i="1" s="1"/>
  <c r="F1470" i="1" a="1"/>
  <c r="F1470" i="1" s="1"/>
  <c r="F1471" i="1" a="1"/>
  <c r="F1471" i="1" s="1"/>
  <c r="F1472" i="1" a="1"/>
  <c r="F1472" i="1" s="1"/>
  <c r="F1473" i="1" a="1"/>
  <c r="F1473" i="1" s="1"/>
  <c r="F1474" i="1" a="1"/>
  <c r="F1474" i="1" s="1"/>
  <c r="F1475" i="1" a="1"/>
  <c r="F1475" i="1" s="1"/>
  <c r="F1476" i="1" a="1"/>
  <c r="F1476" i="1" s="1"/>
  <c r="F1477" i="1" a="1"/>
  <c r="F1477" i="1" s="1"/>
  <c r="F1478" i="1" a="1"/>
  <c r="F1478" i="1" s="1"/>
  <c r="F1479" i="1" a="1"/>
  <c r="F1479" i="1" s="1"/>
  <c r="F1480" i="1" a="1"/>
  <c r="F1480" i="1" s="1"/>
  <c r="F1481" i="1" a="1"/>
  <c r="F1481" i="1" s="1"/>
  <c r="F1482" i="1" a="1"/>
  <c r="F1482" i="1" s="1"/>
  <c r="F1483" i="1" a="1"/>
  <c r="F1483" i="1" s="1"/>
  <c r="F1484" i="1" a="1"/>
  <c r="F1484" i="1" s="1"/>
  <c r="F1485" i="1" a="1"/>
  <c r="F1485" i="1" s="1"/>
  <c r="F1486" i="1" a="1"/>
  <c r="F1486" i="1" s="1"/>
  <c r="F1487" i="1" a="1"/>
  <c r="F1487" i="1" s="1"/>
  <c r="F1488" i="1" a="1"/>
  <c r="F1488" i="1" s="1"/>
  <c r="F1489" i="1" a="1"/>
  <c r="F1489" i="1" s="1"/>
  <c r="F1490" i="1" a="1"/>
  <c r="F1490" i="1" s="1"/>
  <c r="F1491" i="1" a="1"/>
  <c r="F1491" i="1" s="1"/>
  <c r="F1492" i="1" a="1"/>
  <c r="F1492" i="1" s="1"/>
  <c r="F1493" i="1" a="1"/>
  <c r="F1493" i="1" s="1"/>
  <c r="F1494" i="1" a="1"/>
  <c r="F1494" i="1" s="1"/>
  <c r="F1495" i="1" a="1"/>
  <c r="F1495" i="1" s="1"/>
  <c r="F1496" i="1" a="1"/>
  <c r="F1496" i="1" s="1"/>
  <c r="F1497" i="1" a="1"/>
  <c r="F1497" i="1" s="1"/>
  <c r="F1498" i="1" a="1"/>
  <c r="F1498" i="1" s="1"/>
  <c r="F1499" i="1" a="1"/>
  <c r="F1499" i="1" s="1"/>
  <c r="F1500" i="1" a="1"/>
  <c r="F1500" i="1" s="1"/>
  <c r="F1501" i="1" a="1"/>
  <c r="F1501" i="1" s="1"/>
  <c r="F1502" i="1" a="1"/>
  <c r="F1502" i="1" s="1"/>
  <c r="F1503" i="1" a="1"/>
  <c r="F1503" i="1" s="1"/>
  <c r="F1504" i="1" a="1"/>
  <c r="F1504" i="1" s="1"/>
  <c r="F1505" i="1" a="1"/>
  <c r="F1505" i="1" s="1"/>
  <c r="F1506" i="1" a="1"/>
  <c r="F1506" i="1" s="1"/>
  <c r="F1507" i="1" a="1"/>
  <c r="F1507" i="1" s="1"/>
  <c r="F1508" i="1" a="1"/>
  <c r="F1508" i="1" s="1"/>
  <c r="F1509" i="1" a="1"/>
  <c r="F1509" i="1" s="1"/>
  <c r="F1510" i="1" a="1"/>
  <c r="F1510" i="1" s="1"/>
  <c r="F1511" i="1" a="1"/>
  <c r="F1511" i="1" s="1"/>
  <c r="F1512" i="1" a="1"/>
  <c r="F1512" i="1" s="1"/>
  <c r="F1513" i="1" a="1"/>
  <c r="F1513" i="1" s="1"/>
  <c r="F1514" i="1" a="1"/>
  <c r="F1514" i="1" s="1"/>
  <c r="F1515" i="1" a="1"/>
  <c r="F1515" i="1" s="1"/>
  <c r="F1516" i="1" a="1"/>
  <c r="F1516" i="1" s="1"/>
  <c r="F1517" i="1" a="1"/>
  <c r="F1517" i="1" s="1"/>
  <c r="F1518" i="1" a="1"/>
  <c r="F1518" i="1" s="1"/>
  <c r="F1519" i="1" a="1"/>
  <c r="F1519" i="1" s="1"/>
  <c r="F1520" i="1" a="1"/>
  <c r="F1520" i="1" s="1"/>
  <c r="F1521" i="1" a="1"/>
  <c r="F1521" i="1" s="1"/>
  <c r="F1522" i="1" a="1"/>
  <c r="F1522" i="1" s="1"/>
  <c r="F1523" i="1" a="1"/>
  <c r="F1523" i="1" s="1"/>
  <c r="F1524" i="1" a="1"/>
  <c r="F1524" i="1" s="1"/>
  <c r="F1525" i="1" a="1"/>
  <c r="F1525" i="1" s="1"/>
  <c r="F1526" i="1" a="1"/>
  <c r="F1526" i="1" s="1"/>
  <c r="F1527" i="1" a="1"/>
  <c r="F1527" i="1" s="1"/>
  <c r="F1528" i="1" a="1"/>
  <c r="F1528" i="1" s="1"/>
  <c r="F1529" i="1" a="1"/>
  <c r="F1529" i="1" s="1"/>
  <c r="F1530" i="1" a="1"/>
  <c r="F1530" i="1" s="1"/>
  <c r="F1531" i="1" a="1"/>
  <c r="F1531" i="1" s="1"/>
  <c r="F1532" i="1" a="1"/>
  <c r="F1532" i="1" s="1"/>
  <c r="F1533" i="1" a="1"/>
  <c r="F1533" i="1" s="1"/>
  <c r="F1534" i="1" a="1"/>
  <c r="F1534" i="1" s="1"/>
  <c r="F1535" i="1" a="1"/>
  <c r="F1535" i="1" s="1"/>
  <c r="F1536" i="1" a="1"/>
  <c r="F1536" i="1" s="1"/>
  <c r="F1537" i="1" a="1"/>
  <c r="F1537" i="1" s="1"/>
  <c r="F1538" i="1" a="1"/>
  <c r="F1538" i="1" s="1"/>
  <c r="F1539" i="1" a="1"/>
  <c r="F1539" i="1" s="1"/>
  <c r="F1540" i="1" a="1"/>
  <c r="F1540" i="1" s="1"/>
  <c r="F1541" i="1" a="1"/>
  <c r="F1541" i="1" s="1"/>
  <c r="F1542" i="1" a="1"/>
  <c r="F1542" i="1" s="1"/>
  <c r="F1543" i="1" a="1"/>
  <c r="F1543" i="1" s="1"/>
  <c r="F1544" i="1" a="1"/>
  <c r="F1544" i="1" s="1"/>
  <c r="F1545" i="1" a="1"/>
  <c r="F1545" i="1" s="1"/>
  <c r="F1546" i="1" a="1"/>
  <c r="F1546" i="1" s="1"/>
  <c r="F1547" i="1" a="1"/>
  <c r="F1547" i="1" s="1"/>
  <c r="F1548" i="1" a="1"/>
  <c r="F1548" i="1" s="1"/>
  <c r="F1549" i="1" a="1"/>
  <c r="F1549" i="1" s="1"/>
  <c r="F1550" i="1" a="1"/>
  <c r="F1550" i="1" s="1"/>
  <c r="F1551" i="1" a="1"/>
  <c r="F1551" i="1" s="1"/>
  <c r="F1552" i="1" a="1"/>
  <c r="F1552" i="1" s="1"/>
  <c r="F1553" i="1" a="1"/>
  <c r="F1553" i="1" s="1"/>
  <c r="F1554" i="1" a="1"/>
  <c r="F1554" i="1" s="1"/>
  <c r="F1555" i="1" a="1"/>
  <c r="F1555" i="1" s="1"/>
  <c r="F1556" i="1" a="1"/>
  <c r="F1556" i="1" s="1"/>
  <c r="F1557" i="1" a="1"/>
  <c r="F1557" i="1" s="1"/>
  <c r="F1558" i="1" a="1"/>
  <c r="F1558" i="1" s="1"/>
  <c r="F1559" i="1" a="1"/>
  <c r="F1559" i="1" s="1"/>
  <c r="F1560" i="1" a="1"/>
  <c r="F1560" i="1" s="1"/>
  <c r="F1561" i="1" a="1"/>
  <c r="F1561" i="1" s="1"/>
  <c r="F1562" i="1" a="1"/>
  <c r="F1562" i="1" s="1"/>
  <c r="F1563" i="1" a="1"/>
  <c r="F1563" i="1" s="1"/>
  <c r="F1564" i="1" a="1"/>
  <c r="F1564" i="1" s="1"/>
  <c r="F1565" i="1" a="1"/>
  <c r="F1565" i="1" s="1"/>
  <c r="F1566" i="1" a="1"/>
  <c r="F1566" i="1" s="1"/>
  <c r="F1567" i="1" a="1"/>
  <c r="F1567" i="1" s="1"/>
  <c r="F1568" i="1" a="1"/>
  <c r="F1568" i="1" s="1"/>
  <c r="F1569" i="1" a="1"/>
  <c r="F1569" i="1" s="1"/>
  <c r="F1570" i="1" a="1"/>
  <c r="F1570" i="1" s="1"/>
  <c r="F1571" i="1" a="1"/>
  <c r="F1571" i="1" s="1"/>
  <c r="F1572" i="1" a="1"/>
  <c r="F1572" i="1" s="1"/>
  <c r="F1573" i="1" a="1"/>
  <c r="F1573" i="1" s="1"/>
  <c r="F1574" i="1" a="1"/>
  <c r="F1574" i="1" s="1"/>
  <c r="F1575" i="1" a="1"/>
  <c r="F1575" i="1" s="1"/>
  <c r="F1576" i="1" a="1"/>
  <c r="F1576" i="1" s="1"/>
  <c r="F1577" i="1" a="1"/>
  <c r="F1577" i="1" s="1"/>
  <c r="F1578" i="1" a="1"/>
  <c r="F1578" i="1" s="1"/>
  <c r="F1579" i="1" a="1"/>
  <c r="F1579" i="1" s="1"/>
  <c r="F1580" i="1" a="1"/>
  <c r="F1580" i="1" s="1"/>
  <c r="F1581" i="1" a="1"/>
  <c r="F1581" i="1" s="1"/>
  <c r="F1582" i="1" a="1"/>
  <c r="F1582" i="1" s="1"/>
  <c r="F1583" i="1" a="1"/>
  <c r="F1583" i="1" s="1"/>
  <c r="F1584" i="1" a="1"/>
  <c r="F1584" i="1" s="1"/>
  <c r="F1585" i="1" a="1"/>
  <c r="F1585" i="1" s="1"/>
  <c r="F1586" i="1" a="1"/>
  <c r="F1586" i="1" s="1"/>
  <c r="F1587" i="1" a="1"/>
  <c r="F1587" i="1" s="1"/>
  <c r="F1588" i="1" a="1"/>
  <c r="F1588" i="1" s="1"/>
  <c r="F1589" i="1" a="1"/>
  <c r="F1589" i="1" s="1"/>
  <c r="F1590" i="1" a="1"/>
  <c r="F1590" i="1" s="1"/>
  <c r="F1591" i="1" a="1"/>
  <c r="F1591" i="1" s="1"/>
  <c r="F1592" i="1" a="1"/>
  <c r="F1592" i="1" s="1"/>
  <c r="F1593" i="1" a="1"/>
  <c r="F1593" i="1" s="1"/>
  <c r="F1594" i="1" a="1"/>
  <c r="F1594" i="1" s="1"/>
  <c r="F1595" i="1" a="1"/>
  <c r="F1595" i="1" s="1"/>
  <c r="F1596" i="1" a="1"/>
  <c r="F1596" i="1" s="1"/>
  <c r="F1597" i="1" a="1"/>
  <c r="F1597" i="1" s="1"/>
  <c r="F1598" i="1" a="1"/>
  <c r="F1598" i="1" s="1"/>
  <c r="F1599" i="1" a="1"/>
  <c r="F1599" i="1" s="1"/>
  <c r="F1600" i="1" a="1"/>
  <c r="F1600" i="1" s="1"/>
  <c r="F1601" i="1" a="1"/>
  <c r="F1601" i="1" s="1"/>
  <c r="F1602" i="1" a="1"/>
  <c r="F1602" i="1" s="1"/>
  <c r="F1603" i="1" a="1"/>
  <c r="F1603" i="1" s="1"/>
  <c r="F1604" i="1" a="1"/>
  <c r="F1604" i="1" s="1"/>
  <c r="F1605" i="1" a="1"/>
  <c r="F1605" i="1" s="1"/>
  <c r="F1606" i="1" a="1"/>
  <c r="F1606" i="1" s="1"/>
  <c r="F1607" i="1" a="1"/>
  <c r="F1607" i="1" s="1"/>
  <c r="F1608" i="1" a="1"/>
  <c r="F1608" i="1" s="1"/>
  <c r="F1609" i="1" a="1"/>
  <c r="F1609" i="1" s="1"/>
  <c r="F1610" i="1" a="1"/>
  <c r="F1610" i="1" s="1"/>
  <c r="F1611" i="1" a="1"/>
  <c r="F1611" i="1" s="1"/>
  <c r="F1612" i="1" a="1"/>
  <c r="F1612" i="1" s="1"/>
  <c r="F1613" i="1" a="1"/>
  <c r="F1613" i="1" s="1"/>
  <c r="F1614" i="1" a="1"/>
  <c r="F1614" i="1" s="1"/>
  <c r="F1615" i="1" a="1"/>
  <c r="F1615" i="1" s="1"/>
  <c r="F1616" i="1" a="1"/>
  <c r="F1616" i="1" s="1"/>
  <c r="F1617" i="1" a="1"/>
  <c r="F1617" i="1" s="1"/>
  <c r="F1618" i="1" a="1"/>
  <c r="F1618" i="1" s="1"/>
  <c r="F1619" i="1" a="1"/>
  <c r="F1619" i="1" s="1"/>
  <c r="F1620" i="1" a="1"/>
  <c r="F1620" i="1" s="1"/>
  <c r="F1621" i="1" a="1"/>
  <c r="F1621" i="1" s="1"/>
  <c r="F1622" i="1" a="1"/>
  <c r="F1622" i="1" s="1"/>
  <c r="F1623" i="1" a="1"/>
  <c r="F1623" i="1" s="1"/>
  <c r="F1624" i="1" a="1"/>
  <c r="F1624" i="1" s="1"/>
  <c r="F1625" i="1" a="1"/>
  <c r="F1625" i="1" s="1"/>
  <c r="F1626" i="1" a="1"/>
  <c r="F1626" i="1" s="1"/>
  <c r="F1627" i="1" a="1"/>
  <c r="F1627" i="1" s="1"/>
  <c r="F1628" i="1" a="1"/>
  <c r="F1628" i="1" s="1"/>
  <c r="F1629" i="1" a="1"/>
  <c r="F1629" i="1" s="1"/>
  <c r="F1630" i="1" a="1"/>
  <c r="F1630" i="1" s="1"/>
  <c r="F1631" i="1" a="1"/>
  <c r="F1631" i="1" s="1"/>
  <c r="F1632" i="1" a="1"/>
  <c r="F1632" i="1" s="1"/>
  <c r="F1633" i="1" a="1"/>
  <c r="F1633" i="1" s="1"/>
  <c r="F1634" i="1" a="1"/>
  <c r="F1634" i="1" s="1"/>
  <c r="F1635" i="1" a="1"/>
  <c r="F1635" i="1" s="1"/>
  <c r="F1636" i="1" a="1"/>
  <c r="F1636" i="1" s="1"/>
  <c r="F1637" i="1" a="1"/>
  <c r="F1637" i="1" s="1"/>
  <c r="F1638" i="1" a="1"/>
  <c r="F1638" i="1" s="1"/>
  <c r="F1639" i="1" a="1"/>
  <c r="F1639" i="1" s="1"/>
  <c r="F1640" i="1" a="1"/>
  <c r="F1640" i="1" s="1"/>
  <c r="F1641" i="1" a="1"/>
  <c r="F1641" i="1" s="1"/>
  <c r="F1642" i="1" a="1"/>
  <c r="F1642" i="1" s="1"/>
  <c r="F1643" i="1" a="1"/>
  <c r="F1643" i="1" s="1"/>
  <c r="F1644" i="1" a="1"/>
  <c r="F1644" i="1" s="1"/>
  <c r="F1645" i="1" a="1"/>
  <c r="F1645" i="1" s="1"/>
  <c r="F1646" i="1" a="1"/>
  <c r="F1646" i="1" s="1"/>
  <c r="F1647" i="1" a="1"/>
  <c r="F1647" i="1" s="1"/>
  <c r="F1648" i="1" a="1"/>
  <c r="F1648" i="1" s="1"/>
  <c r="F1649" i="1" a="1"/>
  <c r="F1649" i="1" s="1"/>
  <c r="F1650" i="1" a="1"/>
  <c r="F1650" i="1" s="1"/>
  <c r="F1651" i="1" a="1"/>
  <c r="F1651" i="1" s="1"/>
  <c r="F1652" i="1" a="1"/>
  <c r="F1652" i="1" s="1"/>
  <c r="F1653" i="1" a="1"/>
  <c r="F1653" i="1" s="1"/>
  <c r="F1654" i="1" a="1"/>
  <c r="F1654" i="1" s="1"/>
  <c r="F1655" i="1" a="1"/>
  <c r="F1655" i="1" s="1"/>
  <c r="F1656" i="1" a="1"/>
  <c r="F1656" i="1" s="1"/>
  <c r="F1657" i="1" a="1"/>
  <c r="F1657" i="1" s="1"/>
  <c r="F1658" i="1" a="1"/>
  <c r="F1658" i="1" s="1"/>
  <c r="F1659" i="1" a="1"/>
  <c r="F1659" i="1" s="1"/>
  <c r="F1660" i="1" a="1"/>
  <c r="F1660" i="1" s="1"/>
  <c r="F1661" i="1" a="1"/>
  <c r="F1661" i="1" s="1"/>
  <c r="F1662" i="1" a="1"/>
  <c r="F1662" i="1" s="1"/>
  <c r="F1663" i="1" a="1"/>
  <c r="F1663" i="1" s="1"/>
  <c r="F1664" i="1" a="1"/>
  <c r="F1664" i="1" s="1"/>
  <c r="F1665" i="1" a="1"/>
  <c r="F1665" i="1" s="1"/>
  <c r="F1666" i="1" a="1"/>
  <c r="F1666" i="1" s="1"/>
  <c r="F1667" i="1" a="1"/>
  <c r="F1667" i="1" s="1"/>
  <c r="F1668" i="1" a="1"/>
  <c r="F1668" i="1" s="1"/>
  <c r="F1669" i="1" a="1"/>
  <c r="F1669" i="1" s="1"/>
  <c r="F1670" i="1" a="1"/>
  <c r="F1670" i="1" s="1"/>
  <c r="F1671" i="1" a="1"/>
  <c r="F1671" i="1" s="1"/>
  <c r="F1672" i="1" a="1"/>
  <c r="F1672" i="1" s="1"/>
  <c r="F1673" i="1" a="1"/>
  <c r="F1673" i="1" s="1"/>
  <c r="F1674" i="1" a="1"/>
  <c r="F1674" i="1" s="1"/>
  <c r="F1675" i="1" a="1"/>
  <c r="F1675" i="1" s="1"/>
  <c r="F1676" i="1" a="1"/>
  <c r="F1676" i="1" s="1"/>
  <c r="F1677" i="1" a="1"/>
  <c r="F1677" i="1" s="1"/>
  <c r="F1678" i="1" a="1"/>
  <c r="F1678" i="1" s="1"/>
  <c r="F1679" i="1" a="1"/>
  <c r="F1679" i="1" s="1"/>
  <c r="F1680" i="1" a="1"/>
  <c r="F1680" i="1" s="1"/>
  <c r="F1681" i="1" a="1"/>
  <c r="F1681" i="1" s="1"/>
  <c r="F1682" i="1" a="1"/>
  <c r="F1682" i="1" s="1"/>
  <c r="F1683" i="1" a="1"/>
  <c r="F1683" i="1" s="1"/>
  <c r="F1684" i="1" a="1"/>
  <c r="F1684" i="1" s="1"/>
  <c r="F1685" i="1" a="1"/>
  <c r="F1685" i="1" s="1"/>
  <c r="F1686" i="1" a="1"/>
  <c r="F1686" i="1" s="1"/>
  <c r="F1687" i="1" a="1"/>
  <c r="F1687" i="1" s="1"/>
  <c r="F1688" i="1" a="1"/>
  <c r="F1688" i="1" s="1"/>
  <c r="F1689" i="1" a="1"/>
  <c r="F1689" i="1" s="1"/>
  <c r="F1690" i="1" a="1"/>
  <c r="F1690" i="1" s="1"/>
  <c r="F1691" i="1" a="1"/>
  <c r="F1691" i="1" s="1"/>
  <c r="F1692" i="1" a="1"/>
  <c r="F1692" i="1" s="1"/>
  <c r="F1693" i="1" a="1"/>
  <c r="F1693" i="1" s="1"/>
  <c r="F1694" i="1" a="1"/>
  <c r="F1694" i="1" s="1"/>
  <c r="F1695" i="1" a="1"/>
  <c r="F1695" i="1" s="1"/>
  <c r="F1696" i="1" a="1"/>
  <c r="F1696" i="1" s="1"/>
  <c r="F1697" i="1" a="1"/>
  <c r="F1697" i="1" s="1"/>
  <c r="F1698" i="1" a="1"/>
  <c r="F1698" i="1" s="1"/>
  <c r="F1699" i="1" a="1"/>
  <c r="F1699" i="1" s="1"/>
  <c r="F1700" i="1" a="1"/>
  <c r="F1700" i="1" s="1"/>
  <c r="F1701" i="1" a="1"/>
  <c r="F1701" i="1" s="1"/>
  <c r="F1702" i="1" a="1"/>
  <c r="F1702" i="1" s="1"/>
  <c r="F1703" i="1" a="1"/>
  <c r="F1703" i="1" s="1"/>
  <c r="F1704" i="1" a="1"/>
  <c r="F1704" i="1" s="1"/>
  <c r="F1705" i="1" a="1"/>
  <c r="F1705" i="1" s="1"/>
  <c r="F1706" i="1" a="1"/>
  <c r="F1706" i="1" s="1"/>
  <c r="F1707" i="1" a="1"/>
  <c r="F1707" i="1" s="1"/>
  <c r="F1708" i="1" a="1"/>
  <c r="F1708" i="1" s="1"/>
  <c r="F1709" i="1" a="1"/>
  <c r="F1709" i="1" s="1"/>
  <c r="F1710" i="1" a="1"/>
  <c r="F1710" i="1" s="1"/>
  <c r="F1711" i="1" a="1"/>
  <c r="F1711" i="1" s="1"/>
  <c r="F1712" i="1" a="1"/>
  <c r="F1712" i="1" s="1"/>
  <c r="F1713" i="1" a="1"/>
  <c r="F1713" i="1" s="1"/>
  <c r="F1714" i="1" a="1"/>
  <c r="F1714" i="1" s="1"/>
  <c r="F1715" i="1" a="1"/>
  <c r="F1715" i="1" s="1"/>
  <c r="F1716" i="1" a="1"/>
  <c r="F1716" i="1" s="1"/>
  <c r="F1717" i="1" a="1"/>
  <c r="F1717" i="1" s="1"/>
  <c r="F1718" i="1" a="1"/>
  <c r="F1718" i="1" s="1"/>
  <c r="F1719" i="1" a="1"/>
  <c r="F1719" i="1" s="1"/>
  <c r="F1720" i="1" a="1"/>
  <c r="F1720" i="1" s="1"/>
  <c r="F1721" i="1" a="1"/>
  <c r="F1721" i="1" s="1"/>
  <c r="F1722" i="1" a="1"/>
  <c r="F1722" i="1" s="1"/>
  <c r="F1723" i="1" a="1"/>
  <c r="F1723" i="1" s="1"/>
  <c r="F1724" i="1" a="1"/>
  <c r="F1724" i="1" s="1"/>
  <c r="F1725" i="1" a="1"/>
  <c r="F1725" i="1" s="1"/>
  <c r="F1726" i="1" a="1"/>
  <c r="F1726" i="1" s="1"/>
  <c r="F1727" i="1" a="1"/>
  <c r="F1727" i="1" s="1"/>
  <c r="F1728" i="1" a="1"/>
  <c r="F1728" i="1" s="1"/>
  <c r="F1729" i="1" a="1"/>
  <c r="F1729" i="1" s="1"/>
  <c r="F1730" i="1" a="1"/>
  <c r="F1730" i="1" s="1"/>
  <c r="F1731" i="1" a="1"/>
  <c r="F1731" i="1" s="1"/>
  <c r="F1732" i="1" a="1"/>
  <c r="F1732" i="1" s="1"/>
  <c r="F1733" i="1" a="1"/>
  <c r="F1733" i="1" s="1"/>
  <c r="F1734" i="1" a="1"/>
  <c r="F1734" i="1" s="1"/>
  <c r="F1735" i="1" a="1"/>
  <c r="F1735" i="1" s="1"/>
  <c r="F1736" i="1" a="1"/>
  <c r="F1736" i="1" s="1"/>
  <c r="F1737" i="1" a="1"/>
  <c r="F1737" i="1" s="1"/>
  <c r="F1738" i="1" a="1"/>
  <c r="F1738" i="1" s="1"/>
  <c r="F1739" i="1" a="1"/>
  <c r="F1739" i="1" s="1"/>
  <c r="F1740" i="1" a="1"/>
  <c r="F1740" i="1" s="1"/>
  <c r="F1741" i="1" a="1"/>
  <c r="F1741" i="1" s="1"/>
  <c r="F1742" i="1" a="1"/>
  <c r="F1742" i="1" s="1"/>
  <c r="F1743" i="1" a="1"/>
  <c r="F1743" i="1" s="1"/>
  <c r="F1744" i="1" a="1"/>
  <c r="F1744" i="1" s="1"/>
  <c r="F1745" i="1" a="1"/>
  <c r="F1745" i="1" s="1"/>
  <c r="F1746" i="1" a="1"/>
  <c r="F1746" i="1" s="1"/>
  <c r="F1747" i="1" a="1"/>
  <c r="F1747" i="1" s="1"/>
  <c r="F1748" i="1" a="1"/>
  <c r="F1748" i="1" s="1"/>
  <c r="F1749" i="1" a="1"/>
  <c r="F1749" i="1" s="1"/>
  <c r="F1750" i="1" a="1"/>
  <c r="F1750" i="1" s="1"/>
  <c r="F1751" i="1" a="1"/>
  <c r="F1751" i="1" s="1"/>
  <c r="F1752" i="1" a="1"/>
  <c r="F1752" i="1" s="1"/>
  <c r="F1753" i="1" a="1"/>
  <c r="F1753" i="1" s="1"/>
  <c r="F1754" i="1" a="1"/>
  <c r="F1754" i="1" s="1"/>
  <c r="F1755" i="1" a="1"/>
  <c r="F1755" i="1" s="1"/>
  <c r="F1756" i="1" a="1"/>
  <c r="F1756" i="1" s="1"/>
  <c r="F1757" i="1" a="1"/>
  <c r="F1757" i="1" s="1"/>
  <c r="F1758" i="1" a="1"/>
  <c r="F1758" i="1" s="1"/>
  <c r="F1759" i="1" a="1"/>
  <c r="F1759" i="1" s="1"/>
  <c r="F1760" i="1" a="1"/>
  <c r="F1760" i="1" s="1"/>
  <c r="F1761" i="1" a="1"/>
  <c r="F1761" i="1" s="1"/>
  <c r="F1762" i="1" a="1"/>
  <c r="F1762" i="1" s="1"/>
  <c r="F1763" i="1" a="1"/>
  <c r="F1763" i="1" s="1"/>
  <c r="F1764" i="1" a="1"/>
  <c r="F1764" i="1" s="1"/>
  <c r="F1765" i="1" a="1"/>
  <c r="F1765" i="1" s="1"/>
  <c r="F1766" i="1" a="1"/>
  <c r="F1766" i="1" s="1"/>
  <c r="F1767" i="1" a="1"/>
  <c r="F1767" i="1" s="1"/>
  <c r="F1768" i="1" a="1"/>
  <c r="F1768" i="1" s="1"/>
  <c r="F1769" i="1" a="1"/>
  <c r="F1769" i="1" s="1"/>
  <c r="F1770" i="1" a="1"/>
  <c r="F1770" i="1" s="1"/>
  <c r="F1771" i="1" a="1"/>
  <c r="F1771" i="1" s="1"/>
  <c r="F1772" i="1" a="1"/>
  <c r="F1772" i="1" s="1"/>
  <c r="F1773" i="1" a="1"/>
  <c r="F1773" i="1" s="1"/>
  <c r="F1774" i="1" a="1"/>
  <c r="F1774" i="1" s="1"/>
  <c r="F1775" i="1" a="1"/>
  <c r="F1775" i="1" s="1"/>
  <c r="F1776" i="1" a="1"/>
  <c r="F1776" i="1" s="1"/>
  <c r="F1777" i="1" a="1"/>
  <c r="F1777" i="1" s="1"/>
  <c r="F1778" i="1" a="1"/>
  <c r="F1778" i="1" s="1"/>
  <c r="F1779" i="1" a="1"/>
  <c r="F1779" i="1" s="1"/>
  <c r="F1780" i="1" a="1"/>
  <c r="F1780" i="1" s="1"/>
  <c r="F1781" i="1" a="1"/>
  <c r="F1781" i="1" s="1"/>
  <c r="F1782" i="1" a="1"/>
  <c r="F1782" i="1" s="1"/>
  <c r="F1783" i="1" a="1"/>
  <c r="F1783" i="1" s="1"/>
  <c r="F1784" i="1" a="1"/>
  <c r="F1784" i="1" s="1"/>
  <c r="F1785" i="1" a="1"/>
  <c r="F1785" i="1" s="1"/>
  <c r="F1786" i="1" a="1"/>
  <c r="F1786" i="1" s="1"/>
  <c r="F1787" i="1" a="1"/>
  <c r="F1787" i="1" s="1"/>
  <c r="F1788" i="1" a="1"/>
  <c r="F1788" i="1" s="1"/>
  <c r="F1789" i="1" a="1"/>
  <c r="F1789" i="1" s="1"/>
  <c r="F1790" i="1" a="1"/>
  <c r="F1790" i="1" s="1"/>
  <c r="F1791" i="1" a="1"/>
  <c r="F1791" i="1" s="1"/>
  <c r="F1792" i="1" a="1"/>
  <c r="F1792" i="1" s="1"/>
  <c r="F1793" i="1" a="1"/>
  <c r="F1793" i="1" s="1"/>
  <c r="F1794" i="1" a="1"/>
  <c r="F1794" i="1" s="1"/>
  <c r="F1795" i="1" a="1"/>
  <c r="F1795" i="1" s="1"/>
  <c r="F1796" i="1" a="1"/>
  <c r="F1796" i="1" s="1"/>
  <c r="F1797" i="1" a="1"/>
  <c r="F1797" i="1" s="1"/>
  <c r="F1798" i="1" a="1"/>
  <c r="F1798" i="1" s="1"/>
  <c r="F1799" i="1" a="1"/>
  <c r="F1799" i="1" s="1"/>
  <c r="F1800" i="1" a="1"/>
  <c r="F1800" i="1" s="1"/>
  <c r="F1801" i="1" a="1"/>
  <c r="F1801" i="1" s="1"/>
  <c r="F1802" i="1" a="1"/>
  <c r="F1802" i="1" s="1"/>
  <c r="F1803" i="1" a="1"/>
  <c r="F1803" i="1" s="1"/>
  <c r="F1804" i="1" a="1"/>
  <c r="F1804" i="1" s="1"/>
  <c r="F1805" i="1" a="1"/>
  <c r="F1805" i="1" s="1"/>
  <c r="F1806" i="1" a="1"/>
  <c r="F1806" i="1" s="1"/>
  <c r="F1807" i="1" a="1"/>
  <c r="F1807" i="1" s="1"/>
  <c r="F1808" i="1" a="1"/>
  <c r="F1808" i="1" s="1"/>
  <c r="F1809" i="1" a="1"/>
  <c r="F1809" i="1" s="1"/>
  <c r="F1810" i="1" a="1"/>
  <c r="F1810" i="1" s="1"/>
  <c r="F1811" i="1" a="1"/>
  <c r="F1811" i="1" s="1"/>
  <c r="F1812" i="1" a="1"/>
  <c r="F1812" i="1" s="1"/>
  <c r="F1813" i="1" a="1"/>
  <c r="F1813" i="1" s="1"/>
  <c r="F1814" i="1" a="1"/>
  <c r="F1814" i="1" s="1"/>
  <c r="F1815" i="1" a="1"/>
  <c r="F1815" i="1" s="1"/>
  <c r="F1816" i="1" a="1"/>
  <c r="F1816" i="1" s="1"/>
  <c r="F1817" i="1" a="1"/>
  <c r="F1817" i="1" s="1"/>
  <c r="F1818" i="1" a="1"/>
  <c r="F1818" i="1" s="1"/>
  <c r="F1819" i="1" a="1"/>
  <c r="F1819" i="1" s="1"/>
  <c r="F1820" i="1" a="1"/>
  <c r="F1820" i="1" s="1"/>
  <c r="F1821" i="1" a="1"/>
  <c r="F1821" i="1" s="1"/>
  <c r="F1822" i="1" a="1"/>
  <c r="F1822" i="1" s="1"/>
  <c r="F1823" i="1" a="1"/>
  <c r="F1823" i="1" s="1"/>
  <c r="F1824" i="1" a="1"/>
  <c r="F1824" i="1" s="1"/>
  <c r="F1825" i="1" a="1"/>
  <c r="F1825" i="1" s="1"/>
  <c r="F1826" i="1" a="1"/>
  <c r="F1826" i="1" s="1"/>
  <c r="F1827" i="1" a="1"/>
  <c r="F1827" i="1" s="1"/>
  <c r="F1828" i="1" a="1"/>
  <c r="F1828" i="1" s="1"/>
  <c r="F1829" i="1" a="1"/>
  <c r="F1829" i="1" s="1"/>
  <c r="F1830" i="1" a="1"/>
  <c r="F1830" i="1" s="1"/>
  <c r="F1831" i="1" a="1"/>
  <c r="F1831" i="1" s="1"/>
  <c r="F1832" i="1" a="1"/>
  <c r="F1832" i="1" s="1"/>
  <c r="F1833" i="1" a="1"/>
  <c r="F1833" i="1" s="1"/>
  <c r="F1834" i="1" a="1"/>
  <c r="F1834" i="1" s="1"/>
  <c r="F1835" i="1" a="1"/>
  <c r="F1835" i="1" s="1"/>
  <c r="F1836" i="1" a="1"/>
  <c r="F1836" i="1" s="1"/>
  <c r="F1837" i="1" a="1"/>
  <c r="F1837" i="1" s="1"/>
  <c r="F1838" i="1" a="1"/>
  <c r="F1838" i="1" s="1"/>
  <c r="F1839" i="1" a="1"/>
  <c r="F1839" i="1" s="1"/>
  <c r="F1840" i="1" a="1"/>
  <c r="F1840" i="1" s="1"/>
  <c r="F1841" i="1" a="1"/>
  <c r="F1841" i="1" s="1"/>
  <c r="F1842" i="1" a="1"/>
  <c r="F1842" i="1" s="1"/>
  <c r="F1843" i="1" a="1"/>
  <c r="F1843" i="1" s="1"/>
  <c r="F1844" i="1" a="1"/>
  <c r="F1844" i="1" s="1"/>
  <c r="F1845" i="1" a="1"/>
  <c r="F1845" i="1" s="1"/>
  <c r="F1846" i="1" a="1"/>
  <c r="F1846" i="1" s="1"/>
  <c r="F1847" i="1" a="1"/>
  <c r="F1847" i="1" s="1"/>
  <c r="F1848" i="1" a="1"/>
  <c r="F1848" i="1" s="1"/>
  <c r="F1849" i="1" a="1"/>
  <c r="F1849" i="1" s="1"/>
  <c r="F1850" i="1" a="1"/>
  <c r="F1850" i="1" s="1"/>
  <c r="F1851" i="1" a="1"/>
  <c r="F1851" i="1" s="1"/>
  <c r="F1852" i="1" a="1"/>
  <c r="F1852" i="1" s="1"/>
  <c r="F1853" i="1" a="1"/>
  <c r="F1853" i="1" s="1"/>
  <c r="F1854" i="1" a="1"/>
  <c r="F1854" i="1" s="1"/>
  <c r="F1855" i="1" a="1"/>
  <c r="F1855" i="1" s="1"/>
  <c r="F1856" i="1" a="1"/>
  <c r="F1856" i="1" s="1"/>
  <c r="F1857" i="1" a="1"/>
  <c r="F1857" i="1" s="1"/>
  <c r="F1858" i="1" a="1"/>
  <c r="F1858" i="1" s="1"/>
  <c r="F1859" i="1" a="1"/>
  <c r="F1859" i="1" s="1"/>
  <c r="F1860" i="1" a="1"/>
  <c r="F1860" i="1" s="1"/>
  <c r="F1861" i="1" a="1"/>
  <c r="F1861" i="1" s="1"/>
  <c r="F1862" i="1" a="1"/>
  <c r="F1862" i="1" s="1"/>
  <c r="F1863" i="1" a="1"/>
  <c r="F1863" i="1" s="1"/>
  <c r="F1864" i="1" a="1"/>
  <c r="F1864" i="1" s="1"/>
  <c r="F1865" i="1" a="1"/>
  <c r="F1865" i="1" s="1"/>
  <c r="F1866" i="1" a="1"/>
  <c r="F1866" i="1" s="1"/>
  <c r="F1867" i="1" a="1"/>
  <c r="F1867" i="1" s="1"/>
  <c r="F1868" i="1" a="1"/>
  <c r="F1868" i="1" s="1"/>
  <c r="F1869" i="1" a="1"/>
  <c r="F1869" i="1" s="1"/>
  <c r="F1870" i="1" a="1"/>
  <c r="F1870" i="1" s="1"/>
  <c r="F1871" i="1" a="1"/>
  <c r="F1871" i="1" s="1"/>
  <c r="F1872" i="1" a="1"/>
  <c r="F1872" i="1" s="1"/>
  <c r="F1873" i="1" a="1"/>
  <c r="F1873" i="1" s="1"/>
  <c r="F1874" i="1" a="1"/>
  <c r="F1874" i="1" s="1"/>
  <c r="F1875" i="1" a="1"/>
  <c r="F1875" i="1" s="1"/>
  <c r="F1876" i="1" a="1"/>
  <c r="F1876" i="1" s="1"/>
  <c r="F1877" i="1" a="1"/>
  <c r="F1877" i="1" s="1"/>
  <c r="F1878" i="1" a="1"/>
  <c r="F1878" i="1" s="1"/>
  <c r="F1879" i="1" a="1"/>
  <c r="F1879" i="1" s="1"/>
  <c r="F1880" i="1" a="1"/>
  <c r="F1880" i="1" s="1"/>
  <c r="F1881" i="1" a="1"/>
  <c r="F1881" i="1" s="1"/>
  <c r="F1882" i="1" a="1"/>
  <c r="F1882" i="1" s="1"/>
  <c r="F1883" i="1" a="1"/>
  <c r="F1883" i="1" s="1"/>
  <c r="F1884" i="1" a="1"/>
  <c r="F1884" i="1" s="1"/>
  <c r="F1885" i="1" a="1"/>
  <c r="F1885" i="1" s="1"/>
  <c r="F1886" i="1" a="1"/>
  <c r="F1886" i="1" s="1"/>
  <c r="F1887" i="1" a="1"/>
  <c r="F1887" i="1" s="1"/>
  <c r="F1888" i="1" a="1"/>
  <c r="F1888" i="1" s="1"/>
  <c r="F1889" i="1" a="1"/>
  <c r="F1889" i="1" s="1"/>
  <c r="F1890" i="1" a="1"/>
  <c r="F1890" i="1" s="1"/>
  <c r="F1891" i="1" a="1"/>
  <c r="F1891" i="1" s="1"/>
  <c r="F1892" i="1" a="1"/>
  <c r="F1892" i="1" s="1"/>
  <c r="F1893" i="1" a="1"/>
  <c r="F1893" i="1" s="1"/>
  <c r="F1894" i="1" a="1"/>
  <c r="F1894" i="1" s="1"/>
  <c r="F1895" i="1" a="1"/>
  <c r="F1895" i="1" s="1"/>
  <c r="F1896" i="1" a="1"/>
  <c r="F1896" i="1" s="1"/>
  <c r="F1897" i="1" a="1"/>
  <c r="F1897" i="1" s="1"/>
  <c r="F1898" i="1" a="1"/>
  <c r="F1898" i="1" s="1"/>
  <c r="F1899" i="1" a="1"/>
  <c r="F1899" i="1" s="1"/>
  <c r="F1900" i="1" a="1"/>
  <c r="F1900" i="1" s="1"/>
  <c r="F1901" i="1" a="1"/>
  <c r="F1901" i="1" s="1"/>
  <c r="F1902" i="1" a="1"/>
  <c r="F1902" i="1" s="1"/>
  <c r="F1903" i="1" a="1"/>
  <c r="F1903" i="1" s="1"/>
  <c r="F1904" i="1" a="1"/>
  <c r="F1904" i="1" s="1"/>
  <c r="F1905" i="1" a="1"/>
  <c r="F1905" i="1" s="1"/>
  <c r="F1906" i="1" a="1"/>
  <c r="F1906" i="1" s="1"/>
  <c r="F1907" i="1" a="1"/>
  <c r="F1907" i="1" s="1"/>
  <c r="F1908" i="1" a="1"/>
  <c r="F1908" i="1" s="1"/>
  <c r="F1909" i="1" a="1"/>
  <c r="F1909" i="1" s="1"/>
  <c r="F1910" i="1" a="1"/>
  <c r="F1910" i="1" s="1"/>
  <c r="F1911" i="1" a="1"/>
  <c r="F1911" i="1" s="1"/>
  <c r="F1912" i="1" a="1"/>
  <c r="F1912" i="1" s="1"/>
  <c r="F1913" i="1" a="1"/>
  <c r="F1913" i="1" s="1"/>
  <c r="F1914" i="1" a="1"/>
  <c r="F1914" i="1" s="1"/>
  <c r="F1915" i="1" a="1"/>
  <c r="F1915" i="1" s="1"/>
  <c r="F1916" i="1" a="1"/>
  <c r="F1916" i="1" s="1"/>
  <c r="F1917" i="1" a="1"/>
  <c r="F1917" i="1" s="1"/>
  <c r="F1918" i="1" a="1"/>
  <c r="F1918" i="1" s="1"/>
  <c r="F1919" i="1" a="1"/>
  <c r="F1919" i="1" s="1"/>
  <c r="F1920" i="1" a="1"/>
  <c r="F1920" i="1" s="1"/>
  <c r="F1921" i="1" a="1"/>
  <c r="F1921" i="1" s="1"/>
  <c r="F1922" i="1" a="1"/>
  <c r="F1922" i="1" s="1"/>
  <c r="F1923" i="1" a="1"/>
  <c r="F1923" i="1" s="1"/>
  <c r="F1924" i="1" a="1"/>
  <c r="F1924" i="1" s="1"/>
  <c r="F1925" i="1" a="1"/>
  <c r="F1925" i="1" s="1"/>
  <c r="F1926" i="1" a="1"/>
  <c r="F1926" i="1" s="1"/>
  <c r="F1927" i="1" a="1"/>
  <c r="F1927" i="1" s="1"/>
  <c r="F1928" i="1" a="1"/>
  <c r="F1928" i="1" s="1"/>
  <c r="F1929" i="1" a="1"/>
  <c r="F1929" i="1" s="1"/>
  <c r="F1930" i="1" a="1"/>
  <c r="F1930" i="1" s="1"/>
  <c r="F1931" i="1" a="1"/>
  <c r="F1931" i="1" s="1"/>
  <c r="F1932" i="1" a="1"/>
  <c r="F1932" i="1" s="1"/>
  <c r="F1933" i="1" a="1"/>
  <c r="F1933" i="1" s="1"/>
  <c r="F1934" i="1" a="1"/>
  <c r="F1934" i="1" s="1"/>
  <c r="F1935" i="1" a="1"/>
  <c r="F1935" i="1" s="1"/>
  <c r="F1936" i="1" a="1"/>
  <c r="F1936" i="1" s="1"/>
  <c r="F1937" i="1" a="1"/>
  <c r="F1937" i="1" s="1"/>
  <c r="F1938" i="1" a="1"/>
  <c r="F1938" i="1" s="1"/>
  <c r="F1939" i="1" a="1"/>
  <c r="F1939" i="1" s="1"/>
  <c r="F1940" i="1" a="1"/>
  <c r="F1940" i="1" s="1"/>
  <c r="F1941" i="1" a="1"/>
  <c r="F1941" i="1" s="1"/>
  <c r="F1942" i="1" a="1"/>
  <c r="F1942" i="1" s="1"/>
  <c r="F1943" i="1" a="1"/>
  <c r="F1943" i="1" s="1"/>
  <c r="F1944" i="1" a="1"/>
  <c r="F1944" i="1" s="1"/>
  <c r="F1945" i="1" a="1"/>
  <c r="F1945" i="1" s="1"/>
  <c r="F1946" i="1" a="1"/>
  <c r="F1946" i="1" s="1"/>
  <c r="F1947" i="1" a="1"/>
  <c r="F1947" i="1" s="1"/>
  <c r="F1948" i="1" a="1"/>
  <c r="F1948" i="1" s="1"/>
  <c r="F1949" i="1" a="1"/>
  <c r="F1949" i="1" s="1"/>
  <c r="F1950" i="1" a="1"/>
  <c r="F1950" i="1" s="1"/>
  <c r="F1951" i="1" a="1"/>
  <c r="F1951" i="1" s="1"/>
  <c r="F1952" i="1" a="1"/>
  <c r="F1952" i="1" s="1"/>
  <c r="F1953" i="1" a="1"/>
  <c r="F1953" i="1" s="1"/>
  <c r="F1954" i="1" a="1"/>
  <c r="F1954" i="1" s="1"/>
  <c r="F1955" i="1" a="1"/>
  <c r="F1955" i="1" s="1"/>
  <c r="F1956" i="1" a="1"/>
  <c r="F1956" i="1" s="1"/>
  <c r="F1957" i="1" a="1"/>
  <c r="F1957" i="1" s="1"/>
  <c r="F1958" i="1" a="1"/>
  <c r="F1958" i="1" s="1"/>
  <c r="F1959" i="1" a="1"/>
  <c r="F1959" i="1" s="1"/>
  <c r="F1960" i="1" a="1"/>
  <c r="F1960" i="1" s="1"/>
  <c r="F1961" i="1" a="1"/>
  <c r="F1961" i="1" s="1"/>
  <c r="F1962" i="1" a="1"/>
  <c r="F1962" i="1" s="1"/>
  <c r="F1963" i="1" a="1"/>
  <c r="F1963" i="1" s="1"/>
  <c r="F1964" i="1" a="1"/>
  <c r="F1964" i="1" s="1"/>
  <c r="F1965" i="1" a="1"/>
  <c r="F1965" i="1" s="1"/>
  <c r="F1966" i="1" a="1"/>
  <c r="F1966" i="1" s="1"/>
  <c r="F1967" i="1" a="1"/>
  <c r="F1967" i="1" s="1"/>
  <c r="F1968" i="1" a="1"/>
  <c r="F1968" i="1" s="1"/>
  <c r="F1969" i="1" a="1"/>
  <c r="F1969" i="1" s="1"/>
  <c r="F1970" i="1" a="1"/>
  <c r="F1970" i="1" s="1"/>
  <c r="F1971" i="1" a="1"/>
  <c r="F1971" i="1" s="1"/>
  <c r="F1972" i="1" a="1"/>
  <c r="F1972" i="1" s="1"/>
  <c r="F1973" i="1" a="1"/>
  <c r="F1973" i="1" s="1"/>
  <c r="F1974" i="1" a="1"/>
  <c r="F1974" i="1" s="1"/>
  <c r="F1975" i="1" a="1"/>
  <c r="F1975" i="1" s="1"/>
  <c r="F1976" i="1" a="1"/>
  <c r="F1976" i="1" s="1"/>
  <c r="F1977" i="1" a="1"/>
  <c r="F1977" i="1" s="1"/>
  <c r="F1978" i="1" a="1"/>
  <c r="F1978" i="1" s="1"/>
  <c r="F1979" i="1" a="1"/>
  <c r="F1979" i="1" s="1"/>
  <c r="F1980" i="1" a="1"/>
  <c r="F1980" i="1" s="1"/>
  <c r="F1981" i="1" a="1"/>
  <c r="F1981" i="1" s="1"/>
  <c r="F1982" i="1" a="1"/>
  <c r="F1982" i="1" s="1"/>
  <c r="F1983" i="1" a="1"/>
  <c r="F1983" i="1" s="1"/>
  <c r="F1984" i="1" a="1"/>
  <c r="F1984" i="1" s="1"/>
  <c r="F1985" i="1" a="1"/>
  <c r="F1985" i="1" s="1"/>
  <c r="F1986" i="1" a="1"/>
  <c r="F1986" i="1" s="1"/>
  <c r="F1987" i="1" a="1"/>
  <c r="F1987" i="1" s="1"/>
  <c r="F1988" i="1" a="1"/>
  <c r="F1988" i="1" s="1"/>
  <c r="F1989" i="1" a="1"/>
  <c r="F1989" i="1" s="1"/>
  <c r="F1990" i="1" a="1"/>
  <c r="F1990" i="1" s="1"/>
  <c r="F1991" i="1" a="1"/>
  <c r="F1991" i="1" s="1"/>
  <c r="F1992" i="1" a="1"/>
  <c r="F1992" i="1" s="1"/>
  <c r="F1993" i="1" a="1"/>
  <c r="F1993" i="1" s="1"/>
  <c r="F1994" i="1" a="1"/>
  <c r="F1994" i="1" s="1"/>
  <c r="F1995" i="1" a="1"/>
  <c r="F1995" i="1" s="1"/>
  <c r="F1996" i="1" a="1"/>
  <c r="F1996" i="1" s="1"/>
  <c r="F1997" i="1" a="1"/>
  <c r="F1997" i="1" s="1"/>
  <c r="F1998" i="1" a="1"/>
  <c r="F1998" i="1" s="1"/>
  <c r="F1999" i="1" a="1"/>
  <c r="F1999" i="1" s="1"/>
  <c r="F2000" i="1" a="1"/>
  <c r="F2000" i="1" s="1"/>
  <c r="F2001" i="1" a="1"/>
  <c r="F2001" i="1" s="1"/>
  <c r="B202" i="1" a="1"/>
  <c r="B202" i="1" s="1"/>
  <c r="B203" i="1" a="1"/>
  <c r="B203" i="1" s="1"/>
  <c r="B204" i="1" a="1"/>
  <c r="B204" i="1" s="1"/>
  <c r="B205" i="1" a="1"/>
  <c r="B205" i="1" s="1"/>
  <c r="B206" i="1" a="1"/>
  <c r="B206" i="1" s="1"/>
  <c r="B207" i="1" a="1"/>
  <c r="B207" i="1" s="1"/>
  <c r="B208" i="1" a="1"/>
  <c r="B208" i="1" s="1"/>
  <c r="B209" i="1" a="1"/>
  <c r="B209" i="1" s="1"/>
  <c r="B210" i="1" a="1"/>
  <c r="B210" i="1" s="1"/>
  <c r="B211" i="1" a="1"/>
  <c r="B211" i="1" s="1"/>
  <c r="B212" i="1" a="1"/>
  <c r="B212" i="1" s="1"/>
  <c r="B213" i="1" a="1"/>
  <c r="B213" i="1" s="1"/>
  <c r="B214" i="1" a="1"/>
  <c r="B214" i="1" s="1"/>
  <c r="B215" i="1" a="1"/>
  <c r="B215" i="1" s="1"/>
  <c r="B216" i="1" a="1"/>
  <c r="B216" i="1" s="1"/>
  <c r="B217" i="1" a="1"/>
  <c r="B217" i="1" s="1"/>
  <c r="B218" i="1" a="1"/>
  <c r="B218" i="1" s="1"/>
  <c r="B219" i="1" a="1"/>
  <c r="B219" i="1" s="1"/>
  <c r="B220" i="1" a="1"/>
  <c r="B220" i="1" s="1"/>
  <c r="B221" i="1" a="1"/>
  <c r="B221" i="1" s="1"/>
  <c r="B222" i="1" a="1"/>
  <c r="B222" i="1" s="1"/>
  <c r="B223" i="1" a="1"/>
  <c r="B223" i="1" s="1"/>
  <c r="B224" i="1" a="1"/>
  <c r="B224" i="1" s="1"/>
  <c r="B225" i="1" a="1"/>
  <c r="B225" i="1" s="1"/>
  <c r="B226" i="1" a="1"/>
  <c r="B226" i="1" s="1"/>
  <c r="B227" i="1" a="1"/>
  <c r="B227" i="1" s="1"/>
  <c r="B228" i="1" a="1"/>
  <c r="B228" i="1" s="1"/>
  <c r="B229" i="1" a="1"/>
  <c r="B229" i="1" s="1"/>
  <c r="B230" i="1" a="1"/>
  <c r="B230" i="1" s="1"/>
  <c r="B231" i="1" a="1"/>
  <c r="B231" i="1" s="1"/>
  <c r="B232" i="1" a="1"/>
  <c r="B232" i="1" s="1"/>
  <c r="B233" i="1" a="1"/>
  <c r="B233" i="1" s="1"/>
  <c r="B234" i="1" a="1"/>
  <c r="B234" i="1" s="1"/>
  <c r="B235" i="1" a="1"/>
  <c r="B235" i="1" s="1"/>
  <c r="B236" i="1" a="1"/>
  <c r="B236" i="1" s="1"/>
  <c r="B237" i="1" a="1"/>
  <c r="B237" i="1" s="1"/>
  <c r="B238" i="1" a="1"/>
  <c r="B238" i="1" s="1"/>
  <c r="B239" i="1" a="1"/>
  <c r="B239" i="1" s="1"/>
  <c r="B240" i="1" a="1"/>
  <c r="B240" i="1" s="1"/>
  <c r="B241" i="1" a="1"/>
  <c r="B241" i="1" s="1"/>
  <c r="B242" i="1" a="1"/>
  <c r="B242" i="1" s="1"/>
  <c r="B243" i="1" a="1"/>
  <c r="B243" i="1" s="1"/>
  <c r="B244" i="1" a="1"/>
  <c r="B244" i="1" s="1"/>
  <c r="B245" i="1" a="1"/>
  <c r="B245" i="1" s="1"/>
  <c r="B246" i="1" a="1"/>
  <c r="B246" i="1" s="1"/>
  <c r="B247" i="1" a="1"/>
  <c r="B247" i="1" s="1"/>
  <c r="B248" i="1" a="1"/>
  <c r="B248" i="1" s="1"/>
  <c r="B249" i="1" a="1"/>
  <c r="B249" i="1" s="1"/>
  <c r="B250" i="1" a="1"/>
  <c r="B250" i="1" s="1"/>
  <c r="B251" i="1" a="1"/>
  <c r="B251" i="1" s="1"/>
  <c r="B252" i="1" a="1"/>
  <c r="B252" i="1" s="1"/>
  <c r="B253" i="1" a="1"/>
  <c r="B253" i="1" s="1"/>
  <c r="B254" i="1" a="1"/>
  <c r="B254" i="1" s="1"/>
  <c r="B255" i="1" a="1"/>
  <c r="B255" i="1" s="1"/>
  <c r="B256" i="1" a="1"/>
  <c r="B256" i="1" s="1"/>
  <c r="B257" i="1" a="1"/>
  <c r="B257" i="1" s="1"/>
  <c r="B258" i="1" a="1"/>
  <c r="B258" i="1" s="1"/>
  <c r="B259" i="1" a="1"/>
  <c r="B259" i="1" s="1"/>
  <c r="B260" i="1" a="1"/>
  <c r="B260" i="1" s="1"/>
  <c r="B261" i="1" a="1"/>
  <c r="B261" i="1" s="1"/>
  <c r="B262" i="1" a="1"/>
  <c r="B262" i="1" s="1"/>
  <c r="B263" i="1" a="1"/>
  <c r="B263" i="1" s="1"/>
  <c r="B264" i="1" a="1"/>
  <c r="B264" i="1" s="1"/>
  <c r="B265" i="1" a="1"/>
  <c r="B265" i="1" s="1"/>
  <c r="B266" i="1" a="1"/>
  <c r="B266" i="1" s="1"/>
  <c r="B267" i="1" a="1"/>
  <c r="B267" i="1" s="1"/>
  <c r="B268" i="1" a="1"/>
  <c r="B268" i="1" s="1"/>
  <c r="B269" i="1" a="1"/>
  <c r="B269" i="1" s="1"/>
  <c r="B270" i="1" a="1"/>
  <c r="B270" i="1" s="1"/>
  <c r="B271" i="1" a="1"/>
  <c r="B271" i="1" s="1"/>
  <c r="B272" i="1" a="1"/>
  <c r="B272" i="1" s="1"/>
  <c r="B273" i="1" a="1"/>
  <c r="B273" i="1" s="1"/>
  <c r="B274" i="1" a="1"/>
  <c r="B274" i="1" s="1"/>
  <c r="B275" i="1" a="1"/>
  <c r="B275" i="1" s="1"/>
  <c r="B276" i="1" a="1"/>
  <c r="B276" i="1" s="1"/>
  <c r="B277" i="1" a="1"/>
  <c r="B277" i="1" s="1"/>
  <c r="B278" i="1" a="1"/>
  <c r="B278" i="1" s="1"/>
  <c r="B279" i="1" a="1"/>
  <c r="B279" i="1" s="1"/>
  <c r="B280" i="1" a="1"/>
  <c r="B280" i="1" s="1"/>
  <c r="B281" i="1" a="1"/>
  <c r="B281" i="1" s="1"/>
  <c r="B282" i="1" a="1"/>
  <c r="B282" i="1" s="1"/>
  <c r="B283" i="1" a="1"/>
  <c r="B283" i="1" s="1"/>
  <c r="B284" i="1" a="1"/>
  <c r="B284" i="1" s="1"/>
  <c r="B285" i="1" a="1"/>
  <c r="B285" i="1" s="1"/>
  <c r="B286" i="1" a="1"/>
  <c r="B286" i="1" s="1"/>
  <c r="B287" i="1" a="1"/>
  <c r="B287" i="1" s="1"/>
  <c r="B288" i="1" a="1"/>
  <c r="B288" i="1" s="1"/>
  <c r="B289" i="1" a="1"/>
  <c r="B289" i="1" s="1"/>
  <c r="B290" i="1" a="1"/>
  <c r="B290" i="1" s="1"/>
  <c r="B291" i="1" a="1"/>
  <c r="B291" i="1" s="1"/>
  <c r="B292" i="1" a="1"/>
  <c r="B292" i="1" s="1"/>
  <c r="B293" i="1" a="1"/>
  <c r="B293" i="1" s="1"/>
  <c r="B294" i="1" a="1"/>
  <c r="B294" i="1" s="1"/>
  <c r="B295" i="1" a="1"/>
  <c r="B295" i="1" s="1"/>
  <c r="B296" i="1" a="1"/>
  <c r="B296" i="1" s="1"/>
  <c r="B297" i="1" a="1"/>
  <c r="B297" i="1" s="1"/>
  <c r="B298" i="1" a="1"/>
  <c r="B298" i="1" s="1"/>
  <c r="B299" i="1" a="1"/>
  <c r="B299" i="1" s="1"/>
  <c r="B300" i="1" a="1"/>
  <c r="B300" i="1" s="1"/>
  <c r="B301" i="1" a="1"/>
  <c r="B301" i="1" s="1"/>
  <c r="B302" i="1" a="1"/>
  <c r="B302" i="1" s="1"/>
  <c r="B303" i="1" a="1"/>
  <c r="B303" i="1" s="1"/>
  <c r="B304" i="1" a="1"/>
  <c r="B304" i="1" s="1"/>
  <c r="B305" i="1" a="1"/>
  <c r="B305" i="1" s="1"/>
  <c r="B306" i="1" a="1"/>
  <c r="B306" i="1" s="1"/>
  <c r="B307" i="1" a="1"/>
  <c r="B307" i="1" s="1"/>
  <c r="B308" i="1" a="1"/>
  <c r="B308" i="1" s="1"/>
  <c r="B309" i="1" a="1"/>
  <c r="B309" i="1" s="1"/>
  <c r="B310" i="1" a="1"/>
  <c r="B310" i="1" s="1"/>
  <c r="B311" i="1" a="1"/>
  <c r="B311" i="1" s="1"/>
  <c r="B312" i="1" a="1"/>
  <c r="B312" i="1" s="1"/>
  <c r="B313" i="1" a="1"/>
  <c r="B313" i="1" s="1"/>
  <c r="B314" i="1" a="1"/>
  <c r="B314" i="1" s="1"/>
  <c r="B315" i="1" a="1"/>
  <c r="B315" i="1" s="1"/>
  <c r="B316" i="1" a="1"/>
  <c r="B316" i="1" s="1"/>
  <c r="B317" i="1" a="1"/>
  <c r="B317" i="1" s="1"/>
  <c r="B318" i="1" a="1"/>
  <c r="B318" i="1" s="1"/>
  <c r="B319" i="1" a="1"/>
  <c r="B319" i="1" s="1"/>
  <c r="B320" i="1" a="1"/>
  <c r="B320" i="1" s="1"/>
  <c r="B321" i="1" a="1"/>
  <c r="B321" i="1" s="1"/>
  <c r="B322" i="1" a="1"/>
  <c r="B322" i="1" s="1"/>
  <c r="B323" i="1" a="1"/>
  <c r="B323" i="1" s="1"/>
  <c r="B324" i="1" a="1"/>
  <c r="B324" i="1" s="1"/>
  <c r="B325" i="1" a="1"/>
  <c r="B325" i="1" s="1"/>
  <c r="B326" i="1" a="1"/>
  <c r="B326" i="1" s="1"/>
  <c r="B327" i="1" a="1"/>
  <c r="B327" i="1" s="1"/>
  <c r="B328" i="1" a="1"/>
  <c r="B328" i="1" s="1"/>
  <c r="B329" i="1" a="1"/>
  <c r="B329" i="1" s="1"/>
  <c r="B330" i="1" a="1"/>
  <c r="B330" i="1" s="1"/>
  <c r="B331" i="1" a="1"/>
  <c r="B331" i="1" s="1"/>
  <c r="B332" i="1" a="1"/>
  <c r="B332" i="1" s="1"/>
  <c r="B333" i="1" a="1"/>
  <c r="B333" i="1" s="1"/>
  <c r="B334" i="1" a="1"/>
  <c r="B334" i="1" s="1"/>
  <c r="B335" i="1" a="1"/>
  <c r="B335" i="1" s="1"/>
  <c r="B336" i="1" a="1"/>
  <c r="B336" i="1" s="1"/>
  <c r="B337" i="1" a="1"/>
  <c r="B337" i="1" s="1"/>
  <c r="B338" i="1" a="1"/>
  <c r="B338" i="1" s="1"/>
  <c r="B339" i="1" a="1"/>
  <c r="B339" i="1" s="1"/>
  <c r="B340" i="1" a="1"/>
  <c r="B340" i="1" s="1"/>
  <c r="B341" i="1" a="1"/>
  <c r="B341" i="1" s="1"/>
  <c r="B342" i="1" a="1"/>
  <c r="B342" i="1" s="1"/>
  <c r="B343" i="1" a="1"/>
  <c r="B343" i="1" s="1"/>
  <c r="B344" i="1" a="1"/>
  <c r="B344" i="1" s="1"/>
  <c r="B345" i="1" a="1"/>
  <c r="B345" i="1" s="1"/>
  <c r="B346" i="1" a="1"/>
  <c r="B346" i="1" s="1"/>
  <c r="B347" i="1" a="1"/>
  <c r="B347" i="1" s="1"/>
  <c r="B348" i="1" a="1"/>
  <c r="B348" i="1" s="1"/>
  <c r="B349" i="1" a="1"/>
  <c r="B349" i="1" s="1"/>
  <c r="B350" i="1" a="1"/>
  <c r="B350" i="1" s="1"/>
  <c r="B351" i="1" a="1"/>
  <c r="B351" i="1" s="1"/>
  <c r="B352" i="1" a="1"/>
  <c r="B352" i="1" s="1"/>
  <c r="B353" i="1" a="1"/>
  <c r="B353" i="1" s="1"/>
  <c r="B354" i="1" a="1"/>
  <c r="B354" i="1" s="1"/>
  <c r="B355" i="1" a="1"/>
  <c r="B355" i="1" s="1"/>
  <c r="B356" i="1" a="1"/>
  <c r="B356" i="1" s="1"/>
  <c r="B357" i="1" a="1"/>
  <c r="B357" i="1" s="1"/>
  <c r="B358" i="1" a="1"/>
  <c r="B358" i="1" s="1"/>
  <c r="B359" i="1" a="1"/>
  <c r="B359" i="1" s="1"/>
  <c r="B360" i="1" a="1"/>
  <c r="B360" i="1" s="1"/>
  <c r="B361" i="1" a="1"/>
  <c r="B361" i="1" s="1"/>
  <c r="B362" i="1" a="1"/>
  <c r="B362" i="1" s="1"/>
  <c r="B363" i="1" a="1"/>
  <c r="B363" i="1" s="1"/>
  <c r="B364" i="1" a="1"/>
  <c r="B364" i="1" s="1"/>
  <c r="B365" i="1" a="1"/>
  <c r="B365" i="1" s="1"/>
  <c r="B366" i="1" a="1"/>
  <c r="B366" i="1" s="1"/>
  <c r="B367" i="1" a="1"/>
  <c r="B367" i="1" s="1"/>
  <c r="B368" i="1" a="1"/>
  <c r="B368" i="1" s="1"/>
  <c r="B369" i="1" a="1"/>
  <c r="B369" i="1" s="1"/>
  <c r="B370" i="1" a="1"/>
  <c r="B370" i="1" s="1"/>
  <c r="B371" i="1" a="1"/>
  <c r="B371" i="1" s="1"/>
  <c r="B372" i="1" a="1"/>
  <c r="B372" i="1" s="1"/>
  <c r="B373" i="1" a="1"/>
  <c r="B373" i="1" s="1"/>
  <c r="B374" i="1" a="1"/>
  <c r="B374" i="1" s="1"/>
  <c r="B375" i="1" a="1"/>
  <c r="B375" i="1" s="1"/>
  <c r="B376" i="1" a="1"/>
  <c r="B376" i="1" s="1"/>
  <c r="B377" i="1" a="1"/>
  <c r="B377" i="1" s="1"/>
  <c r="B378" i="1" a="1"/>
  <c r="B378" i="1" s="1"/>
  <c r="B379" i="1" a="1"/>
  <c r="B379" i="1" s="1"/>
  <c r="B380" i="1" a="1"/>
  <c r="B380" i="1" s="1"/>
  <c r="B381" i="1" a="1"/>
  <c r="B381" i="1" s="1"/>
  <c r="B382" i="1" a="1"/>
  <c r="B382" i="1" s="1"/>
  <c r="B383" i="1" a="1"/>
  <c r="B383" i="1" s="1"/>
  <c r="B384" i="1" a="1"/>
  <c r="B384" i="1" s="1"/>
  <c r="B385" i="1" a="1"/>
  <c r="B385" i="1" s="1"/>
  <c r="B386" i="1" a="1"/>
  <c r="B386" i="1" s="1"/>
  <c r="B387" i="1" a="1"/>
  <c r="B387" i="1" s="1"/>
  <c r="B388" i="1" a="1"/>
  <c r="B388" i="1" s="1"/>
  <c r="B389" i="1" a="1"/>
  <c r="B389" i="1" s="1"/>
  <c r="B390" i="1" a="1"/>
  <c r="B390" i="1" s="1"/>
  <c r="B391" i="1" a="1"/>
  <c r="B391" i="1" s="1"/>
  <c r="B392" i="1" a="1"/>
  <c r="B392" i="1" s="1"/>
  <c r="B393" i="1" a="1"/>
  <c r="B393" i="1" s="1"/>
  <c r="B394" i="1" a="1"/>
  <c r="B394" i="1" s="1"/>
  <c r="B395" i="1" a="1"/>
  <c r="B395" i="1" s="1"/>
  <c r="B396" i="1" a="1"/>
  <c r="B396" i="1" s="1"/>
  <c r="B397" i="1" a="1"/>
  <c r="B397" i="1" s="1"/>
  <c r="B398" i="1" a="1"/>
  <c r="B398" i="1" s="1"/>
  <c r="B399" i="1" a="1"/>
  <c r="B399" i="1" s="1"/>
  <c r="B400" i="1" a="1"/>
  <c r="B400" i="1" s="1"/>
  <c r="B401" i="1" a="1"/>
  <c r="B401" i="1" s="1"/>
  <c r="B402" i="1" a="1"/>
  <c r="B402" i="1" s="1"/>
  <c r="B403" i="1" a="1"/>
  <c r="B403" i="1" s="1"/>
  <c r="B404" i="1" a="1"/>
  <c r="B404" i="1" s="1"/>
  <c r="B405" i="1" a="1"/>
  <c r="B405" i="1" s="1"/>
  <c r="B406" i="1" a="1"/>
  <c r="B406" i="1" s="1"/>
  <c r="B407" i="1" a="1"/>
  <c r="B407" i="1" s="1"/>
  <c r="B408" i="1" a="1"/>
  <c r="B408" i="1" s="1"/>
  <c r="B409" i="1" a="1"/>
  <c r="B409" i="1" s="1"/>
  <c r="B410" i="1" a="1"/>
  <c r="B410" i="1" s="1"/>
  <c r="B411" i="1" a="1"/>
  <c r="B411" i="1" s="1"/>
  <c r="B412" i="1" a="1"/>
  <c r="B412" i="1" s="1"/>
  <c r="B413" i="1" a="1"/>
  <c r="B413" i="1" s="1"/>
  <c r="B414" i="1" a="1"/>
  <c r="B414" i="1" s="1"/>
  <c r="B415" i="1" a="1"/>
  <c r="B415" i="1" s="1"/>
  <c r="B416" i="1" a="1"/>
  <c r="B416" i="1" s="1"/>
  <c r="B417" i="1" a="1"/>
  <c r="B417" i="1" s="1"/>
  <c r="B418" i="1" a="1"/>
  <c r="B418" i="1" s="1"/>
  <c r="B419" i="1" a="1"/>
  <c r="B419" i="1" s="1"/>
  <c r="B420" i="1" a="1"/>
  <c r="B420" i="1" s="1"/>
  <c r="B421" i="1" a="1"/>
  <c r="B421" i="1" s="1"/>
  <c r="B422" i="1" a="1"/>
  <c r="B422" i="1" s="1"/>
  <c r="B423" i="1" a="1"/>
  <c r="B423" i="1" s="1"/>
  <c r="B424" i="1" a="1"/>
  <c r="B424" i="1" s="1"/>
  <c r="B425" i="1" a="1"/>
  <c r="B425" i="1" s="1"/>
  <c r="B426" i="1" a="1"/>
  <c r="B426" i="1" s="1"/>
  <c r="B427" i="1" a="1"/>
  <c r="B427" i="1" s="1"/>
  <c r="B428" i="1" a="1"/>
  <c r="B428" i="1" s="1"/>
  <c r="B429" i="1" a="1"/>
  <c r="B429" i="1" s="1"/>
  <c r="B430" i="1" a="1"/>
  <c r="B430" i="1" s="1"/>
  <c r="B431" i="1" a="1"/>
  <c r="B431" i="1" s="1"/>
  <c r="B432" i="1" a="1"/>
  <c r="B432" i="1" s="1"/>
  <c r="B433" i="1" a="1"/>
  <c r="B433" i="1" s="1"/>
  <c r="B434" i="1" a="1"/>
  <c r="B434" i="1" s="1"/>
  <c r="B435" i="1" a="1"/>
  <c r="B435" i="1" s="1"/>
  <c r="B436" i="1" a="1"/>
  <c r="B436" i="1" s="1"/>
  <c r="B437" i="1" a="1"/>
  <c r="B437" i="1" s="1"/>
  <c r="B438" i="1" a="1"/>
  <c r="B438" i="1" s="1"/>
  <c r="B439" i="1" a="1"/>
  <c r="B439" i="1" s="1"/>
  <c r="B440" i="1" a="1"/>
  <c r="B440" i="1" s="1"/>
  <c r="B441" i="1" a="1"/>
  <c r="B441" i="1" s="1"/>
  <c r="B442" i="1" a="1"/>
  <c r="B442" i="1" s="1"/>
  <c r="B443" i="1" a="1"/>
  <c r="B443" i="1" s="1"/>
  <c r="B444" i="1" a="1"/>
  <c r="B444" i="1" s="1"/>
  <c r="B445" i="1" a="1"/>
  <c r="B445" i="1" s="1"/>
  <c r="B446" i="1" a="1"/>
  <c r="B446" i="1" s="1"/>
  <c r="B447" i="1" a="1"/>
  <c r="B447" i="1" s="1"/>
  <c r="B448" i="1" a="1"/>
  <c r="B448" i="1" s="1"/>
  <c r="B449" i="1" a="1"/>
  <c r="B449" i="1" s="1"/>
  <c r="B450" i="1" a="1"/>
  <c r="B450" i="1" s="1"/>
  <c r="B451" i="1" a="1"/>
  <c r="B451" i="1" s="1"/>
  <c r="B452" i="1" a="1"/>
  <c r="B452" i="1" s="1"/>
  <c r="B453" i="1" a="1"/>
  <c r="B453" i="1" s="1"/>
  <c r="B454" i="1" a="1"/>
  <c r="B454" i="1" s="1"/>
  <c r="B455" i="1" a="1"/>
  <c r="B455" i="1" s="1"/>
  <c r="B456" i="1" a="1"/>
  <c r="B456" i="1" s="1"/>
  <c r="B457" i="1" a="1"/>
  <c r="B457" i="1" s="1"/>
  <c r="B458" i="1" a="1"/>
  <c r="B458" i="1" s="1"/>
  <c r="B459" i="1" a="1"/>
  <c r="B459" i="1" s="1"/>
  <c r="B460" i="1" a="1"/>
  <c r="B460" i="1" s="1"/>
  <c r="B461" i="1" a="1"/>
  <c r="B461" i="1" s="1"/>
  <c r="B462" i="1" a="1"/>
  <c r="B462" i="1" s="1"/>
  <c r="B463" i="1" a="1"/>
  <c r="B463" i="1" s="1"/>
  <c r="B464" i="1" a="1"/>
  <c r="B464" i="1" s="1"/>
  <c r="B465" i="1" a="1"/>
  <c r="B465" i="1" s="1"/>
  <c r="B466" i="1" a="1"/>
  <c r="B466" i="1" s="1"/>
  <c r="B467" i="1" a="1"/>
  <c r="B467" i="1" s="1"/>
  <c r="B468" i="1" a="1"/>
  <c r="B468" i="1" s="1"/>
  <c r="B469" i="1" a="1"/>
  <c r="B469" i="1" s="1"/>
  <c r="B470" i="1" a="1"/>
  <c r="B470" i="1" s="1"/>
  <c r="B471" i="1" a="1"/>
  <c r="B471" i="1" s="1"/>
  <c r="B472" i="1" a="1"/>
  <c r="B472" i="1" s="1"/>
  <c r="B473" i="1" a="1"/>
  <c r="B473" i="1" s="1"/>
  <c r="B474" i="1" a="1"/>
  <c r="B474" i="1" s="1"/>
  <c r="B475" i="1" a="1"/>
  <c r="B475" i="1" s="1"/>
  <c r="B476" i="1" a="1"/>
  <c r="B476" i="1" s="1"/>
  <c r="B477" i="1" a="1"/>
  <c r="B477" i="1" s="1"/>
  <c r="B478" i="1" a="1"/>
  <c r="B478" i="1" s="1"/>
  <c r="B479" i="1" a="1"/>
  <c r="B479" i="1" s="1"/>
  <c r="B480" i="1" a="1"/>
  <c r="B480" i="1" s="1"/>
  <c r="B481" i="1" a="1"/>
  <c r="B481" i="1" s="1"/>
  <c r="B482" i="1" a="1"/>
  <c r="B482" i="1" s="1"/>
  <c r="B483" i="1" a="1"/>
  <c r="B483" i="1" s="1"/>
  <c r="B484" i="1" a="1"/>
  <c r="B484" i="1" s="1"/>
  <c r="B485" i="1" a="1"/>
  <c r="B485" i="1" s="1"/>
  <c r="B486" i="1" a="1"/>
  <c r="B486" i="1" s="1"/>
  <c r="B487" i="1" a="1"/>
  <c r="B487" i="1" s="1"/>
  <c r="B488" i="1" a="1"/>
  <c r="B488" i="1" s="1"/>
  <c r="B489" i="1" a="1"/>
  <c r="B489" i="1" s="1"/>
  <c r="B490" i="1" a="1"/>
  <c r="B490" i="1" s="1"/>
  <c r="B491" i="1" a="1"/>
  <c r="B491" i="1" s="1"/>
  <c r="B492" i="1" a="1"/>
  <c r="B492" i="1" s="1"/>
  <c r="B493" i="1" a="1"/>
  <c r="B493" i="1" s="1"/>
  <c r="B494" i="1" a="1"/>
  <c r="B494" i="1" s="1"/>
  <c r="B495" i="1" a="1"/>
  <c r="B495" i="1" s="1"/>
  <c r="B496" i="1" a="1"/>
  <c r="B496" i="1" s="1"/>
  <c r="B497" i="1" a="1"/>
  <c r="B497" i="1" s="1"/>
  <c r="B498" i="1" a="1"/>
  <c r="B498" i="1" s="1"/>
  <c r="B499" i="1" a="1"/>
  <c r="B499" i="1" s="1"/>
  <c r="B500" i="1" a="1"/>
  <c r="B500" i="1" s="1"/>
  <c r="B501" i="1" a="1"/>
  <c r="B501" i="1" s="1"/>
  <c r="B502" i="1" a="1"/>
  <c r="B502" i="1" s="1"/>
  <c r="B503" i="1" a="1"/>
  <c r="B503" i="1" s="1"/>
  <c r="B504" i="1" a="1"/>
  <c r="B504" i="1" s="1"/>
  <c r="B505" i="1" a="1"/>
  <c r="B505" i="1" s="1"/>
  <c r="B506" i="1" a="1"/>
  <c r="B506" i="1" s="1"/>
  <c r="B507" i="1" a="1"/>
  <c r="B507" i="1" s="1"/>
  <c r="B508" i="1" a="1"/>
  <c r="B508" i="1" s="1"/>
  <c r="B509" i="1" a="1"/>
  <c r="B509" i="1" s="1"/>
  <c r="B510" i="1" a="1"/>
  <c r="B510" i="1" s="1"/>
  <c r="B511" i="1" a="1"/>
  <c r="B511" i="1" s="1"/>
  <c r="B512" i="1" a="1"/>
  <c r="B512" i="1" s="1"/>
  <c r="B513" i="1" a="1"/>
  <c r="B513" i="1" s="1"/>
  <c r="B514" i="1" a="1"/>
  <c r="B514" i="1" s="1"/>
  <c r="B515" i="1" a="1"/>
  <c r="B515" i="1" s="1"/>
  <c r="B516" i="1" a="1"/>
  <c r="B516" i="1" s="1"/>
  <c r="B517" i="1" a="1"/>
  <c r="B517" i="1" s="1"/>
  <c r="B518" i="1" a="1"/>
  <c r="B518" i="1" s="1"/>
  <c r="B519" i="1" a="1"/>
  <c r="B519" i="1" s="1"/>
  <c r="B520" i="1" a="1"/>
  <c r="B520" i="1" s="1"/>
  <c r="B521" i="1" a="1"/>
  <c r="B521" i="1" s="1"/>
  <c r="B522" i="1" a="1"/>
  <c r="B522" i="1" s="1"/>
  <c r="B523" i="1" a="1"/>
  <c r="B523" i="1" s="1"/>
  <c r="B524" i="1" a="1"/>
  <c r="B524" i="1" s="1"/>
  <c r="B525" i="1" a="1"/>
  <c r="B525" i="1" s="1"/>
  <c r="B526" i="1" a="1"/>
  <c r="B526" i="1" s="1"/>
  <c r="B527" i="1" a="1"/>
  <c r="B527" i="1" s="1"/>
  <c r="B528" i="1" a="1"/>
  <c r="B528" i="1" s="1"/>
  <c r="B529" i="1" a="1"/>
  <c r="B529" i="1" s="1"/>
  <c r="B530" i="1" a="1"/>
  <c r="B530" i="1" s="1"/>
  <c r="B531" i="1" a="1"/>
  <c r="B531" i="1" s="1"/>
  <c r="B532" i="1" a="1"/>
  <c r="B532" i="1" s="1"/>
  <c r="B533" i="1" a="1"/>
  <c r="B533" i="1" s="1"/>
  <c r="B534" i="1" a="1"/>
  <c r="B534" i="1" s="1"/>
  <c r="B535" i="1" a="1"/>
  <c r="B535" i="1" s="1"/>
  <c r="B536" i="1" a="1"/>
  <c r="B536" i="1" s="1"/>
  <c r="B537" i="1" a="1"/>
  <c r="B537" i="1" s="1"/>
  <c r="B538" i="1" a="1"/>
  <c r="B538" i="1" s="1"/>
  <c r="B539" i="1" a="1"/>
  <c r="B539" i="1" s="1"/>
  <c r="B540" i="1" a="1"/>
  <c r="B540" i="1" s="1"/>
  <c r="B541" i="1" a="1"/>
  <c r="B541" i="1" s="1"/>
  <c r="B542" i="1" a="1"/>
  <c r="B542" i="1" s="1"/>
  <c r="B543" i="1" a="1"/>
  <c r="B543" i="1" s="1"/>
  <c r="B544" i="1" a="1"/>
  <c r="B544" i="1" s="1"/>
  <c r="B545" i="1" a="1"/>
  <c r="B545" i="1" s="1"/>
  <c r="B546" i="1" a="1"/>
  <c r="B546" i="1" s="1"/>
  <c r="B547" i="1" a="1"/>
  <c r="B547" i="1" s="1"/>
  <c r="B548" i="1" a="1"/>
  <c r="B548" i="1" s="1"/>
  <c r="B549" i="1" a="1"/>
  <c r="B549" i="1" s="1"/>
  <c r="B550" i="1" a="1"/>
  <c r="B550" i="1" s="1"/>
  <c r="B551" i="1" a="1"/>
  <c r="B551" i="1" s="1"/>
  <c r="B552" i="1" a="1"/>
  <c r="B552" i="1" s="1"/>
  <c r="B553" i="1" a="1"/>
  <c r="B553" i="1" s="1"/>
  <c r="B554" i="1" a="1"/>
  <c r="B554" i="1" s="1"/>
  <c r="B555" i="1" a="1"/>
  <c r="B555" i="1" s="1"/>
  <c r="B556" i="1" a="1"/>
  <c r="B556" i="1" s="1"/>
  <c r="B557" i="1" a="1"/>
  <c r="B557" i="1" s="1"/>
  <c r="B558" i="1" a="1"/>
  <c r="B558" i="1" s="1"/>
  <c r="B559" i="1" a="1"/>
  <c r="B559" i="1" s="1"/>
  <c r="B560" i="1" a="1"/>
  <c r="B560" i="1" s="1"/>
  <c r="B561" i="1" a="1"/>
  <c r="B561" i="1" s="1"/>
  <c r="B562" i="1" a="1"/>
  <c r="B562" i="1" s="1"/>
  <c r="B563" i="1" a="1"/>
  <c r="B563" i="1" s="1"/>
  <c r="B564" i="1" a="1"/>
  <c r="B564" i="1" s="1"/>
  <c r="B565" i="1" a="1"/>
  <c r="B565" i="1" s="1"/>
  <c r="B566" i="1" a="1"/>
  <c r="B566" i="1" s="1"/>
  <c r="B567" i="1" a="1"/>
  <c r="B567" i="1" s="1"/>
  <c r="B568" i="1" a="1"/>
  <c r="B568" i="1" s="1"/>
  <c r="B569" i="1" a="1"/>
  <c r="B569" i="1" s="1"/>
  <c r="B570" i="1" a="1"/>
  <c r="B570" i="1" s="1"/>
  <c r="B571" i="1" a="1"/>
  <c r="B571" i="1" s="1"/>
  <c r="B572" i="1" a="1"/>
  <c r="B572" i="1" s="1"/>
  <c r="B573" i="1" a="1"/>
  <c r="B573" i="1" s="1"/>
  <c r="B574" i="1" a="1"/>
  <c r="B574" i="1" s="1"/>
  <c r="B575" i="1" a="1"/>
  <c r="B575" i="1" s="1"/>
  <c r="B576" i="1" a="1"/>
  <c r="B576" i="1" s="1"/>
  <c r="B577" i="1" a="1"/>
  <c r="B577" i="1" s="1"/>
  <c r="B578" i="1" a="1"/>
  <c r="B578" i="1" s="1"/>
  <c r="B579" i="1" a="1"/>
  <c r="B579" i="1" s="1"/>
  <c r="B580" i="1" a="1"/>
  <c r="B580" i="1" s="1"/>
  <c r="B581" i="1" a="1"/>
  <c r="B581" i="1" s="1"/>
  <c r="B582" i="1" a="1"/>
  <c r="B582" i="1" s="1"/>
  <c r="B583" i="1" a="1"/>
  <c r="B583" i="1" s="1"/>
  <c r="B584" i="1" a="1"/>
  <c r="B584" i="1" s="1"/>
  <c r="B585" i="1" a="1"/>
  <c r="B585" i="1" s="1"/>
  <c r="B586" i="1" a="1"/>
  <c r="B586" i="1" s="1"/>
  <c r="B587" i="1" a="1"/>
  <c r="B587" i="1" s="1"/>
  <c r="B588" i="1" a="1"/>
  <c r="B588" i="1" s="1"/>
  <c r="B589" i="1" a="1"/>
  <c r="B589" i="1" s="1"/>
  <c r="B590" i="1" a="1"/>
  <c r="B590" i="1" s="1"/>
  <c r="B591" i="1" a="1"/>
  <c r="B591" i="1" s="1"/>
  <c r="B592" i="1" a="1"/>
  <c r="B592" i="1" s="1"/>
  <c r="B593" i="1" a="1"/>
  <c r="B593" i="1" s="1"/>
  <c r="B594" i="1" a="1"/>
  <c r="B594" i="1" s="1"/>
  <c r="B595" i="1" a="1"/>
  <c r="B595" i="1" s="1"/>
  <c r="B596" i="1" a="1"/>
  <c r="B596" i="1" s="1"/>
  <c r="B597" i="1" a="1"/>
  <c r="B597" i="1" s="1"/>
  <c r="B598" i="1" a="1"/>
  <c r="B598" i="1" s="1"/>
  <c r="B599" i="1" a="1"/>
  <c r="B599" i="1" s="1"/>
  <c r="B600" i="1" a="1"/>
  <c r="B600" i="1" s="1"/>
  <c r="B601" i="1" a="1"/>
  <c r="B601" i="1" s="1"/>
  <c r="B602" i="1" a="1"/>
  <c r="B602" i="1" s="1"/>
  <c r="B603" i="1" a="1"/>
  <c r="B603" i="1" s="1"/>
  <c r="B604" i="1" a="1"/>
  <c r="B604" i="1" s="1"/>
  <c r="B605" i="1" a="1"/>
  <c r="B605" i="1" s="1"/>
  <c r="B606" i="1" a="1"/>
  <c r="B606" i="1" s="1"/>
  <c r="B607" i="1" a="1"/>
  <c r="B607" i="1" s="1"/>
  <c r="B608" i="1" a="1"/>
  <c r="B608" i="1" s="1"/>
  <c r="B609" i="1" a="1"/>
  <c r="B609" i="1" s="1"/>
  <c r="B610" i="1" a="1"/>
  <c r="B610" i="1" s="1"/>
  <c r="B611" i="1" a="1"/>
  <c r="B611" i="1" s="1"/>
  <c r="B612" i="1" a="1"/>
  <c r="B612" i="1" s="1"/>
  <c r="B613" i="1" a="1"/>
  <c r="B613" i="1" s="1"/>
  <c r="B614" i="1" a="1"/>
  <c r="B614" i="1" s="1"/>
  <c r="B615" i="1" a="1"/>
  <c r="B615" i="1" s="1"/>
  <c r="B616" i="1" a="1"/>
  <c r="B616" i="1" s="1"/>
  <c r="B617" i="1" a="1"/>
  <c r="B617" i="1" s="1"/>
  <c r="B618" i="1" a="1"/>
  <c r="B618" i="1" s="1"/>
  <c r="B619" i="1" a="1"/>
  <c r="B619" i="1" s="1"/>
  <c r="B620" i="1" a="1"/>
  <c r="B620" i="1" s="1"/>
  <c r="B621" i="1" a="1"/>
  <c r="B621" i="1" s="1"/>
  <c r="B622" i="1" a="1"/>
  <c r="B622" i="1" s="1"/>
  <c r="B623" i="1" a="1"/>
  <c r="B623" i="1" s="1"/>
  <c r="B624" i="1" a="1"/>
  <c r="B624" i="1" s="1"/>
  <c r="B625" i="1" a="1"/>
  <c r="B625" i="1" s="1"/>
  <c r="B626" i="1" a="1"/>
  <c r="B626" i="1" s="1"/>
  <c r="B627" i="1" a="1"/>
  <c r="B627" i="1" s="1"/>
  <c r="B628" i="1" a="1"/>
  <c r="B628" i="1" s="1"/>
  <c r="B629" i="1" a="1"/>
  <c r="B629" i="1" s="1"/>
  <c r="B630" i="1" a="1"/>
  <c r="B630" i="1" s="1"/>
  <c r="B631" i="1" a="1"/>
  <c r="B631" i="1" s="1"/>
  <c r="B632" i="1" a="1"/>
  <c r="B632" i="1" s="1"/>
  <c r="B633" i="1" a="1"/>
  <c r="B633" i="1" s="1"/>
  <c r="B634" i="1" a="1"/>
  <c r="B634" i="1" s="1"/>
  <c r="B635" i="1" a="1"/>
  <c r="B635" i="1" s="1"/>
  <c r="B636" i="1" a="1"/>
  <c r="B636" i="1" s="1"/>
  <c r="B637" i="1" a="1"/>
  <c r="B637" i="1" s="1"/>
  <c r="B638" i="1" a="1"/>
  <c r="B638" i="1" s="1"/>
  <c r="B639" i="1" a="1"/>
  <c r="B639" i="1" s="1"/>
  <c r="B640" i="1" a="1"/>
  <c r="B640" i="1" s="1"/>
  <c r="B641" i="1" a="1"/>
  <c r="B641" i="1" s="1"/>
  <c r="B642" i="1" a="1"/>
  <c r="B642" i="1" s="1"/>
  <c r="B643" i="1" a="1"/>
  <c r="B643" i="1" s="1"/>
  <c r="B644" i="1" a="1"/>
  <c r="B644" i="1" s="1"/>
  <c r="B645" i="1" a="1"/>
  <c r="B645" i="1" s="1"/>
  <c r="B646" i="1" a="1"/>
  <c r="B646" i="1" s="1"/>
  <c r="B647" i="1" a="1"/>
  <c r="B647" i="1" s="1"/>
  <c r="B648" i="1" a="1"/>
  <c r="B648" i="1" s="1"/>
  <c r="B649" i="1" a="1"/>
  <c r="B649" i="1" s="1"/>
  <c r="B650" i="1" a="1"/>
  <c r="B650" i="1" s="1"/>
  <c r="B651" i="1" a="1"/>
  <c r="B651" i="1" s="1"/>
  <c r="B652" i="1" a="1"/>
  <c r="B652" i="1" s="1"/>
  <c r="B653" i="1" a="1"/>
  <c r="B653" i="1" s="1"/>
  <c r="B654" i="1" a="1"/>
  <c r="B654" i="1" s="1"/>
  <c r="B655" i="1" a="1"/>
  <c r="B655" i="1" s="1"/>
  <c r="B656" i="1" a="1"/>
  <c r="B656" i="1" s="1"/>
  <c r="B657" i="1" a="1"/>
  <c r="B657" i="1" s="1"/>
  <c r="B658" i="1" a="1"/>
  <c r="B658" i="1" s="1"/>
  <c r="B659" i="1" a="1"/>
  <c r="B659" i="1" s="1"/>
  <c r="B660" i="1" a="1"/>
  <c r="B660" i="1" s="1"/>
  <c r="B661" i="1" a="1"/>
  <c r="B661" i="1" s="1"/>
  <c r="B662" i="1" a="1"/>
  <c r="B662" i="1" s="1"/>
  <c r="B663" i="1" a="1"/>
  <c r="B663" i="1" s="1"/>
  <c r="B664" i="1" a="1"/>
  <c r="B664" i="1" s="1"/>
  <c r="B665" i="1" a="1"/>
  <c r="B665" i="1" s="1"/>
  <c r="B666" i="1" a="1"/>
  <c r="B666" i="1" s="1"/>
  <c r="B667" i="1" a="1"/>
  <c r="B667" i="1" s="1"/>
  <c r="B668" i="1" a="1"/>
  <c r="B668" i="1" s="1"/>
  <c r="B669" i="1" a="1"/>
  <c r="B669" i="1" s="1"/>
  <c r="B670" i="1" a="1"/>
  <c r="B670" i="1" s="1"/>
  <c r="B671" i="1" a="1"/>
  <c r="B671" i="1" s="1"/>
  <c r="B672" i="1" a="1"/>
  <c r="B672" i="1" s="1"/>
  <c r="B673" i="1" a="1"/>
  <c r="B673" i="1" s="1"/>
  <c r="B674" i="1" a="1"/>
  <c r="B674" i="1" s="1"/>
  <c r="B675" i="1" a="1"/>
  <c r="B675" i="1" s="1"/>
  <c r="B676" i="1" a="1"/>
  <c r="B676" i="1" s="1"/>
  <c r="B677" i="1" a="1"/>
  <c r="B677" i="1" s="1"/>
  <c r="B678" i="1" a="1"/>
  <c r="B678" i="1" s="1"/>
  <c r="B679" i="1" a="1"/>
  <c r="B679" i="1" s="1"/>
  <c r="B680" i="1" a="1"/>
  <c r="B680" i="1" s="1"/>
  <c r="B681" i="1" a="1"/>
  <c r="B681" i="1" s="1"/>
  <c r="B682" i="1" a="1"/>
  <c r="B682" i="1" s="1"/>
  <c r="B683" i="1" a="1"/>
  <c r="B683" i="1" s="1"/>
  <c r="B684" i="1" a="1"/>
  <c r="B684" i="1" s="1"/>
  <c r="B685" i="1" a="1"/>
  <c r="B685" i="1" s="1"/>
  <c r="B686" i="1" a="1"/>
  <c r="B686" i="1" s="1"/>
  <c r="B687" i="1" a="1"/>
  <c r="B687" i="1" s="1"/>
  <c r="B688" i="1" a="1"/>
  <c r="B688" i="1" s="1"/>
  <c r="B689" i="1" a="1"/>
  <c r="B689" i="1" s="1"/>
  <c r="B690" i="1" a="1"/>
  <c r="B690" i="1" s="1"/>
  <c r="B691" i="1" a="1"/>
  <c r="B691" i="1" s="1"/>
  <c r="B692" i="1" a="1"/>
  <c r="B692" i="1" s="1"/>
  <c r="B693" i="1" a="1"/>
  <c r="B693" i="1" s="1"/>
  <c r="B694" i="1" a="1"/>
  <c r="B694" i="1" s="1"/>
  <c r="B695" i="1" a="1"/>
  <c r="B695" i="1" s="1"/>
  <c r="B696" i="1" a="1"/>
  <c r="B696" i="1" s="1"/>
  <c r="B697" i="1" a="1"/>
  <c r="B697" i="1" s="1"/>
  <c r="B698" i="1" a="1"/>
  <c r="B698" i="1" s="1"/>
  <c r="B699" i="1" a="1"/>
  <c r="B699" i="1" s="1"/>
  <c r="B700" i="1" a="1"/>
  <c r="B700" i="1" s="1"/>
  <c r="B701" i="1" a="1"/>
  <c r="B701" i="1" s="1"/>
  <c r="B702" i="1" a="1"/>
  <c r="B702" i="1" s="1"/>
  <c r="B703" i="1" a="1"/>
  <c r="B703" i="1" s="1"/>
  <c r="B704" i="1" a="1"/>
  <c r="B704" i="1" s="1"/>
  <c r="B705" i="1" a="1"/>
  <c r="B705" i="1" s="1"/>
  <c r="B706" i="1" a="1"/>
  <c r="B706" i="1" s="1"/>
  <c r="B707" i="1" a="1"/>
  <c r="B707" i="1" s="1"/>
  <c r="B708" i="1" a="1"/>
  <c r="B708" i="1" s="1"/>
  <c r="B709" i="1" a="1"/>
  <c r="B709" i="1" s="1"/>
  <c r="B710" i="1" a="1"/>
  <c r="B710" i="1" s="1"/>
  <c r="B711" i="1" a="1"/>
  <c r="B711" i="1" s="1"/>
  <c r="B712" i="1" a="1"/>
  <c r="B712" i="1" s="1"/>
  <c r="B713" i="1" a="1"/>
  <c r="B713" i="1" s="1"/>
  <c r="B714" i="1" a="1"/>
  <c r="B714" i="1" s="1"/>
  <c r="B715" i="1" a="1"/>
  <c r="B715" i="1" s="1"/>
  <c r="B716" i="1" a="1"/>
  <c r="B716" i="1" s="1"/>
  <c r="B717" i="1" a="1"/>
  <c r="B717" i="1" s="1"/>
  <c r="B718" i="1" a="1"/>
  <c r="B718" i="1" s="1"/>
  <c r="B719" i="1" a="1"/>
  <c r="B719" i="1" s="1"/>
  <c r="B720" i="1" a="1"/>
  <c r="B720" i="1" s="1"/>
  <c r="B721" i="1" a="1"/>
  <c r="B721" i="1" s="1"/>
  <c r="B722" i="1" a="1"/>
  <c r="B722" i="1" s="1"/>
  <c r="B723" i="1" a="1"/>
  <c r="B723" i="1" s="1"/>
  <c r="B724" i="1" a="1"/>
  <c r="B724" i="1" s="1"/>
  <c r="B725" i="1" a="1"/>
  <c r="B725" i="1" s="1"/>
  <c r="B726" i="1" a="1"/>
  <c r="B726" i="1" s="1"/>
  <c r="B727" i="1" a="1"/>
  <c r="B727" i="1" s="1"/>
  <c r="B728" i="1" a="1"/>
  <c r="B728" i="1" s="1"/>
  <c r="B729" i="1" a="1"/>
  <c r="B729" i="1" s="1"/>
  <c r="B730" i="1" a="1"/>
  <c r="B730" i="1" s="1"/>
  <c r="B731" i="1" a="1"/>
  <c r="B731" i="1" s="1"/>
  <c r="B732" i="1" a="1"/>
  <c r="B732" i="1" s="1"/>
  <c r="B733" i="1" a="1"/>
  <c r="B733" i="1" s="1"/>
  <c r="B734" i="1" a="1"/>
  <c r="B734" i="1" s="1"/>
  <c r="B735" i="1" a="1"/>
  <c r="B735" i="1" s="1"/>
  <c r="B736" i="1" a="1"/>
  <c r="B736" i="1" s="1"/>
  <c r="B737" i="1" a="1"/>
  <c r="B737" i="1" s="1"/>
  <c r="B738" i="1" a="1"/>
  <c r="B738" i="1" s="1"/>
  <c r="B739" i="1" a="1"/>
  <c r="B739" i="1" s="1"/>
  <c r="B740" i="1" a="1"/>
  <c r="B740" i="1" s="1"/>
  <c r="B741" i="1" a="1"/>
  <c r="B741" i="1" s="1"/>
  <c r="B742" i="1" a="1"/>
  <c r="B742" i="1" s="1"/>
  <c r="B743" i="1" a="1"/>
  <c r="B743" i="1" s="1"/>
  <c r="B744" i="1" a="1"/>
  <c r="B744" i="1" s="1"/>
  <c r="B745" i="1" a="1"/>
  <c r="B745" i="1" s="1"/>
  <c r="B746" i="1" a="1"/>
  <c r="B746" i="1" s="1"/>
  <c r="B747" i="1" a="1"/>
  <c r="B747" i="1" s="1"/>
  <c r="B748" i="1" a="1"/>
  <c r="B748" i="1" s="1"/>
  <c r="B749" i="1" a="1"/>
  <c r="B749" i="1" s="1"/>
  <c r="B750" i="1" a="1"/>
  <c r="B750" i="1" s="1"/>
  <c r="B751" i="1" a="1"/>
  <c r="B751" i="1" s="1"/>
  <c r="B752" i="1" a="1"/>
  <c r="B752" i="1" s="1"/>
  <c r="B753" i="1" a="1"/>
  <c r="B753" i="1" s="1"/>
  <c r="B754" i="1" a="1"/>
  <c r="B754" i="1" s="1"/>
  <c r="B755" i="1" a="1"/>
  <c r="B755" i="1" s="1"/>
  <c r="B756" i="1" a="1"/>
  <c r="B756" i="1" s="1"/>
  <c r="B757" i="1" a="1"/>
  <c r="B757" i="1" s="1"/>
  <c r="B758" i="1" a="1"/>
  <c r="B758" i="1" s="1"/>
  <c r="B759" i="1" a="1"/>
  <c r="B759" i="1" s="1"/>
  <c r="B760" i="1" a="1"/>
  <c r="B760" i="1" s="1"/>
  <c r="B761" i="1" a="1"/>
  <c r="B761" i="1" s="1"/>
  <c r="B762" i="1" a="1"/>
  <c r="B762" i="1" s="1"/>
  <c r="B763" i="1" a="1"/>
  <c r="B763" i="1" s="1"/>
  <c r="B764" i="1" a="1"/>
  <c r="B764" i="1" s="1"/>
  <c r="B765" i="1" a="1"/>
  <c r="B765" i="1" s="1"/>
  <c r="B766" i="1" a="1"/>
  <c r="B766" i="1" s="1"/>
  <c r="B767" i="1" a="1"/>
  <c r="B767" i="1" s="1"/>
  <c r="B768" i="1" a="1"/>
  <c r="B768" i="1" s="1"/>
  <c r="B769" i="1" a="1"/>
  <c r="B769" i="1" s="1"/>
  <c r="B770" i="1" a="1"/>
  <c r="B770" i="1" s="1"/>
  <c r="B771" i="1" a="1"/>
  <c r="B771" i="1" s="1"/>
  <c r="B772" i="1" a="1"/>
  <c r="B772" i="1" s="1"/>
  <c r="B773" i="1" a="1"/>
  <c r="B773" i="1" s="1"/>
  <c r="B774" i="1" a="1"/>
  <c r="B774" i="1" s="1"/>
  <c r="B775" i="1" a="1"/>
  <c r="B775" i="1" s="1"/>
  <c r="B776" i="1" a="1"/>
  <c r="B776" i="1" s="1"/>
  <c r="B777" i="1" a="1"/>
  <c r="B777" i="1" s="1"/>
  <c r="B778" i="1" a="1"/>
  <c r="B778" i="1" s="1"/>
  <c r="B779" i="1" a="1"/>
  <c r="B779" i="1" s="1"/>
  <c r="B780" i="1" a="1"/>
  <c r="B780" i="1" s="1"/>
  <c r="B781" i="1" a="1"/>
  <c r="B781" i="1" s="1"/>
  <c r="B782" i="1" a="1"/>
  <c r="B782" i="1" s="1"/>
  <c r="B783" i="1" a="1"/>
  <c r="B783" i="1" s="1"/>
  <c r="B784" i="1" a="1"/>
  <c r="B784" i="1" s="1"/>
  <c r="B785" i="1" a="1"/>
  <c r="B785" i="1" s="1"/>
  <c r="B786" i="1" a="1"/>
  <c r="B786" i="1" s="1"/>
  <c r="B787" i="1" a="1"/>
  <c r="B787" i="1" s="1"/>
  <c r="B788" i="1" a="1"/>
  <c r="B788" i="1" s="1"/>
  <c r="B789" i="1" a="1"/>
  <c r="B789" i="1" s="1"/>
  <c r="B790" i="1" a="1"/>
  <c r="B790" i="1" s="1"/>
  <c r="B791" i="1" a="1"/>
  <c r="B791" i="1" s="1"/>
  <c r="B792" i="1" a="1"/>
  <c r="B792" i="1" s="1"/>
  <c r="B793" i="1" a="1"/>
  <c r="B793" i="1" s="1"/>
  <c r="B794" i="1" a="1"/>
  <c r="B794" i="1" s="1"/>
  <c r="B795" i="1" a="1"/>
  <c r="B795" i="1" s="1"/>
  <c r="B796" i="1" a="1"/>
  <c r="B796" i="1" s="1"/>
  <c r="B797" i="1" a="1"/>
  <c r="B797" i="1" s="1"/>
  <c r="B798" i="1" a="1"/>
  <c r="B798" i="1" s="1"/>
  <c r="B799" i="1" a="1"/>
  <c r="B799" i="1" s="1"/>
  <c r="B800" i="1" a="1"/>
  <c r="B800" i="1" s="1"/>
  <c r="B801" i="1" a="1"/>
  <c r="B801" i="1" s="1"/>
  <c r="B802" i="1" a="1"/>
  <c r="B802" i="1" s="1"/>
  <c r="B803" i="1" a="1"/>
  <c r="B803" i="1" s="1"/>
  <c r="B804" i="1" a="1"/>
  <c r="B804" i="1" s="1"/>
  <c r="B805" i="1" a="1"/>
  <c r="B805" i="1" s="1"/>
  <c r="B806" i="1" a="1"/>
  <c r="B806" i="1" s="1"/>
  <c r="B807" i="1" a="1"/>
  <c r="B807" i="1" s="1"/>
  <c r="B808" i="1" a="1"/>
  <c r="B808" i="1" s="1"/>
  <c r="B809" i="1" a="1"/>
  <c r="B809" i="1" s="1"/>
  <c r="B810" i="1" a="1"/>
  <c r="B810" i="1" s="1"/>
  <c r="B811" i="1" a="1"/>
  <c r="B811" i="1" s="1"/>
  <c r="B812" i="1" a="1"/>
  <c r="B812" i="1" s="1"/>
  <c r="B813" i="1" a="1"/>
  <c r="B813" i="1" s="1"/>
  <c r="B814" i="1" a="1"/>
  <c r="B814" i="1" s="1"/>
  <c r="B815" i="1" a="1"/>
  <c r="B815" i="1" s="1"/>
  <c r="B816" i="1" a="1"/>
  <c r="B816" i="1" s="1"/>
  <c r="B817" i="1" a="1"/>
  <c r="B817" i="1" s="1"/>
  <c r="B818" i="1" a="1"/>
  <c r="B818" i="1" s="1"/>
  <c r="B819" i="1" a="1"/>
  <c r="B819" i="1" s="1"/>
  <c r="B820" i="1" a="1"/>
  <c r="B820" i="1" s="1"/>
  <c r="B821" i="1" a="1"/>
  <c r="B821" i="1" s="1"/>
  <c r="B822" i="1" a="1"/>
  <c r="B822" i="1" s="1"/>
  <c r="B823" i="1" a="1"/>
  <c r="B823" i="1" s="1"/>
  <c r="B824" i="1" a="1"/>
  <c r="B824" i="1" s="1"/>
  <c r="B825" i="1" a="1"/>
  <c r="B825" i="1" s="1"/>
  <c r="B826" i="1" a="1"/>
  <c r="B826" i="1" s="1"/>
  <c r="B827" i="1" a="1"/>
  <c r="B827" i="1" s="1"/>
  <c r="B828" i="1" a="1"/>
  <c r="B828" i="1" s="1"/>
  <c r="B829" i="1" a="1"/>
  <c r="B829" i="1" s="1"/>
  <c r="B830" i="1" a="1"/>
  <c r="B830" i="1" s="1"/>
  <c r="B831" i="1" a="1"/>
  <c r="B831" i="1" s="1"/>
  <c r="B832" i="1" a="1"/>
  <c r="B832" i="1" s="1"/>
  <c r="B833" i="1" a="1"/>
  <c r="B833" i="1" s="1"/>
  <c r="B834" i="1" a="1"/>
  <c r="B834" i="1" s="1"/>
  <c r="B835" i="1" a="1"/>
  <c r="B835" i="1" s="1"/>
  <c r="B836" i="1" a="1"/>
  <c r="B836" i="1" s="1"/>
  <c r="B837" i="1" a="1"/>
  <c r="B837" i="1" s="1"/>
  <c r="B838" i="1" a="1"/>
  <c r="B838" i="1" s="1"/>
  <c r="B839" i="1" a="1"/>
  <c r="B839" i="1" s="1"/>
  <c r="B840" i="1" a="1"/>
  <c r="B840" i="1" s="1"/>
  <c r="B841" i="1" a="1"/>
  <c r="B841" i="1" s="1"/>
  <c r="B842" i="1" a="1"/>
  <c r="B842" i="1" s="1"/>
  <c r="B843" i="1" a="1"/>
  <c r="B843" i="1" s="1"/>
  <c r="B844" i="1" a="1"/>
  <c r="B844" i="1" s="1"/>
  <c r="B845" i="1" a="1"/>
  <c r="B845" i="1" s="1"/>
  <c r="B846" i="1" a="1"/>
  <c r="B846" i="1" s="1"/>
  <c r="B847" i="1" a="1"/>
  <c r="B847" i="1" s="1"/>
  <c r="B848" i="1" a="1"/>
  <c r="B848" i="1" s="1"/>
  <c r="B849" i="1" a="1"/>
  <c r="B849" i="1" s="1"/>
  <c r="B850" i="1" a="1"/>
  <c r="B850" i="1" s="1"/>
  <c r="B851" i="1" a="1"/>
  <c r="B851" i="1" s="1"/>
  <c r="B852" i="1" a="1"/>
  <c r="B852" i="1" s="1"/>
  <c r="B853" i="1" a="1"/>
  <c r="B853" i="1" s="1"/>
  <c r="B854" i="1" a="1"/>
  <c r="B854" i="1" s="1"/>
  <c r="B855" i="1" a="1"/>
  <c r="B855" i="1" s="1"/>
  <c r="B856" i="1" a="1"/>
  <c r="B856" i="1" s="1"/>
  <c r="B857" i="1" a="1"/>
  <c r="B857" i="1" s="1"/>
  <c r="B858" i="1" a="1"/>
  <c r="B858" i="1" s="1"/>
  <c r="B859" i="1" a="1"/>
  <c r="B859" i="1" s="1"/>
  <c r="B860" i="1" a="1"/>
  <c r="B860" i="1" s="1"/>
  <c r="B861" i="1" a="1"/>
  <c r="B861" i="1" s="1"/>
  <c r="B862" i="1" a="1"/>
  <c r="B862" i="1" s="1"/>
  <c r="B863" i="1" a="1"/>
  <c r="B863" i="1" s="1"/>
  <c r="B864" i="1" a="1"/>
  <c r="B864" i="1" s="1"/>
  <c r="B865" i="1" a="1"/>
  <c r="B865" i="1" s="1"/>
  <c r="B866" i="1" a="1"/>
  <c r="B866" i="1" s="1"/>
  <c r="B867" i="1" a="1"/>
  <c r="B867" i="1" s="1"/>
  <c r="B868" i="1" a="1"/>
  <c r="B868" i="1" s="1"/>
  <c r="B869" i="1" a="1"/>
  <c r="B869" i="1" s="1"/>
  <c r="B870" i="1" a="1"/>
  <c r="B870" i="1" s="1"/>
  <c r="B871" i="1" a="1"/>
  <c r="B871" i="1" s="1"/>
  <c r="B872" i="1" a="1"/>
  <c r="B872" i="1" s="1"/>
  <c r="B873" i="1" a="1"/>
  <c r="B873" i="1" s="1"/>
  <c r="B874" i="1" a="1"/>
  <c r="B874" i="1" s="1"/>
  <c r="B875" i="1" a="1"/>
  <c r="B875" i="1" s="1"/>
  <c r="B876" i="1" a="1"/>
  <c r="B876" i="1" s="1"/>
  <c r="B877" i="1" a="1"/>
  <c r="B877" i="1" s="1"/>
  <c r="B878" i="1" a="1"/>
  <c r="B878" i="1" s="1"/>
  <c r="B879" i="1" a="1"/>
  <c r="B879" i="1" s="1"/>
  <c r="B880" i="1" a="1"/>
  <c r="B880" i="1" s="1"/>
  <c r="B881" i="1" a="1"/>
  <c r="B881" i="1" s="1"/>
  <c r="B882" i="1" a="1"/>
  <c r="B882" i="1" s="1"/>
  <c r="B883" i="1" a="1"/>
  <c r="B883" i="1" s="1"/>
  <c r="B884" i="1" a="1"/>
  <c r="B884" i="1" s="1"/>
  <c r="B885" i="1" a="1"/>
  <c r="B885" i="1" s="1"/>
  <c r="B886" i="1" a="1"/>
  <c r="B886" i="1" s="1"/>
  <c r="B887" i="1" a="1"/>
  <c r="B887" i="1" s="1"/>
  <c r="B888" i="1" a="1"/>
  <c r="B888" i="1" s="1"/>
  <c r="B889" i="1" a="1"/>
  <c r="B889" i="1" s="1"/>
  <c r="B890" i="1" a="1"/>
  <c r="B890" i="1" s="1"/>
  <c r="B891" i="1" a="1"/>
  <c r="B891" i="1" s="1"/>
  <c r="B892" i="1" a="1"/>
  <c r="B892" i="1" s="1"/>
  <c r="B893" i="1" a="1"/>
  <c r="B893" i="1" s="1"/>
  <c r="B894" i="1" a="1"/>
  <c r="B894" i="1" s="1"/>
  <c r="B895" i="1" a="1"/>
  <c r="B895" i="1" s="1"/>
  <c r="B896" i="1" a="1"/>
  <c r="B896" i="1" s="1"/>
  <c r="B897" i="1" a="1"/>
  <c r="B897" i="1" s="1"/>
  <c r="B898" i="1" a="1"/>
  <c r="B898" i="1" s="1"/>
  <c r="B899" i="1" a="1"/>
  <c r="B899" i="1" s="1"/>
  <c r="B900" i="1" a="1"/>
  <c r="B900" i="1" s="1"/>
  <c r="B901" i="1" a="1"/>
  <c r="B901" i="1" s="1"/>
  <c r="B902" i="1" a="1"/>
  <c r="B902" i="1" s="1"/>
  <c r="B903" i="1" a="1"/>
  <c r="B903" i="1" s="1"/>
  <c r="B904" i="1" a="1"/>
  <c r="B904" i="1" s="1"/>
  <c r="B905" i="1" a="1"/>
  <c r="B905" i="1" s="1"/>
  <c r="B906" i="1" a="1"/>
  <c r="B906" i="1" s="1"/>
  <c r="B907" i="1" a="1"/>
  <c r="B907" i="1" s="1"/>
  <c r="B908" i="1" a="1"/>
  <c r="B908" i="1" s="1"/>
  <c r="B909" i="1" a="1"/>
  <c r="B909" i="1" s="1"/>
  <c r="B910" i="1" a="1"/>
  <c r="B910" i="1" s="1"/>
  <c r="B911" i="1" a="1"/>
  <c r="B911" i="1" s="1"/>
  <c r="B912" i="1" a="1"/>
  <c r="B912" i="1" s="1"/>
  <c r="B913" i="1" a="1"/>
  <c r="B913" i="1" s="1"/>
  <c r="B914" i="1" a="1"/>
  <c r="B914" i="1" s="1"/>
  <c r="B915" i="1" a="1"/>
  <c r="B915" i="1" s="1"/>
  <c r="B916" i="1" a="1"/>
  <c r="B916" i="1" s="1"/>
  <c r="B917" i="1" a="1"/>
  <c r="B917" i="1" s="1"/>
  <c r="B918" i="1" a="1"/>
  <c r="B918" i="1" s="1"/>
  <c r="B919" i="1" a="1"/>
  <c r="B919" i="1" s="1"/>
  <c r="B920" i="1" a="1"/>
  <c r="B920" i="1" s="1"/>
  <c r="B921" i="1" a="1"/>
  <c r="B921" i="1" s="1"/>
  <c r="B922" i="1" a="1"/>
  <c r="B922" i="1" s="1"/>
  <c r="B923" i="1" a="1"/>
  <c r="B923" i="1" s="1"/>
  <c r="B924" i="1" a="1"/>
  <c r="B924" i="1" s="1"/>
  <c r="B925" i="1" a="1"/>
  <c r="B925" i="1" s="1"/>
  <c r="B926" i="1" a="1"/>
  <c r="B926" i="1" s="1"/>
  <c r="B927" i="1" a="1"/>
  <c r="B927" i="1" s="1"/>
  <c r="B928" i="1" a="1"/>
  <c r="B928" i="1" s="1"/>
  <c r="B929" i="1" a="1"/>
  <c r="B929" i="1" s="1"/>
  <c r="B930" i="1" a="1"/>
  <c r="B930" i="1" s="1"/>
  <c r="B931" i="1" a="1"/>
  <c r="B931" i="1" s="1"/>
  <c r="B932" i="1" a="1"/>
  <c r="B932" i="1" s="1"/>
  <c r="B933" i="1" a="1"/>
  <c r="B933" i="1" s="1"/>
  <c r="B934" i="1" a="1"/>
  <c r="B934" i="1" s="1"/>
  <c r="B935" i="1" a="1"/>
  <c r="B935" i="1" s="1"/>
  <c r="B936" i="1" a="1"/>
  <c r="B936" i="1" s="1"/>
  <c r="B937" i="1" a="1"/>
  <c r="B937" i="1" s="1"/>
  <c r="B938" i="1" a="1"/>
  <c r="B938" i="1" s="1"/>
  <c r="B939" i="1" a="1"/>
  <c r="B939" i="1" s="1"/>
  <c r="B940" i="1" a="1"/>
  <c r="B940" i="1" s="1"/>
  <c r="B941" i="1" a="1"/>
  <c r="B941" i="1" s="1"/>
  <c r="B942" i="1" a="1"/>
  <c r="B942" i="1" s="1"/>
  <c r="B943" i="1" a="1"/>
  <c r="B943" i="1" s="1"/>
  <c r="B944" i="1" a="1"/>
  <c r="B944" i="1" s="1"/>
  <c r="B945" i="1" a="1"/>
  <c r="B945" i="1" s="1"/>
  <c r="B946" i="1" a="1"/>
  <c r="B946" i="1" s="1"/>
  <c r="B947" i="1" a="1"/>
  <c r="B947" i="1" s="1"/>
  <c r="B948" i="1" a="1"/>
  <c r="B948" i="1" s="1"/>
  <c r="B949" i="1" a="1"/>
  <c r="B949" i="1" s="1"/>
  <c r="B950" i="1" a="1"/>
  <c r="B950" i="1" s="1"/>
  <c r="B951" i="1" a="1"/>
  <c r="B951" i="1" s="1"/>
  <c r="B952" i="1" a="1"/>
  <c r="B952" i="1" s="1"/>
  <c r="B953" i="1" a="1"/>
  <c r="B953" i="1" s="1"/>
  <c r="B954" i="1" a="1"/>
  <c r="B954" i="1" s="1"/>
  <c r="B955" i="1" a="1"/>
  <c r="B955" i="1" s="1"/>
  <c r="B956" i="1" a="1"/>
  <c r="B956" i="1" s="1"/>
  <c r="B957" i="1" a="1"/>
  <c r="B957" i="1" s="1"/>
  <c r="B958" i="1" a="1"/>
  <c r="B958" i="1" s="1"/>
  <c r="B959" i="1" a="1"/>
  <c r="B959" i="1" s="1"/>
  <c r="B960" i="1" a="1"/>
  <c r="B960" i="1" s="1"/>
  <c r="B961" i="1" a="1"/>
  <c r="B961" i="1" s="1"/>
  <c r="B962" i="1" a="1"/>
  <c r="B962" i="1" s="1"/>
  <c r="B963" i="1" a="1"/>
  <c r="B963" i="1" s="1"/>
  <c r="B964" i="1" a="1"/>
  <c r="B964" i="1" s="1"/>
  <c r="B965" i="1" a="1"/>
  <c r="B965" i="1" s="1"/>
  <c r="B966" i="1" a="1"/>
  <c r="B966" i="1" s="1"/>
  <c r="B967" i="1" a="1"/>
  <c r="B967" i="1" s="1"/>
  <c r="B968" i="1" a="1"/>
  <c r="B968" i="1" s="1"/>
  <c r="B969" i="1" a="1"/>
  <c r="B969" i="1" s="1"/>
  <c r="B970" i="1" a="1"/>
  <c r="B970" i="1" s="1"/>
  <c r="B971" i="1" a="1"/>
  <c r="B971" i="1" s="1"/>
  <c r="B972" i="1" a="1"/>
  <c r="B972" i="1" s="1"/>
  <c r="B973" i="1" a="1"/>
  <c r="B973" i="1" s="1"/>
  <c r="B974" i="1" a="1"/>
  <c r="B974" i="1" s="1"/>
  <c r="B975" i="1" a="1"/>
  <c r="B975" i="1" s="1"/>
  <c r="B976" i="1" a="1"/>
  <c r="B976" i="1" s="1"/>
  <c r="B977" i="1" a="1"/>
  <c r="B977" i="1" s="1"/>
  <c r="B978" i="1" a="1"/>
  <c r="B978" i="1" s="1"/>
  <c r="B979" i="1" a="1"/>
  <c r="B979" i="1" s="1"/>
  <c r="B980" i="1" a="1"/>
  <c r="B980" i="1" s="1"/>
  <c r="B981" i="1" a="1"/>
  <c r="B981" i="1" s="1"/>
  <c r="B982" i="1" a="1"/>
  <c r="B982" i="1" s="1"/>
  <c r="B983" i="1" a="1"/>
  <c r="B983" i="1" s="1"/>
  <c r="B984" i="1" a="1"/>
  <c r="B984" i="1" s="1"/>
  <c r="B985" i="1" a="1"/>
  <c r="B985" i="1" s="1"/>
  <c r="B986" i="1" a="1"/>
  <c r="B986" i="1" s="1"/>
  <c r="B987" i="1" a="1"/>
  <c r="B987" i="1" s="1"/>
  <c r="B988" i="1" a="1"/>
  <c r="B988" i="1" s="1"/>
  <c r="B989" i="1" a="1"/>
  <c r="B989" i="1" s="1"/>
  <c r="B990" i="1" a="1"/>
  <c r="B990" i="1" s="1"/>
  <c r="B991" i="1" a="1"/>
  <c r="B991" i="1" s="1"/>
  <c r="B992" i="1" a="1"/>
  <c r="B992" i="1" s="1"/>
  <c r="B993" i="1" a="1"/>
  <c r="B993" i="1" s="1"/>
  <c r="B994" i="1" a="1"/>
  <c r="B994" i="1" s="1"/>
  <c r="B995" i="1" a="1"/>
  <c r="B995" i="1" s="1"/>
  <c r="B996" i="1" a="1"/>
  <c r="B996" i="1" s="1"/>
  <c r="B997" i="1" a="1"/>
  <c r="B997" i="1" s="1"/>
  <c r="B998" i="1" a="1"/>
  <c r="B998" i="1" s="1"/>
  <c r="B999" i="1" a="1"/>
  <c r="B999" i="1" s="1"/>
  <c r="B1000" i="1" a="1"/>
  <c r="B1000" i="1" s="1"/>
  <c r="B1001" i="1" a="1"/>
  <c r="B1001" i="1" s="1"/>
  <c r="B1002" i="1" a="1"/>
  <c r="B1002" i="1" s="1"/>
  <c r="B1003" i="1" a="1"/>
  <c r="B1003" i="1" s="1"/>
  <c r="B1004" i="1" a="1"/>
  <c r="B1004" i="1" s="1"/>
  <c r="B1005" i="1" a="1"/>
  <c r="B1005" i="1" s="1"/>
  <c r="B1006" i="1" a="1"/>
  <c r="B1006" i="1" s="1"/>
  <c r="B1007" i="1" a="1"/>
  <c r="B1007" i="1" s="1"/>
  <c r="B1008" i="1" a="1"/>
  <c r="B1008" i="1" s="1"/>
  <c r="B1009" i="1" a="1"/>
  <c r="B1009" i="1" s="1"/>
  <c r="B1010" i="1" a="1"/>
  <c r="B1010" i="1" s="1"/>
  <c r="B1011" i="1" a="1"/>
  <c r="B1011" i="1" s="1"/>
  <c r="B1012" i="1" a="1"/>
  <c r="B1012" i="1" s="1"/>
  <c r="B1013" i="1" a="1"/>
  <c r="B1013" i="1" s="1"/>
  <c r="B1014" i="1" a="1"/>
  <c r="B1014" i="1" s="1"/>
  <c r="B1015" i="1" a="1"/>
  <c r="B1015" i="1" s="1"/>
  <c r="B1016" i="1" a="1"/>
  <c r="B1016" i="1" s="1"/>
  <c r="B1017" i="1" a="1"/>
  <c r="B1017" i="1" s="1"/>
  <c r="B1018" i="1" a="1"/>
  <c r="B1018" i="1" s="1"/>
  <c r="B1019" i="1" a="1"/>
  <c r="B1019" i="1" s="1"/>
  <c r="B1020" i="1" a="1"/>
  <c r="B1020" i="1" s="1"/>
  <c r="B1021" i="1" a="1"/>
  <c r="B1021" i="1" s="1"/>
  <c r="B1022" i="1" a="1"/>
  <c r="B1022" i="1" s="1"/>
  <c r="B1023" i="1" a="1"/>
  <c r="B1023" i="1" s="1"/>
  <c r="B1024" i="1" a="1"/>
  <c r="B1024" i="1" s="1"/>
  <c r="B1025" i="1" a="1"/>
  <c r="B1025" i="1" s="1"/>
  <c r="B1026" i="1" a="1"/>
  <c r="B1026" i="1" s="1"/>
  <c r="B1027" i="1" a="1"/>
  <c r="B1027" i="1" s="1"/>
  <c r="B1028" i="1" a="1"/>
  <c r="B1028" i="1" s="1"/>
  <c r="B1029" i="1" a="1"/>
  <c r="B1029" i="1" s="1"/>
  <c r="B1030" i="1" a="1"/>
  <c r="B1030" i="1" s="1"/>
  <c r="B1031" i="1" a="1"/>
  <c r="B1031" i="1" s="1"/>
  <c r="B1032" i="1" a="1"/>
  <c r="B1032" i="1" s="1"/>
  <c r="B1033" i="1" a="1"/>
  <c r="B1033" i="1" s="1"/>
  <c r="B1034" i="1" a="1"/>
  <c r="B1034" i="1" s="1"/>
  <c r="B1035" i="1" a="1"/>
  <c r="B1035" i="1" s="1"/>
  <c r="B1036" i="1" a="1"/>
  <c r="B1036" i="1" s="1"/>
  <c r="B1037" i="1" a="1"/>
  <c r="B1037" i="1" s="1"/>
  <c r="B1038" i="1" a="1"/>
  <c r="B1038" i="1" s="1"/>
  <c r="B1039" i="1" a="1"/>
  <c r="B1039" i="1" s="1"/>
  <c r="B1040" i="1" a="1"/>
  <c r="B1040" i="1" s="1"/>
  <c r="B1041" i="1" a="1"/>
  <c r="B1041" i="1" s="1"/>
  <c r="B1042" i="1" a="1"/>
  <c r="B1042" i="1" s="1"/>
  <c r="B1043" i="1" a="1"/>
  <c r="B1043" i="1" s="1"/>
  <c r="B1044" i="1" a="1"/>
  <c r="B1044" i="1" s="1"/>
  <c r="B1045" i="1" a="1"/>
  <c r="B1045" i="1" s="1"/>
  <c r="B1046" i="1" a="1"/>
  <c r="B1046" i="1" s="1"/>
  <c r="B1047" i="1" a="1"/>
  <c r="B1047" i="1" s="1"/>
  <c r="B1048" i="1" a="1"/>
  <c r="B1048" i="1" s="1"/>
  <c r="B1049" i="1" a="1"/>
  <c r="B1049" i="1" s="1"/>
  <c r="B1050" i="1" a="1"/>
  <c r="B1050" i="1" s="1"/>
  <c r="B1051" i="1" a="1"/>
  <c r="B1051" i="1" s="1"/>
  <c r="B1052" i="1" a="1"/>
  <c r="B1052" i="1" s="1"/>
  <c r="B1053" i="1" a="1"/>
  <c r="B1053" i="1" s="1"/>
  <c r="B1054" i="1" a="1"/>
  <c r="B1054" i="1" s="1"/>
  <c r="B1055" i="1" a="1"/>
  <c r="B1055" i="1" s="1"/>
  <c r="B1056" i="1" a="1"/>
  <c r="B1056" i="1" s="1"/>
  <c r="B1057" i="1" a="1"/>
  <c r="B1057" i="1" s="1"/>
  <c r="B1058" i="1" a="1"/>
  <c r="B1058" i="1" s="1"/>
  <c r="B1059" i="1" a="1"/>
  <c r="B1059" i="1" s="1"/>
  <c r="B1060" i="1" a="1"/>
  <c r="B1060" i="1" s="1"/>
  <c r="B1061" i="1" a="1"/>
  <c r="B1061" i="1" s="1"/>
  <c r="B1062" i="1" a="1"/>
  <c r="B1062" i="1" s="1"/>
  <c r="B1063" i="1" a="1"/>
  <c r="B1063" i="1" s="1"/>
  <c r="B1064" i="1" a="1"/>
  <c r="B1064" i="1" s="1"/>
  <c r="B1065" i="1" a="1"/>
  <c r="B1065" i="1" s="1"/>
  <c r="B1066" i="1" a="1"/>
  <c r="B1066" i="1" s="1"/>
  <c r="B1067" i="1" a="1"/>
  <c r="B1067" i="1" s="1"/>
  <c r="B1068" i="1" a="1"/>
  <c r="B1068" i="1" s="1"/>
  <c r="B1069" i="1" a="1"/>
  <c r="B1069" i="1" s="1"/>
  <c r="B1070" i="1" a="1"/>
  <c r="B1070" i="1" s="1"/>
  <c r="B1071" i="1" a="1"/>
  <c r="B1071" i="1" s="1"/>
  <c r="B1072" i="1" a="1"/>
  <c r="B1072" i="1" s="1"/>
  <c r="B1073" i="1" a="1"/>
  <c r="B1073" i="1" s="1"/>
  <c r="B1074" i="1" a="1"/>
  <c r="B1074" i="1" s="1"/>
  <c r="B1075" i="1" a="1"/>
  <c r="B1075" i="1" s="1"/>
  <c r="B1076" i="1" a="1"/>
  <c r="B1076" i="1" s="1"/>
  <c r="B1077" i="1" a="1"/>
  <c r="B1077" i="1" s="1"/>
  <c r="B1078" i="1" a="1"/>
  <c r="B1078" i="1" s="1"/>
  <c r="B1079" i="1" a="1"/>
  <c r="B1079" i="1" s="1"/>
  <c r="B1080" i="1" a="1"/>
  <c r="B1080" i="1" s="1"/>
  <c r="B1081" i="1" a="1"/>
  <c r="B1081" i="1" s="1"/>
  <c r="B1082" i="1" a="1"/>
  <c r="B1082" i="1" s="1"/>
  <c r="B1083" i="1" a="1"/>
  <c r="B1083" i="1" s="1"/>
  <c r="B1084" i="1" a="1"/>
  <c r="B1084" i="1" s="1"/>
  <c r="B1085" i="1" a="1"/>
  <c r="B1085" i="1" s="1"/>
  <c r="B1086" i="1" a="1"/>
  <c r="B1086" i="1" s="1"/>
  <c r="B1087" i="1" a="1"/>
  <c r="B1087" i="1" s="1"/>
  <c r="B1088" i="1" a="1"/>
  <c r="B1088" i="1" s="1"/>
  <c r="B1089" i="1" a="1"/>
  <c r="B1089" i="1" s="1"/>
  <c r="B1090" i="1" a="1"/>
  <c r="B1090" i="1" s="1"/>
  <c r="B1091" i="1" a="1"/>
  <c r="B1091" i="1" s="1"/>
  <c r="B1092" i="1" a="1"/>
  <c r="B1092" i="1" s="1"/>
  <c r="B1093" i="1" a="1"/>
  <c r="B1093" i="1" s="1"/>
  <c r="B1094" i="1" a="1"/>
  <c r="B1094" i="1" s="1"/>
  <c r="B1095" i="1" a="1"/>
  <c r="B1095" i="1" s="1"/>
  <c r="B1096" i="1" a="1"/>
  <c r="B1096" i="1" s="1"/>
  <c r="B1097" i="1" a="1"/>
  <c r="B1097" i="1" s="1"/>
  <c r="B1098" i="1" a="1"/>
  <c r="B1098" i="1" s="1"/>
  <c r="B1099" i="1" a="1"/>
  <c r="B1099" i="1" s="1"/>
  <c r="B1100" i="1" a="1"/>
  <c r="B1100" i="1" s="1"/>
  <c r="B1101" i="1" a="1"/>
  <c r="B1101" i="1" s="1"/>
  <c r="B1102" i="1" a="1"/>
  <c r="B1102" i="1" s="1"/>
  <c r="B1103" i="1" a="1"/>
  <c r="B1103" i="1" s="1"/>
  <c r="B1104" i="1" a="1"/>
  <c r="B1104" i="1" s="1"/>
  <c r="B1105" i="1" a="1"/>
  <c r="B1105" i="1" s="1"/>
  <c r="B1106" i="1" a="1"/>
  <c r="B1106" i="1" s="1"/>
  <c r="B1107" i="1" a="1"/>
  <c r="B1107" i="1" s="1"/>
  <c r="B1108" i="1" a="1"/>
  <c r="B1108" i="1" s="1"/>
  <c r="B1109" i="1" a="1"/>
  <c r="B1109" i="1" s="1"/>
  <c r="B1110" i="1" a="1"/>
  <c r="B1110" i="1" s="1"/>
  <c r="B1111" i="1" a="1"/>
  <c r="B1111" i="1" s="1"/>
  <c r="B1112" i="1" a="1"/>
  <c r="B1112" i="1" s="1"/>
  <c r="B1113" i="1" a="1"/>
  <c r="B1113" i="1" s="1"/>
  <c r="B1114" i="1" a="1"/>
  <c r="B1114" i="1" s="1"/>
  <c r="B1115" i="1" a="1"/>
  <c r="B1115" i="1" s="1"/>
  <c r="B1116" i="1" a="1"/>
  <c r="B1116" i="1" s="1"/>
  <c r="B1117" i="1" a="1"/>
  <c r="B1117" i="1" s="1"/>
  <c r="B1118" i="1" a="1"/>
  <c r="B1118" i="1" s="1"/>
  <c r="B1119" i="1" a="1"/>
  <c r="B1119" i="1" s="1"/>
  <c r="B1120" i="1" a="1"/>
  <c r="B1120" i="1" s="1"/>
  <c r="B1121" i="1" a="1"/>
  <c r="B1121" i="1" s="1"/>
  <c r="B1122" i="1" a="1"/>
  <c r="B1122" i="1" s="1"/>
  <c r="B1123" i="1" a="1"/>
  <c r="B1123" i="1" s="1"/>
  <c r="B1124" i="1" a="1"/>
  <c r="B1124" i="1" s="1"/>
  <c r="B1125" i="1" a="1"/>
  <c r="B1125" i="1" s="1"/>
  <c r="B1126" i="1" a="1"/>
  <c r="B1126" i="1" s="1"/>
  <c r="B1127" i="1" a="1"/>
  <c r="B1127" i="1" s="1"/>
  <c r="B1128" i="1" a="1"/>
  <c r="B1128" i="1" s="1"/>
  <c r="B1129" i="1" a="1"/>
  <c r="B1129" i="1" s="1"/>
  <c r="B1130" i="1" a="1"/>
  <c r="B1130" i="1" s="1"/>
  <c r="B1131" i="1" a="1"/>
  <c r="B1131" i="1" s="1"/>
  <c r="B1132" i="1" a="1"/>
  <c r="B1132" i="1" s="1"/>
  <c r="B1133" i="1" a="1"/>
  <c r="B1133" i="1" s="1"/>
  <c r="B1134" i="1" a="1"/>
  <c r="B1134" i="1" s="1"/>
  <c r="B1135" i="1" a="1"/>
  <c r="B1135" i="1" s="1"/>
  <c r="B1136" i="1" a="1"/>
  <c r="B1136" i="1" s="1"/>
  <c r="B1137" i="1" a="1"/>
  <c r="B1137" i="1" s="1"/>
  <c r="B1138" i="1" a="1"/>
  <c r="B1138" i="1" s="1"/>
  <c r="B1139" i="1" a="1"/>
  <c r="B1139" i="1" s="1"/>
  <c r="B1140" i="1" a="1"/>
  <c r="B1140" i="1" s="1"/>
  <c r="B1141" i="1" a="1"/>
  <c r="B1141" i="1" s="1"/>
  <c r="B1142" i="1" a="1"/>
  <c r="B1142" i="1" s="1"/>
  <c r="B1143" i="1" a="1"/>
  <c r="B1143" i="1" s="1"/>
  <c r="B1144" i="1" a="1"/>
  <c r="B1144" i="1" s="1"/>
  <c r="B1145" i="1" a="1"/>
  <c r="B1145" i="1" s="1"/>
  <c r="B1146" i="1" a="1"/>
  <c r="B1146" i="1" s="1"/>
  <c r="B1147" i="1" a="1"/>
  <c r="B1147" i="1" s="1"/>
  <c r="B1148" i="1" a="1"/>
  <c r="B1148" i="1" s="1"/>
  <c r="B1149" i="1" a="1"/>
  <c r="B1149" i="1" s="1"/>
  <c r="B1150" i="1" a="1"/>
  <c r="B1150" i="1" s="1"/>
  <c r="B1151" i="1" a="1"/>
  <c r="B1151" i="1" s="1"/>
  <c r="B1152" i="1" a="1"/>
  <c r="B1152" i="1" s="1"/>
  <c r="B1153" i="1" a="1"/>
  <c r="B1153" i="1" s="1"/>
  <c r="B1154" i="1" a="1"/>
  <c r="B1154" i="1" s="1"/>
  <c r="B1155" i="1" a="1"/>
  <c r="B1155" i="1" s="1"/>
  <c r="B1156" i="1" a="1"/>
  <c r="B1156" i="1" s="1"/>
  <c r="B1157" i="1" a="1"/>
  <c r="B1157" i="1" s="1"/>
  <c r="B1158" i="1" a="1"/>
  <c r="B1158" i="1" s="1"/>
  <c r="B1159" i="1" a="1"/>
  <c r="B1159" i="1" s="1"/>
  <c r="B1160" i="1" a="1"/>
  <c r="B1160" i="1" s="1"/>
  <c r="B1161" i="1" a="1"/>
  <c r="B1161" i="1" s="1"/>
  <c r="B1162" i="1" a="1"/>
  <c r="B1162" i="1" s="1"/>
  <c r="B1163" i="1" a="1"/>
  <c r="B1163" i="1" s="1"/>
  <c r="B1164" i="1" a="1"/>
  <c r="B1164" i="1" s="1"/>
  <c r="B1165" i="1" a="1"/>
  <c r="B1165" i="1" s="1"/>
  <c r="B1166" i="1" a="1"/>
  <c r="B1166" i="1" s="1"/>
  <c r="B1167" i="1" a="1"/>
  <c r="B1167" i="1" s="1"/>
  <c r="B1168" i="1" a="1"/>
  <c r="B1168" i="1" s="1"/>
  <c r="B1169" i="1" a="1"/>
  <c r="B1169" i="1" s="1"/>
  <c r="B1170" i="1" a="1"/>
  <c r="B1170" i="1" s="1"/>
  <c r="B1171" i="1" a="1"/>
  <c r="B1171" i="1" s="1"/>
  <c r="B1172" i="1" a="1"/>
  <c r="B1172" i="1" s="1"/>
  <c r="B1173" i="1" a="1"/>
  <c r="B1173" i="1" s="1"/>
  <c r="B1174" i="1" a="1"/>
  <c r="B1174" i="1" s="1"/>
  <c r="B1175" i="1" a="1"/>
  <c r="B1175" i="1" s="1"/>
  <c r="B1176" i="1" a="1"/>
  <c r="B1176" i="1" s="1"/>
  <c r="B1177" i="1" a="1"/>
  <c r="B1177" i="1" s="1"/>
  <c r="B1178" i="1" a="1"/>
  <c r="B1178" i="1" s="1"/>
  <c r="B1179" i="1" a="1"/>
  <c r="B1179" i="1" s="1"/>
  <c r="B1180" i="1" a="1"/>
  <c r="B1180" i="1" s="1"/>
  <c r="B1181" i="1" a="1"/>
  <c r="B1181" i="1" s="1"/>
  <c r="B1182" i="1" a="1"/>
  <c r="B1182" i="1" s="1"/>
  <c r="B1183" i="1" a="1"/>
  <c r="B1183" i="1" s="1"/>
  <c r="B1184" i="1" a="1"/>
  <c r="B1184" i="1" s="1"/>
  <c r="B1185" i="1" a="1"/>
  <c r="B1185" i="1" s="1"/>
  <c r="B1186" i="1" a="1"/>
  <c r="B1186" i="1" s="1"/>
  <c r="B1187" i="1" a="1"/>
  <c r="B1187" i="1" s="1"/>
  <c r="B1188" i="1" a="1"/>
  <c r="B1188" i="1" s="1"/>
  <c r="B1189" i="1" a="1"/>
  <c r="B1189" i="1" s="1"/>
  <c r="B1190" i="1" a="1"/>
  <c r="B1190" i="1" s="1"/>
  <c r="B1191" i="1" a="1"/>
  <c r="B1191" i="1" s="1"/>
  <c r="B1192" i="1" a="1"/>
  <c r="B1192" i="1" s="1"/>
  <c r="B1193" i="1" a="1"/>
  <c r="B1193" i="1" s="1"/>
  <c r="B1194" i="1" a="1"/>
  <c r="B1194" i="1" s="1"/>
  <c r="B1195" i="1" a="1"/>
  <c r="B1195" i="1" s="1"/>
  <c r="B1196" i="1" a="1"/>
  <c r="B1196" i="1" s="1"/>
  <c r="B1197" i="1" a="1"/>
  <c r="B1197" i="1" s="1"/>
  <c r="B1198" i="1" a="1"/>
  <c r="B1198" i="1" s="1"/>
  <c r="B1199" i="1" a="1"/>
  <c r="B1199" i="1" s="1"/>
  <c r="B1200" i="1" a="1"/>
  <c r="B1200" i="1" s="1"/>
  <c r="B1201" i="1" a="1"/>
  <c r="B1201" i="1" s="1"/>
  <c r="B1202" i="1" a="1"/>
  <c r="B1202" i="1" s="1"/>
  <c r="B1203" i="1" a="1"/>
  <c r="B1203" i="1" s="1"/>
  <c r="B1204" i="1" a="1"/>
  <c r="B1204" i="1" s="1"/>
  <c r="B1205" i="1" a="1"/>
  <c r="B1205" i="1" s="1"/>
  <c r="B1206" i="1" a="1"/>
  <c r="B1206" i="1" s="1"/>
  <c r="B1207" i="1" a="1"/>
  <c r="B1207" i="1" s="1"/>
  <c r="B1208" i="1" a="1"/>
  <c r="B1208" i="1" s="1"/>
  <c r="B1209" i="1" a="1"/>
  <c r="B1209" i="1" s="1"/>
  <c r="B1210" i="1" a="1"/>
  <c r="B1210" i="1" s="1"/>
  <c r="B1211" i="1" a="1"/>
  <c r="B1211" i="1" s="1"/>
  <c r="B1212" i="1" a="1"/>
  <c r="B1212" i="1" s="1"/>
  <c r="B1213" i="1" a="1"/>
  <c r="B1213" i="1" s="1"/>
  <c r="B1214" i="1" a="1"/>
  <c r="B1214" i="1" s="1"/>
  <c r="B1215" i="1" a="1"/>
  <c r="B1215" i="1" s="1"/>
  <c r="B1216" i="1" a="1"/>
  <c r="B1216" i="1" s="1"/>
  <c r="B1217" i="1" a="1"/>
  <c r="B1217" i="1" s="1"/>
  <c r="B1218" i="1" a="1"/>
  <c r="B1218" i="1" s="1"/>
  <c r="B1219" i="1" a="1"/>
  <c r="B1219" i="1" s="1"/>
  <c r="B1220" i="1" a="1"/>
  <c r="B1220" i="1" s="1"/>
  <c r="B1221" i="1" a="1"/>
  <c r="B1221" i="1" s="1"/>
  <c r="B1222" i="1" a="1"/>
  <c r="B1222" i="1" s="1"/>
  <c r="B1223" i="1" a="1"/>
  <c r="B1223" i="1" s="1"/>
  <c r="B1224" i="1" a="1"/>
  <c r="B1224" i="1" s="1"/>
  <c r="B1225" i="1" a="1"/>
  <c r="B1225" i="1" s="1"/>
  <c r="B1226" i="1" a="1"/>
  <c r="B1226" i="1" s="1"/>
  <c r="B1227" i="1" a="1"/>
  <c r="B1227" i="1" s="1"/>
  <c r="B1228" i="1" a="1"/>
  <c r="B1228" i="1" s="1"/>
  <c r="B1229" i="1" a="1"/>
  <c r="B1229" i="1" s="1"/>
  <c r="B1230" i="1" a="1"/>
  <c r="B1230" i="1" s="1"/>
  <c r="B1231" i="1" a="1"/>
  <c r="B1231" i="1" s="1"/>
  <c r="B1232" i="1" a="1"/>
  <c r="B1232" i="1" s="1"/>
  <c r="B1233" i="1" a="1"/>
  <c r="B1233" i="1" s="1"/>
  <c r="B1234" i="1" a="1"/>
  <c r="B1234" i="1" s="1"/>
  <c r="B1235" i="1" a="1"/>
  <c r="B1235" i="1" s="1"/>
  <c r="B1236" i="1" a="1"/>
  <c r="B1236" i="1" s="1"/>
  <c r="B1237" i="1" a="1"/>
  <c r="B1237" i="1" s="1"/>
  <c r="B1238" i="1" a="1"/>
  <c r="B1238" i="1" s="1"/>
  <c r="B1239" i="1" a="1"/>
  <c r="B1239" i="1" s="1"/>
  <c r="B1240" i="1" a="1"/>
  <c r="B1240" i="1" s="1"/>
  <c r="B1241" i="1" a="1"/>
  <c r="B1241" i="1" s="1"/>
  <c r="B1242" i="1" a="1"/>
  <c r="B1242" i="1" s="1"/>
  <c r="B1243" i="1" a="1"/>
  <c r="B1243" i="1" s="1"/>
  <c r="B1244" i="1" a="1"/>
  <c r="B1244" i="1" s="1"/>
  <c r="B1245" i="1" a="1"/>
  <c r="B1245" i="1" s="1"/>
  <c r="B1246" i="1" a="1"/>
  <c r="B1246" i="1" s="1"/>
  <c r="B1247" i="1" a="1"/>
  <c r="B1247" i="1" s="1"/>
  <c r="B1248" i="1" a="1"/>
  <c r="B1248" i="1" s="1"/>
  <c r="B1249" i="1" a="1"/>
  <c r="B1249" i="1" s="1"/>
  <c r="B1250" i="1" a="1"/>
  <c r="B1250" i="1" s="1"/>
  <c r="B1251" i="1" a="1"/>
  <c r="B1251" i="1" s="1"/>
  <c r="B1252" i="1" a="1"/>
  <c r="B1252" i="1" s="1"/>
  <c r="B1253" i="1" a="1"/>
  <c r="B1253" i="1" s="1"/>
  <c r="B1254" i="1" a="1"/>
  <c r="B1254" i="1" s="1"/>
  <c r="B1255" i="1" a="1"/>
  <c r="B1255" i="1" s="1"/>
  <c r="B1256" i="1" a="1"/>
  <c r="B1256" i="1" s="1"/>
  <c r="B1257" i="1" a="1"/>
  <c r="B1257" i="1" s="1"/>
  <c r="B1258" i="1" a="1"/>
  <c r="B1258" i="1" s="1"/>
  <c r="B1259" i="1" a="1"/>
  <c r="B1259" i="1" s="1"/>
  <c r="B1260" i="1" a="1"/>
  <c r="B1260" i="1" s="1"/>
  <c r="B1261" i="1" a="1"/>
  <c r="B1261" i="1" s="1"/>
  <c r="B1262" i="1" a="1"/>
  <c r="B1262" i="1" s="1"/>
  <c r="B1263" i="1" a="1"/>
  <c r="B1263" i="1" s="1"/>
  <c r="B1264" i="1" a="1"/>
  <c r="B1264" i="1" s="1"/>
  <c r="B1265" i="1" a="1"/>
  <c r="B1265" i="1" s="1"/>
  <c r="B1266" i="1" a="1"/>
  <c r="B1266" i="1" s="1"/>
  <c r="B1267" i="1" a="1"/>
  <c r="B1267" i="1" s="1"/>
  <c r="B1268" i="1" a="1"/>
  <c r="B1268" i="1" s="1"/>
  <c r="B1269" i="1" a="1"/>
  <c r="B1269" i="1" s="1"/>
  <c r="B1270" i="1" a="1"/>
  <c r="B1270" i="1" s="1"/>
  <c r="B1271" i="1" a="1"/>
  <c r="B1271" i="1" s="1"/>
  <c r="B1272" i="1" a="1"/>
  <c r="B1272" i="1" s="1"/>
  <c r="B1273" i="1" a="1"/>
  <c r="B1273" i="1" s="1"/>
  <c r="B1274" i="1" a="1"/>
  <c r="B1274" i="1" s="1"/>
  <c r="B1275" i="1" a="1"/>
  <c r="B1275" i="1" s="1"/>
  <c r="B1276" i="1" a="1"/>
  <c r="B1276" i="1" s="1"/>
  <c r="B1277" i="1" a="1"/>
  <c r="B1277" i="1" s="1"/>
  <c r="B1278" i="1" a="1"/>
  <c r="B1278" i="1" s="1"/>
  <c r="B1279" i="1" a="1"/>
  <c r="B1279" i="1" s="1"/>
  <c r="B1280" i="1" a="1"/>
  <c r="B1280" i="1" s="1"/>
  <c r="B1281" i="1" a="1"/>
  <c r="B1281" i="1" s="1"/>
  <c r="B1282" i="1" a="1"/>
  <c r="B1282" i="1" s="1"/>
  <c r="B1283" i="1" a="1"/>
  <c r="B1283" i="1" s="1"/>
  <c r="B1284" i="1" a="1"/>
  <c r="B1284" i="1" s="1"/>
  <c r="B1285" i="1" a="1"/>
  <c r="B1285" i="1" s="1"/>
  <c r="B1286" i="1" a="1"/>
  <c r="B1286" i="1" s="1"/>
  <c r="B1287" i="1" a="1"/>
  <c r="B1287" i="1" s="1"/>
  <c r="B1288" i="1" a="1"/>
  <c r="B1288" i="1" s="1"/>
  <c r="B1289" i="1" a="1"/>
  <c r="B1289" i="1" s="1"/>
  <c r="B1290" i="1" a="1"/>
  <c r="B1290" i="1" s="1"/>
  <c r="B1291" i="1" a="1"/>
  <c r="B1291" i="1" s="1"/>
  <c r="B1292" i="1" a="1"/>
  <c r="B1292" i="1" s="1"/>
  <c r="B1293" i="1" a="1"/>
  <c r="B1293" i="1" s="1"/>
  <c r="B1294" i="1" a="1"/>
  <c r="B1294" i="1" s="1"/>
  <c r="B1295" i="1" a="1"/>
  <c r="B1295" i="1" s="1"/>
  <c r="B1296" i="1" a="1"/>
  <c r="B1296" i="1" s="1"/>
  <c r="B1297" i="1" a="1"/>
  <c r="B1297" i="1" s="1"/>
  <c r="B1298" i="1" a="1"/>
  <c r="B1298" i="1" s="1"/>
  <c r="B1299" i="1" a="1"/>
  <c r="B1299" i="1" s="1"/>
  <c r="B1300" i="1" a="1"/>
  <c r="B1300" i="1" s="1"/>
  <c r="B1301" i="1" a="1"/>
  <c r="B1301" i="1" s="1"/>
  <c r="B1302" i="1" a="1"/>
  <c r="B1302" i="1" s="1"/>
  <c r="B1303" i="1" a="1"/>
  <c r="B1303" i="1" s="1"/>
  <c r="B1304" i="1" a="1"/>
  <c r="B1304" i="1" s="1"/>
  <c r="B1305" i="1" a="1"/>
  <c r="B1305" i="1" s="1"/>
  <c r="B1306" i="1" a="1"/>
  <c r="B1306" i="1" s="1"/>
  <c r="B1307" i="1" a="1"/>
  <c r="B1307" i="1" s="1"/>
  <c r="B1308" i="1" a="1"/>
  <c r="B1308" i="1" s="1"/>
  <c r="B1309" i="1" a="1"/>
  <c r="B1309" i="1" s="1"/>
  <c r="B1310" i="1" a="1"/>
  <c r="B1310" i="1" s="1"/>
  <c r="B1311" i="1" a="1"/>
  <c r="B1311" i="1" s="1"/>
  <c r="B1312" i="1" a="1"/>
  <c r="B1312" i="1" s="1"/>
  <c r="B1313" i="1" a="1"/>
  <c r="B1313" i="1" s="1"/>
  <c r="B1314" i="1" a="1"/>
  <c r="B1314" i="1" s="1"/>
  <c r="B1315" i="1" a="1"/>
  <c r="B1315" i="1" s="1"/>
  <c r="B1316" i="1" a="1"/>
  <c r="B1316" i="1" s="1"/>
  <c r="B1317" i="1" a="1"/>
  <c r="B1317" i="1" s="1"/>
  <c r="B1318" i="1" a="1"/>
  <c r="B1318" i="1" s="1"/>
  <c r="B1319" i="1" a="1"/>
  <c r="B1319" i="1" s="1"/>
  <c r="B1320" i="1" a="1"/>
  <c r="B1320" i="1" s="1"/>
  <c r="B1321" i="1" a="1"/>
  <c r="B1321" i="1" s="1"/>
  <c r="B1322" i="1" a="1"/>
  <c r="B1322" i="1" s="1"/>
  <c r="B1323" i="1" a="1"/>
  <c r="B1323" i="1" s="1"/>
  <c r="B1324" i="1" a="1"/>
  <c r="B1324" i="1" s="1"/>
  <c r="B1325" i="1" a="1"/>
  <c r="B1325" i="1" s="1"/>
  <c r="B1326" i="1" a="1"/>
  <c r="B1326" i="1" s="1"/>
  <c r="B1327" i="1" a="1"/>
  <c r="B1327" i="1" s="1"/>
  <c r="B1328" i="1" a="1"/>
  <c r="B1328" i="1" s="1"/>
  <c r="B1329" i="1" a="1"/>
  <c r="B1329" i="1" s="1"/>
  <c r="B1330" i="1" a="1"/>
  <c r="B1330" i="1" s="1"/>
  <c r="B1331" i="1" a="1"/>
  <c r="B1331" i="1" s="1"/>
  <c r="B1332" i="1" a="1"/>
  <c r="B1332" i="1" s="1"/>
  <c r="B1333" i="1" a="1"/>
  <c r="B1333" i="1" s="1"/>
  <c r="B1334" i="1" a="1"/>
  <c r="B1334" i="1" s="1"/>
  <c r="B1335" i="1" a="1"/>
  <c r="B1335" i="1" s="1"/>
  <c r="B1336" i="1" a="1"/>
  <c r="B1336" i="1" s="1"/>
  <c r="B1337" i="1" a="1"/>
  <c r="B1337" i="1" s="1"/>
  <c r="B1338" i="1" a="1"/>
  <c r="B1338" i="1" s="1"/>
  <c r="B1339" i="1" a="1"/>
  <c r="B1339" i="1" s="1"/>
  <c r="B1340" i="1" a="1"/>
  <c r="B1340" i="1" s="1"/>
  <c r="B1341" i="1" a="1"/>
  <c r="B1341" i="1" s="1"/>
  <c r="B1342" i="1" a="1"/>
  <c r="B1342" i="1" s="1"/>
  <c r="B1343" i="1" a="1"/>
  <c r="B1343" i="1" s="1"/>
  <c r="B1344" i="1" a="1"/>
  <c r="B1344" i="1" s="1"/>
  <c r="B1345" i="1" a="1"/>
  <c r="B1345" i="1" s="1"/>
  <c r="B1346" i="1" a="1"/>
  <c r="B1346" i="1" s="1"/>
  <c r="B1347" i="1" a="1"/>
  <c r="B1347" i="1" s="1"/>
  <c r="B1348" i="1" a="1"/>
  <c r="B1348" i="1" s="1"/>
  <c r="B1349" i="1" a="1"/>
  <c r="B1349" i="1" s="1"/>
  <c r="B1350" i="1" a="1"/>
  <c r="B1350" i="1" s="1"/>
  <c r="B1351" i="1" a="1"/>
  <c r="B1351" i="1" s="1"/>
  <c r="B1352" i="1" a="1"/>
  <c r="B1352" i="1" s="1"/>
  <c r="B1353" i="1" a="1"/>
  <c r="B1353" i="1" s="1"/>
  <c r="B1354" i="1" a="1"/>
  <c r="B1354" i="1" s="1"/>
  <c r="B1355" i="1" a="1"/>
  <c r="B1355" i="1" s="1"/>
  <c r="B1356" i="1" a="1"/>
  <c r="B1356" i="1" s="1"/>
  <c r="B1357" i="1" a="1"/>
  <c r="B1357" i="1" s="1"/>
  <c r="B1358" i="1" a="1"/>
  <c r="B1358" i="1" s="1"/>
  <c r="B1359" i="1" a="1"/>
  <c r="B1359" i="1" s="1"/>
  <c r="B1360" i="1" a="1"/>
  <c r="B1360" i="1" s="1"/>
  <c r="B1361" i="1" a="1"/>
  <c r="B1361" i="1" s="1"/>
  <c r="B1362" i="1" a="1"/>
  <c r="B1362" i="1" s="1"/>
  <c r="B1363" i="1" a="1"/>
  <c r="B1363" i="1" s="1"/>
  <c r="B1364" i="1" a="1"/>
  <c r="B1364" i="1" s="1"/>
  <c r="B1365" i="1" a="1"/>
  <c r="B1365" i="1" s="1"/>
  <c r="B1366" i="1" a="1"/>
  <c r="B1366" i="1" s="1"/>
  <c r="B1367" i="1" a="1"/>
  <c r="B1367" i="1" s="1"/>
  <c r="B1368" i="1" a="1"/>
  <c r="B1368" i="1" s="1"/>
  <c r="B1369" i="1" a="1"/>
  <c r="B1369" i="1" s="1"/>
  <c r="B1370" i="1" a="1"/>
  <c r="B1370" i="1" s="1"/>
  <c r="B1371" i="1" a="1"/>
  <c r="B1371" i="1" s="1"/>
  <c r="B1372" i="1" a="1"/>
  <c r="B1372" i="1" s="1"/>
  <c r="B1373" i="1" a="1"/>
  <c r="B1373" i="1" s="1"/>
  <c r="B1374" i="1" a="1"/>
  <c r="B1374" i="1" s="1"/>
  <c r="B1375" i="1" a="1"/>
  <c r="B1375" i="1" s="1"/>
  <c r="B1376" i="1" a="1"/>
  <c r="B1376" i="1" s="1"/>
  <c r="B1377" i="1" a="1"/>
  <c r="B1377" i="1" s="1"/>
  <c r="B1378" i="1" a="1"/>
  <c r="B1378" i="1" s="1"/>
  <c r="B1379" i="1" a="1"/>
  <c r="B1379" i="1" s="1"/>
  <c r="B1380" i="1" a="1"/>
  <c r="B1380" i="1" s="1"/>
  <c r="B1381" i="1" a="1"/>
  <c r="B1381" i="1" s="1"/>
  <c r="B1382" i="1" a="1"/>
  <c r="B1382" i="1" s="1"/>
  <c r="B1383" i="1" a="1"/>
  <c r="B1383" i="1" s="1"/>
  <c r="B1384" i="1" a="1"/>
  <c r="B1384" i="1" s="1"/>
  <c r="B1385" i="1" a="1"/>
  <c r="B1385" i="1" s="1"/>
  <c r="B1386" i="1" a="1"/>
  <c r="B1386" i="1" s="1"/>
  <c r="B1387" i="1" a="1"/>
  <c r="B1387" i="1" s="1"/>
  <c r="B1388" i="1" a="1"/>
  <c r="B1388" i="1" s="1"/>
  <c r="B1389" i="1" a="1"/>
  <c r="B1389" i="1" s="1"/>
  <c r="B1390" i="1" a="1"/>
  <c r="B1390" i="1" s="1"/>
  <c r="B1391" i="1" a="1"/>
  <c r="B1391" i="1" s="1"/>
  <c r="B1392" i="1" a="1"/>
  <c r="B1392" i="1" s="1"/>
  <c r="B1393" i="1" a="1"/>
  <c r="B1393" i="1" s="1"/>
  <c r="B1394" i="1" a="1"/>
  <c r="B1394" i="1" s="1"/>
  <c r="B1395" i="1" a="1"/>
  <c r="B1395" i="1" s="1"/>
  <c r="B1396" i="1" a="1"/>
  <c r="B1396" i="1" s="1"/>
  <c r="B1397" i="1" a="1"/>
  <c r="B1397" i="1" s="1"/>
  <c r="B1398" i="1" a="1"/>
  <c r="B1398" i="1" s="1"/>
  <c r="B1399" i="1" a="1"/>
  <c r="B1399" i="1" s="1"/>
  <c r="B1400" i="1" a="1"/>
  <c r="B1400" i="1" s="1"/>
  <c r="B1401" i="1" a="1"/>
  <c r="B1401" i="1" s="1"/>
  <c r="B1402" i="1" a="1"/>
  <c r="B1402" i="1" s="1"/>
  <c r="B1403" i="1" a="1"/>
  <c r="B1403" i="1" s="1"/>
  <c r="B1404" i="1" a="1"/>
  <c r="B1404" i="1" s="1"/>
  <c r="B1405" i="1" a="1"/>
  <c r="B1405" i="1" s="1"/>
  <c r="B1406" i="1" a="1"/>
  <c r="B1406" i="1" s="1"/>
  <c r="B1407" i="1" a="1"/>
  <c r="B1407" i="1" s="1"/>
  <c r="B1408" i="1" a="1"/>
  <c r="B1408" i="1" s="1"/>
  <c r="B1409" i="1" a="1"/>
  <c r="B1409" i="1" s="1"/>
  <c r="B1410" i="1" a="1"/>
  <c r="B1410" i="1" s="1"/>
  <c r="B1411" i="1" a="1"/>
  <c r="B1411" i="1" s="1"/>
  <c r="B1412" i="1" a="1"/>
  <c r="B1412" i="1" s="1"/>
  <c r="B1413" i="1" a="1"/>
  <c r="B1413" i="1" s="1"/>
  <c r="B1414" i="1" a="1"/>
  <c r="B1414" i="1" s="1"/>
  <c r="B1415" i="1" a="1"/>
  <c r="B1415" i="1" s="1"/>
  <c r="B1416" i="1" a="1"/>
  <c r="B1416" i="1" s="1"/>
  <c r="B1417" i="1" a="1"/>
  <c r="B1417" i="1" s="1"/>
  <c r="B1418" i="1" a="1"/>
  <c r="B1418" i="1" s="1"/>
  <c r="B1419" i="1" a="1"/>
  <c r="B1419" i="1" s="1"/>
  <c r="B1420" i="1" a="1"/>
  <c r="B1420" i="1" s="1"/>
  <c r="B1421" i="1" a="1"/>
  <c r="B1421" i="1" s="1"/>
  <c r="B1422" i="1" a="1"/>
  <c r="B1422" i="1" s="1"/>
  <c r="B1423" i="1" a="1"/>
  <c r="B1423" i="1" s="1"/>
  <c r="B1424" i="1" a="1"/>
  <c r="B1424" i="1" s="1"/>
  <c r="B1425" i="1" a="1"/>
  <c r="B1425" i="1" s="1"/>
  <c r="B1426" i="1" a="1"/>
  <c r="B1426" i="1" s="1"/>
  <c r="B1427" i="1" a="1"/>
  <c r="B1427" i="1" s="1"/>
  <c r="B1428" i="1" a="1"/>
  <c r="B1428" i="1" s="1"/>
  <c r="B1429" i="1" a="1"/>
  <c r="B1429" i="1" s="1"/>
  <c r="B1430" i="1" a="1"/>
  <c r="B1430" i="1" s="1"/>
  <c r="B1431" i="1" a="1"/>
  <c r="B1431" i="1" s="1"/>
  <c r="B1432" i="1" a="1"/>
  <c r="B1432" i="1" s="1"/>
  <c r="B1433" i="1" a="1"/>
  <c r="B1433" i="1" s="1"/>
  <c r="B1434" i="1" a="1"/>
  <c r="B1434" i="1" s="1"/>
  <c r="B1435" i="1" a="1"/>
  <c r="B1435" i="1" s="1"/>
  <c r="B1436" i="1" a="1"/>
  <c r="B1436" i="1" s="1"/>
  <c r="B1437" i="1" a="1"/>
  <c r="B1437" i="1" s="1"/>
  <c r="B1438" i="1" a="1"/>
  <c r="B1438" i="1" s="1"/>
  <c r="B1439" i="1" a="1"/>
  <c r="B1439" i="1" s="1"/>
  <c r="B1440" i="1" a="1"/>
  <c r="B1440" i="1" s="1"/>
  <c r="B1441" i="1" a="1"/>
  <c r="B1441" i="1" s="1"/>
  <c r="B1442" i="1" a="1"/>
  <c r="B1442" i="1" s="1"/>
  <c r="B1443" i="1" a="1"/>
  <c r="B1443" i="1" s="1"/>
  <c r="B1444" i="1" a="1"/>
  <c r="B1444" i="1" s="1"/>
  <c r="B1445" i="1" a="1"/>
  <c r="B1445" i="1" s="1"/>
  <c r="B1446" i="1" a="1"/>
  <c r="B1446" i="1" s="1"/>
  <c r="B1447" i="1" a="1"/>
  <c r="B1447" i="1" s="1"/>
  <c r="B1448" i="1" a="1"/>
  <c r="B1448" i="1" s="1"/>
  <c r="B1449" i="1" a="1"/>
  <c r="B1449" i="1" s="1"/>
  <c r="B1450" i="1" a="1"/>
  <c r="B1450" i="1" s="1"/>
  <c r="B1451" i="1" a="1"/>
  <c r="B1451" i="1" s="1"/>
  <c r="B1452" i="1" a="1"/>
  <c r="B1452" i="1" s="1"/>
  <c r="B1453" i="1" a="1"/>
  <c r="B1453" i="1" s="1"/>
  <c r="B1454" i="1" a="1"/>
  <c r="B1454" i="1" s="1"/>
  <c r="B1455" i="1" a="1"/>
  <c r="B1455" i="1" s="1"/>
  <c r="B1456" i="1" a="1"/>
  <c r="B1456" i="1" s="1"/>
  <c r="B1457" i="1" a="1"/>
  <c r="B1457" i="1" s="1"/>
  <c r="B1458" i="1" a="1"/>
  <c r="B1458" i="1" s="1"/>
  <c r="B1459" i="1" a="1"/>
  <c r="B1459" i="1" s="1"/>
  <c r="B1460" i="1" a="1"/>
  <c r="B1460" i="1" s="1"/>
  <c r="B1461" i="1" a="1"/>
  <c r="B1461" i="1" s="1"/>
  <c r="B1462" i="1" a="1"/>
  <c r="B1462" i="1" s="1"/>
  <c r="B1463" i="1" a="1"/>
  <c r="B1463" i="1" s="1"/>
  <c r="B1464" i="1" a="1"/>
  <c r="B1464" i="1" s="1"/>
  <c r="B1465" i="1" a="1"/>
  <c r="B1465" i="1" s="1"/>
  <c r="B1466" i="1" a="1"/>
  <c r="B1466" i="1" s="1"/>
  <c r="B1467" i="1" a="1"/>
  <c r="B1467" i="1" s="1"/>
  <c r="B1468" i="1" a="1"/>
  <c r="B1468" i="1" s="1"/>
  <c r="B1469" i="1" a="1"/>
  <c r="B1469" i="1" s="1"/>
  <c r="B1470" i="1" a="1"/>
  <c r="B1470" i="1" s="1"/>
  <c r="B1471" i="1" a="1"/>
  <c r="B1471" i="1" s="1"/>
  <c r="B1472" i="1" a="1"/>
  <c r="B1472" i="1" s="1"/>
  <c r="B1473" i="1" a="1"/>
  <c r="B1473" i="1" s="1"/>
  <c r="B1474" i="1" a="1"/>
  <c r="B1474" i="1" s="1"/>
  <c r="B1475" i="1" a="1"/>
  <c r="B1475" i="1" s="1"/>
  <c r="B1476" i="1" a="1"/>
  <c r="B1476" i="1" s="1"/>
  <c r="B1477" i="1" a="1"/>
  <c r="B1477" i="1" s="1"/>
  <c r="B1478" i="1" a="1"/>
  <c r="B1478" i="1" s="1"/>
  <c r="B1479" i="1" a="1"/>
  <c r="B1479" i="1" s="1"/>
  <c r="B1480" i="1" a="1"/>
  <c r="B1480" i="1" s="1"/>
  <c r="B1481" i="1" a="1"/>
  <c r="B1481" i="1" s="1"/>
  <c r="B1482" i="1" a="1"/>
  <c r="B1482" i="1" s="1"/>
  <c r="B1483" i="1" a="1"/>
  <c r="B1483" i="1" s="1"/>
  <c r="B1484" i="1" a="1"/>
  <c r="B1484" i="1" s="1"/>
  <c r="B1485" i="1" a="1"/>
  <c r="B1485" i="1" s="1"/>
  <c r="B1486" i="1" a="1"/>
  <c r="B1486" i="1" s="1"/>
  <c r="B1487" i="1" a="1"/>
  <c r="B1487" i="1" s="1"/>
  <c r="B1488" i="1" a="1"/>
  <c r="B1488" i="1" s="1"/>
  <c r="B1489" i="1" a="1"/>
  <c r="B1489" i="1" s="1"/>
  <c r="B1490" i="1" a="1"/>
  <c r="B1490" i="1" s="1"/>
  <c r="B1491" i="1" a="1"/>
  <c r="B1491" i="1" s="1"/>
  <c r="B1492" i="1" a="1"/>
  <c r="B1492" i="1" s="1"/>
  <c r="B1493" i="1" a="1"/>
  <c r="B1493" i="1" s="1"/>
  <c r="B1494" i="1" a="1"/>
  <c r="B1494" i="1" s="1"/>
  <c r="B1495" i="1" a="1"/>
  <c r="B1495" i="1" s="1"/>
  <c r="B1496" i="1" a="1"/>
  <c r="B1496" i="1" s="1"/>
  <c r="B1497" i="1" a="1"/>
  <c r="B1497" i="1" s="1"/>
  <c r="B1498" i="1" a="1"/>
  <c r="B1498" i="1" s="1"/>
  <c r="B1499" i="1" a="1"/>
  <c r="B1499" i="1" s="1"/>
  <c r="B1500" i="1" a="1"/>
  <c r="B1500" i="1" s="1"/>
  <c r="B1501" i="1" a="1"/>
  <c r="B1501" i="1" s="1"/>
  <c r="B1502" i="1" a="1"/>
  <c r="B1502" i="1" s="1"/>
  <c r="B1503" i="1" a="1"/>
  <c r="B1503" i="1" s="1"/>
  <c r="B1504" i="1" a="1"/>
  <c r="B1504" i="1" s="1"/>
  <c r="B1505" i="1" a="1"/>
  <c r="B1505" i="1" s="1"/>
  <c r="B1506" i="1" a="1"/>
  <c r="B1506" i="1" s="1"/>
  <c r="B1507" i="1" a="1"/>
  <c r="B1507" i="1" s="1"/>
  <c r="B1508" i="1" a="1"/>
  <c r="B1508" i="1" s="1"/>
  <c r="B1509" i="1" a="1"/>
  <c r="B1509" i="1" s="1"/>
  <c r="B1510" i="1" a="1"/>
  <c r="B1510" i="1" s="1"/>
  <c r="B1511" i="1" a="1"/>
  <c r="B1511" i="1" s="1"/>
  <c r="B1512" i="1" a="1"/>
  <c r="B1512" i="1" s="1"/>
  <c r="B1513" i="1" a="1"/>
  <c r="B1513" i="1" s="1"/>
  <c r="B1514" i="1" a="1"/>
  <c r="B1514" i="1" s="1"/>
  <c r="B1515" i="1" a="1"/>
  <c r="B1515" i="1" s="1"/>
  <c r="B1516" i="1" a="1"/>
  <c r="B1516" i="1" s="1"/>
  <c r="B1517" i="1" a="1"/>
  <c r="B1517" i="1" s="1"/>
  <c r="B1518" i="1" a="1"/>
  <c r="B1518" i="1" s="1"/>
  <c r="B1519" i="1" a="1"/>
  <c r="B1519" i="1" s="1"/>
  <c r="B1520" i="1" a="1"/>
  <c r="B1520" i="1" s="1"/>
  <c r="B1521" i="1" a="1"/>
  <c r="B1521" i="1" s="1"/>
  <c r="B1522" i="1" a="1"/>
  <c r="B1522" i="1" s="1"/>
  <c r="B1523" i="1" a="1"/>
  <c r="B1523" i="1" s="1"/>
  <c r="B1524" i="1" a="1"/>
  <c r="B1524" i="1" s="1"/>
  <c r="B1525" i="1" a="1"/>
  <c r="B1525" i="1" s="1"/>
  <c r="B1526" i="1" a="1"/>
  <c r="B1526" i="1" s="1"/>
  <c r="B1527" i="1" a="1"/>
  <c r="B1527" i="1" s="1"/>
  <c r="B1528" i="1" a="1"/>
  <c r="B1528" i="1" s="1"/>
  <c r="B1529" i="1" a="1"/>
  <c r="B1529" i="1" s="1"/>
  <c r="B1530" i="1" a="1"/>
  <c r="B1530" i="1" s="1"/>
  <c r="B1531" i="1" a="1"/>
  <c r="B1531" i="1" s="1"/>
  <c r="B1532" i="1" a="1"/>
  <c r="B1532" i="1" s="1"/>
  <c r="B1533" i="1" a="1"/>
  <c r="B1533" i="1" s="1"/>
  <c r="B1534" i="1" a="1"/>
  <c r="B1534" i="1" s="1"/>
  <c r="B1535" i="1" a="1"/>
  <c r="B1535" i="1" s="1"/>
  <c r="B1536" i="1" a="1"/>
  <c r="B1536" i="1" s="1"/>
  <c r="B1537" i="1" a="1"/>
  <c r="B1537" i="1" s="1"/>
  <c r="B1538" i="1" a="1"/>
  <c r="B1538" i="1" s="1"/>
  <c r="B1539" i="1" a="1"/>
  <c r="B1539" i="1" s="1"/>
  <c r="B1540" i="1" a="1"/>
  <c r="B1540" i="1" s="1"/>
  <c r="B1541" i="1" a="1"/>
  <c r="B1541" i="1" s="1"/>
  <c r="B1542" i="1" a="1"/>
  <c r="B1542" i="1" s="1"/>
  <c r="B1543" i="1" a="1"/>
  <c r="B1543" i="1" s="1"/>
  <c r="B1544" i="1" a="1"/>
  <c r="B1544" i="1" s="1"/>
  <c r="B1545" i="1" a="1"/>
  <c r="B1545" i="1" s="1"/>
  <c r="B1546" i="1" a="1"/>
  <c r="B1546" i="1" s="1"/>
  <c r="B1547" i="1" a="1"/>
  <c r="B1547" i="1" s="1"/>
  <c r="B1548" i="1" a="1"/>
  <c r="B1548" i="1" s="1"/>
  <c r="B1549" i="1" a="1"/>
  <c r="B1549" i="1" s="1"/>
  <c r="B1550" i="1" a="1"/>
  <c r="B1550" i="1" s="1"/>
  <c r="B1551" i="1" a="1"/>
  <c r="B1551" i="1" s="1"/>
  <c r="B1552" i="1" a="1"/>
  <c r="B1552" i="1" s="1"/>
  <c r="B1553" i="1" a="1"/>
  <c r="B1553" i="1" s="1"/>
  <c r="B1554" i="1" a="1"/>
  <c r="B1554" i="1" s="1"/>
  <c r="B1555" i="1" a="1"/>
  <c r="B1555" i="1" s="1"/>
  <c r="B1556" i="1" a="1"/>
  <c r="B1556" i="1" s="1"/>
  <c r="B1557" i="1" a="1"/>
  <c r="B1557" i="1" s="1"/>
  <c r="B1558" i="1" a="1"/>
  <c r="B1558" i="1" s="1"/>
  <c r="B1559" i="1" a="1"/>
  <c r="B1559" i="1" s="1"/>
  <c r="B1560" i="1" a="1"/>
  <c r="B1560" i="1" s="1"/>
  <c r="B1561" i="1" a="1"/>
  <c r="B1561" i="1" s="1"/>
  <c r="B1562" i="1" a="1"/>
  <c r="B1562" i="1" s="1"/>
  <c r="B1563" i="1" a="1"/>
  <c r="B1563" i="1" s="1"/>
  <c r="B1564" i="1" a="1"/>
  <c r="B1564" i="1" s="1"/>
  <c r="B1565" i="1" a="1"/>
  <c r="B1565" i="1" s="1"/>
  <c r="B1566" i="1" a="1"/>
  <c r="B1566" i="1" s="1"/>
  <c r="B1567" i="1" a="1"/>
  <c r="B1567" i="1" s="1"/>
  <c r="B1568" i="1" a="1"/>
  <c r="B1568" i="1" s="1"/>
  <c r="B1569" i="1" a="1"/>
  <c r="B1569" i="1" s="1"/>
  <c r="B1570" i="1" a="1"/>
  <c r="B1570" i="1" s="1"/>
  <c r="B1571" i="1" a="1"/>
  <c r="B1571" i="1" s="1"/>
  <c r="B1572" i="1" a="1"/>
  <c r="B1572" i="1" s="1"/>
  <c r="B1573" i="1" a="1"/>
  <c r="B1573" i="1" s="1"/>
  <c r="B1574" i="1" a="1"/>
  <c r="B1574" i="1" s="1"/>
  <c r="B1575" i="1" a="1"/>
  <c r="B1575" i="1" s="1"/>
  <c r="B1576" i="1" a="1"/>
  <c r="B1576" i="1" s="1"/>
  <c r="B1577" i="1" a="1"/>
  <c r="B1577" i="1" s="1"/>
  <c r="B1578" i="1" a="1"/>
  <c r="B1578" i="1" s="1"/>
  <c r="B1579" i="1" a="1"/>
  <c r="B1579" i="1" s="1"/>
  <c r="B1580" i="1" a="1"/>
  <c r="B1580" i="1" s="1"/>
  <c r="B1581" i="1" a="1"/>
  <c r="B1581" i="1" s="1"/>
  <c r="B1582" i="1" a="1"/>
  <c r="B1582" i="1" s="1"/>
  <c r="B1583" i="1" a="1"/>
  <c r="B1583" i="1" s="1"/>
  <c r="B1584" i="1" a="1"/>
  <c r="B1584" i="1" s="1"/>
  <c r="B1585" i="1" a="1"/>
  <c r="B1585" i="1" s="1"/>
  <c r="B1586" i="1" a="1"/>
  <c r="B1586" i="1" s="1"/>
  <c r="B1587" i="1" a="1"/>
  <c r="B1587" i="1" s="1"/>
  <c r="B1588" i="1" a="1"/>
  <c r="B1588" i="1" s="1"/>
  <c r="B1589" i="1" a="1"/>
  <c r="B1589" i="1" s="1"/>
  <c r="B1590" i="1" a="1"/>
  <c r="B1590" i="1" s="1"/>
  <c r="B1591" i="1" a="1"/>
  <c r="B1591" i="1" s="1"/>
  <c r="B1592" i="1" a="1"/>
  <c r="B1592" i="1" s="1"/>
  <c r="B1593" i="1" a="1"/>
  <c r="B1593" i="1" s="1"/>
  <c r="B1594" i="1" a="1"/>
  <c r="B1594" i="1" s="1"/>
  <c r="B1595" i="1" a="1"/>
  <c r="B1595" i="1" s="1"/>
  <c r="B1596" i="1" a="1"/>
  <c r="B1596" i="1" s="1"/>
  <c r="B1597" i="1" a="1"/>
  <c r="B1597" i="1" s="1"/>
  <c r="B1598" i="1" a="1"/>
  <c r="B1598" i="1" s="1"/>
  <c r="B1599" i="1" a="1"/>
  <c r="B1599" i="1" s="1"/>
  <c r="B1600" i="1" a="1"/>
  <c r="B1600" i="1" s="1"/>
  <c r="B1601" i="1" a="1"/>
  <c r="B1601" i="1" s="1"/>
  <c r="B1602" i="1" a="1"/>
  <c r="B1602" i="1" s="1"/>
  <c r="B1603" i="1" a="1"/>
  <c r="B1603" i="1" s="1"/>
  <c r="B1604" i="1" a="1"/>
  <c r="B1604" i="1" s="1"/>
  <c r="B1605" i="1" a="1"/>
  <c r="B1605" i="1" s="1"/>
  <c r="B1606" i="1" a="1"/>
  <c r="B1606" i="1" s="1"/>
  <c r="B1607" i="1" a="1"/>
  <c r="B1607" i="1" s="1"/>
  <c r="B1608" i="1" a="1"/>
  <c r="B1608" i="1" s="1"/>
  <c r="B1609" i="1" a="1"/>
  <c r="B1609" i="1" s="1"/>
  <c r="B1610" i="1" a="1"/>
  <c r="B1610" i="1" s="1"/>
  <c r="B1611" i="1" a="1"/>
  <c r="B1611" i="1" s="1"/>
  <c r="B1612" i="1" a="1"/>
  <c r="B1612" i="1" s="1"/>
  <c r="B1613" i="1" a="1"/>
  <c r="B1613" i="1" s="1"/>
  <c r="B1614" i="1" a="1"/>
  <c r="B1614" i="1" s="1"/>
  <c r="B1615" i="1" a="1"/>
  <c r="B1615" i="1" s="1"/>
  <c r="B1616" i="1" a="1"/>
  <c r="B1616" i="1" s="1"/>
  <c r="B1617" i="1" a="1"/>
  <c r="B1617" i="1" s="1"/>
  <c r="B1618" i="1" a="1"/>
  <c r="B1618" i="1" s="1"/>
  <c r="B1619" i="1" a="1"/>
  <c r="B1619" i="1" s="1"/>
  <c r="B1620" i="1" a="1"/>
  <c r="B1620" i="1" s="1"/>
  <c r="B1621" i="1" a="1"/>
  <c r="B1621" i="1" s="1"/>
  <c r="B1622" i="1" a="1"/>
  <c r="B1622" i="1" s="1"/>
  <c r="B1623" i="1" a="1"/>
  <c r="B1623" i="1" s="1"/>
  <c r="B1624" i="1" a="1"/>
  <c r="B1624" i="1" s="1"/>
  <c r="B1625" i="1" a="1"/>
  <c r="B1625" i="1" s="1"/>
  <c r="B1626" i="1" a="1"/>
  <c r="B1626" i="1" s="1"/>
  <c r="B1627" i="1" a="1"/>
  <c r="B1627" i="1" s="1"/>
  <c r="B1628" i="1" a="1"/>
  <c r="B1628" i="1" s="1"/>
  <c r="B1629" i="1" a="1"/>
  <c r="B1629" i="1" s="1"/>
  <c r="B1630" i="1" a="1"/>
  <c r="B1630" i="1" s="1"/>
  <c r="B1631" i="1" a="1"/>
  <c r="B1631" i="1" s="1"/>
  <c r="B1632" i="1" a="1"/>
  <c r="B1632" i="1" s="1"/>
  <c r="B1633" i="1" a="1"/>
  <c r="B1633" i="1" s="1"/>
  <c r="B1634" i="1" a="1"/>
  <c r="B1634" i="1" s="1"/>
  <c r="B1635" i="1" a="1"/>
  <c r="B1635" i="1" s="1"/>
  <c r="B1636" i="1" a="1"/>
  <c r="B1636" i="1" s="1"/>
  <c r="B1637" i="1" a="1"/>
  <c r="B1637" i="1" s="1"/>
  <c r="B1638" i="1" a="1"/>
  <c r="B1638" i="1" s="1"/>
  <c r="B1639" i="1" a="1"/>
  <c r="B1639" i="1" s="1"/>
  <c r="B1640" i="1" a="1"/>
  <c r="B1640" i="1" s="1"/>
  <c r="B1641" i="1" a="1"/>
  <c r="B1641" i="1" s="1"/>
  <c r="B1642" i="1" a="1"/>
  <c r="B1642" i="1" s="1"/>
  <c r="B1643" i="1" a="1"/>
  <c r="B1643" i="1" s="1"/>
  <c r="B1644" i="1" a="1"/>
  <c r="B1644" i="1" s="1"/>
  <c r="B1645" i="1" a="1"/>
  <c r="B1645" i="1" s="1"/>
  <c r="B1646" i="1" a="1"/>
  <c r="B1646" i="1" s="1"/>
  <c r="B1647" i="1" a="1"/>
  <c r="B1647" i="1" s="1"/>
  <c r="B1648" i="1" a="1"/>
  <c r="B1648" i="1" s="1"/>
  <c r="B1649" i="1" a="1"/>
  <c r="B1649" i="1" s="1"/>
  <c r="B1650" i="1" a="1"/>
  <c r="B1650" i="1" s="1"/>
  <c r="B1651" i="1" a="1"/>
  <c r="B1651" i="1" s="1"/>
  <c r="B1652" i="1" a="1"/>
  <c r="B1652" i="1" s="1"/>
  <c r="B1653" i="1" a="1"/>
  <c r="B1653" i="1" s="1"/>
  <c r="B1654" i="1" a="1"/>
  <c r="B1654" i="1" s="1"/>
  <c r="B1655" i="1" a="1"/>
  <c r="B1655" i="1" s="1"/>
  <c r="B1656" i="1" a="1"/>
  <c r="B1656" i="1" s="1"/>
  <c r="B1657" i="1" a="1"/>
  <c r="B1657" i="1" s="1"/>
  <c r="B1658" i="1" a="1"/>
  <c r="B1658" i="1" s="1"/>
  <c r="B1659" i="1" a="1"/>
  <c r="B1659" i="1" s="1"/>
  <c r="B1660" i="1" a="1"/>
  <c r="B1660" i="1" s="1"/>
  <c r="B1661" i="1" a="1"/>
  <c r="B1661" i="1" s="1"/>
  <c r="B1662" i="1" a="1"/>
  <c r="B1662" i="1" s="1"/>
  <c r="B1663" i="1" a="1"/>
  <c r="B1663" i="1" s="1"/>
  <c r="B1664" i="1" a="1"/>
  <c r="B1664" i="1" s="1"/>
  <c r="B1665" i="1" a="1"/>
  <c r="B1665" i="1" s="1"/>
  <c r="B1666" i="1" a="1"/>
  <c r="B1666" i="1" s="1"/>
  <c r="B1667" i="1" a="1"/>
  <c r="B1667" i="1" s="1"/>
  <c r="B1668" i="1" a="1"/>
  <c r="B1668" i="1" s="1"/>
  <c r="B1669" i="1" a="1"/>
  <c r="B1669" i="1" s="1"/>
  <c r="B1670" i="1" a="1"/>
  <c r="B1670" i="1" s="1"/>
  <c r="B1671" i="1" a="1"/>
  <c r="B1671" i="1" s="1"/>
  <c r="B1672" i="1" a="1"/>
  <c r="B1672" i="1" s="1"/>
  <c r="B1673" i="1" a="1"/>
  <c r="B1673" i="1" s="1"/>
  <c r="B1674" i="1" a="1"/>
  <c r="B1674" i="1" s="1"/>
  <c r="B1675" i="1" a="1"/>
  <c r="B1675" i="1" s="1"/>
  <c r="B1676" i="1" a="1"/>
  <c r="B1676" i="1" s="1"/>
  <c r="B1677" i="1" a="1"/>
  <c r="B1677" i="1" s="1"/>
  <c r="B1678" i="1" a="1"/>
  <c r="B1678" i="1" s="1"/>
  <c r="B1679" i="1" a="1"/>
  <c r="B1679" i="1" s="1"/>
  <c r="B1680" i="1" a="1"/>
  <c r="B1680" i="1" s="1"/>
  <c r="B1681" i="1" a="1"/>
  <c r="B1681" i="1" s="1"/>
  <c r="B1682" i="1" a="1"/>
  <c r="B1682" i="1" s="1"/>
  <c r="B1683" i="1" a="1"/>
  <c r="B1683" i="1" s="1"/>
  <c r="B1684" i="1" a="1"/>
  <c r="B1684" i="1" s="1"/>
  <c r="B1685" i="1" a="1"/>
  <c r="B1685" i="1" s="1"/>
  <c r="B1686" i="1" a="1"/>
  <c r="B1686" i="1" s="1"/>
  <c r="B1687" i="1" a="1"/>
  <c r="B1687" i="1" s="1"/>
  <c r="B1688" i="1" a="1"/>
  <c r="B1688" i="1" s="1"/>
  <c r="B1689" i="1" a="1"/>
  <c r="B1689" i="1" s="1"/>
  <c r="B1690" i="1" a="1"/>
  <c r="B1690" i="1" s="1"/>
  <c r="B1691" i="1" a="1"/>
  <c r="B1691" i="1" s="1"/>
  <c r="B1692" i="1" a="1"/>
  <c r="B1692" i="1" s="1"/>
  <c r="B1693" i="1" a="1"/>
  <c r="B1693" i="1" s="1"/>
  <c r="B1694" i="1" a="1"/>
  <c r="B1694" i="1" s="1"/>
  <c r="B1695" i="1" a="1"/>
  <c r="B1695" i="1" s="1"/>
  <c r="B1696" i="1" a="1"/>
  <c r="B1696" i="1" s="1"/>
  <c r="B1697" i="1" a="1"/>
  <c r="B1697" i="1" s="1"/>
  <c r="B1698" i="1" a="1"/>
  <c r="B1698" i="1" s="1"/>
  <c r="B1699" i="1" a="1"/>
  <c r="B1699" i="1" s="1"/>
  <c r="B1700" i="1" a="1"/>
  <c r="B1700" i="1" s="1"/>
  <c r="B1701" i="1" a="1"/>
  <c r="B1701" i="1" s="1"/>
  <c r="B1702" i="1" a="1"/>
  <c r="B1702" i="1" s="1"/>
  <c r="B1703" i="1" a="1"/>
  <c r="B1703" i="1" s="1"/>
  <c r="B1704" i="1" a="1"/>
  <c r="B1704" i="1" s="1"/>
  <c r="B1705" i="1" a="1"/>
  <c r="B1705" i="1" s="1"/>
  <c r="B1706" i="1" a="1"/>
  <c r="B1706" i="1" s="1"/>
  <c r="B1707" i="1" a="1"/>
  <c r="B1707" i="1" s="1"/>
  <c r="B1708" i="1" a="1"/>
  <c r="B1708" i="1" s="1"/>
  <c r="B1709" i="1" a="1"/>
  <c r="B1709" i="1" s="1"/>
  <c r="B1710" i="1" a="1"/>
  <c r="B1710" i="1" s="1"/>
  <c r="B1711" i="1" a="1"/>
  <c r="B1711" i="1" s="1"/>
  <c r="B1712" i="1" a="1"/>
  <c r="B1712" i="1" s="1"/>
  <c r="B1713" i="1" a="1"/>
  <c r="B1713" i="1" s="1"/>
  <c r="B1714" i="1" a="1"/>
  <c r="B1714" i="1" s="1"/>
  <c r="B1715" i="1" a="1"/>
  <c r="B1715" i="1" s="1"/>
  <c r="B1716" i="1" a="1"/>
  <c r="B1716" i="1" s="1"/>
  <c r="B1717" i="1" a="1"/>
  <c r="B1717" i="1" s="1"/>
  <c r="B1718" i="1" a="1"/>
  <c r="B1718" i="1" s="1"/>
  <c r="B1719" i="1" a="1"/>
  <c r="B1719" i="1" s="1"/>
  <c r="B1720" i="1" a="1"/>
  <c r="B1720" i="1" s="1"/>
  <c r="B1721" i="1" a="1"/>
  <c r="B1721" i="1" s="1"/>
  <c r="B1722" i="1" a="1"/>
  <c r="B1722" i="1" s="1"/>
  <c r="B1723" i="1" a="1"/>
  <c r="B1723" i="1" s="1"/>
  <c r="B1724" i="1" a="1"/>
  <c r="B1724" i="1" s="1"/>
  <c r="B1725" i="1" a="1"/>
  <c r="B1725" i="1" s="1"/>
  <c r="B1726" i="1" a="1"/>
  <c r="B1726" i="1" s="1"/>
  <c r="B1727" i="1" a="1"/>
  <c r="B1727" i="1" s="1"/>
  <c r="B1728" i="1" a="1"/>
  <c r="B1728" i="1" s="1"/>
  <c r="B1729" i="1" a="1"/>
  <c r="B1729" i="1" s="1"/>
  <c r="B1730" i="1" a="1"/>
  <c r="B1730" i="1" s="1"/>
  <c r="B1731" i="1" a="1"/>
  <c r="B1731" i="1" s="1"/>
  <c r="B1732" i="1" a="1"/>
  <c r="B1732" i="1" s="1"/>
  <c r="B1733" i="1" a="1"/>
  <c r="B1733" i="1" s="1"/>
  <c r="B1734" i="1" a="1"/>
  <c r="B1734" i="1" s="1"/>
  <c r="B1735" i="1" a="1"/>
  <c r="B1735" i="1" s="1"/>
  <c r="B1736" i="1" a="1"/>
  <c r="B1736" i="1" s="1"/>
  <c r="B1737" i="1" a="1"/>
  <c r="B1737" i="1" s="1"/>
  <c r="B1738" i="1" a="1"/>
  <c r="B1738" i="1" s="1"/>
  <c r="B1739" i="1" a="1"/>
  <c r="B1739" i="1" s="1"/>
  <c r="B1740" i="1" a="1"/>
  <c r="B1740" i="1" s="1"/>
  <c r="B1741" i="1" a="1"/>
  <c r="B1741" i="1" s="1"/>
  <c r="B1742" i="1" a="1"/>
  <c r="B1742" i="1" s="1"/>
  <c r="B1743" i="1" a="1"/>
  <c r="B1743" i="1" s="1"/>
  <c r="B1744" i="1" a="1"/>
  <c r="B1744" i="1" s="1"/>
  <c r="B1745" i="1" a="1"/>
  <c r="B1745" i="1" s="1"/>
  <c r="B1746" i="1" a="1"/>
  <c r="B1746" i="1" s="1"/>
  <c r="B1747" i="1" a="1"/>
  <c r="B1747" i="1" s="1"/>
  <c r="B1748" i="1" a="1"/>
  <c r="B1748" i="1" s="1"/>
  <c r="B1749" i="1" a="1"/>
  <c r="B1749" i="1" s="1"/>
  <c r="B1750" i="1" a="1"/>
  <c r="B1750" i="1" s="1"/>
  <c r="B1751" i="1" a="1"/>
  <c r="B1751" i="1" s="1"/>
  <c r="B1752" i="1" a="1"/>
  <c r="B1752" i="1" s="1"/>
  <c r="B1753" i="1" a="1"/>
  <c r="B1753" i="1" s="1"/>
  <c r="B1754" i="1" a="1"/>
  <c r="B1754" i="1" s="1"/>
  <c r="B1755" i="1" a="1"/>
  <c r="B1755" i="1" s="1"/>
  <c r="B1756" i="1" a="1"/>
  <c r="B1756" i="1" s="1"/>
  <c r="B1757" i="1" a="1"/>
  <c r="B1757" i="1" s="1"/>
  <c r="B1758" i="1" a="1"/>
  <c r="B1758" i="1" s="1"/>
  <c r="B1759" i="1" a="1"/>
  <c r="B1759" i="1" s="1"/>
  <c r="B1760" i="1" a="1"/>
  <c r="B1760" i="1" s="1"/>
  <c r="B1761" i="1" a="1"/>
  <c r="B1761" i="1" s="1"/>
  <c r="B1762" i="1" a="1"/>
  <c r="B1762" i="1" s="1"/>
  <c r="B1763" i="1" a="1"/>
  <c r="B1763" i="1" s="1"/>
  <c r="B1764" i="1" a="1"/>
  <c r="B1764" i="1" s="1"/>
  <c r="B1765" i="1" a="1"/>
  <c r="B1765" i="1" s="1"/>
  <c r="B1766" i="1" a="1"/>
  <c r="B1766" i="1" s="1"/>
  <c r="B1767" i="1" a="1"/>
  <c r="B1767" i="1" s="1"/>
  <c r="B1768" i="1" a="1"/>
  <c r="B1768" i="1" s="1"/>
  <c r="B1769" i="1" a="1"/>
  <c r="B1769" i="1" s="1"/>
  <c r="B1770" i="1" a="1"/>
  <c r="B1770" i="1" s="1"/>
  <c r="B1771" i="1" a="1"/>
  <c r="B1771" i="1" s="1"/>
  <c r="B1772" i="1" a="1"/>
  <c r="B1772" i="1" s="1"/>
  <c r="B1773" i="1" a="1"/>
  <c r="B1773" i="1" s="1"/>
  <c r="B1774" i="1" a="1"/>
  <c r="B1774" i="1" s="1"/>
  <c r="B1775" i="1" a="1"/>
  <c r="B1775" i="1" s="1"/>
  <c r="B1776" i="1" a="1"/>
  <c r="B1776" i="1" s="1"/>
  <c r="B1777" i="1" a="1"/>
  <c r="B1777" i="1" s="1"/>
  <c r="B1778" i="1" a="1"/>
  <c r="B1778" i="1" s="1"/>
  <c r="B1779" i="1" a="1"/>
  <c r="B1779" i="1" s="1"/>
  <c r="B1780" i="1" a="1"/>
  <c r="B1780" i="1" s="1"/>
  <c r="B1781" i="1" a="1"/>
  <c r="B1781" i="1" s="1"/>
  <c r="B1782" i="1" a="1"/>
  <c r="B1782" i="1" s="1"/>
  <c r="B1783" i="1" a="1"/>
  <c r="B1783" i="1" s="1"/>
  <c r="B1784" i="1" a="1"/>
  <c r="B1784" i="1" s="1"/>
  <c r="B1785" i="1" a="1"/>
  <c r="B1785" i="1" s="1"/>
  <c r="B1786" i="1" a="1"/>
  <c r="B1786" i="1" s="1"/>
  <c r="B1787" i="1" a="1"/>
  <c r="B1787" i="1" s="1"/>
  <c r="B1788" i="1" a="1"/>
  <c r="B1788" i="1" s="1"/>
  <c r="B1789" i="1" a="1"/>
  <c r="B1789" i="1" s="1"/>
  <c r="B1790" i="1" a="1"/>
  <c r="B1790" i="1" s="1"/>
  <c r="B1791" i="1" a="1"/>
  <c r="B1791" i="1" s="1"/>
  <c r="B1792" i="1" a="1"/>
  <c r="B1792" i="1" s="1"/>
  <c r="B1793" i="1" a="1"/>
  <c r="B1793" i="1" s="1"/>
  <c r="B1794" i="1" a="1"/>
  <c r="B1794" i="1" s="1"/>
  <c r="B1795" i="1" a="1"/>
  <c r="B1795" i="1" s="1"/>
  <c r="B1796" i="1" a="1"/>
  <c r="B1796" i="1" s="1"/>
  <c r="B1797" i="1" a="1"/>
  <c r="B1797" i="1" s="1"/>
  <c r="B1798" i="1" a="1"/>
  <c r="B1798" i="1" s="1"/>
  <c r="B1799" i="1" a="1"/>
  <c r="B1799" i="1" s="1"/>
  <c r="B1800" i="1" a="1"/>
  <c r="B1800" i="1" s="1"/>
  <c r="B1801" i="1" a="1"/>
  <c r="B1801" i="1" s="1"/>
  <c r="B1802" i="1" a="1"/>
  <c r="B1802" i="1" s="1"/>
  <c r="B1803" i="1" a="1"/>
  <c r="B1803" i="1" s="1"/>
  <c r="B1804" i="1" a="1"/>
  <c r="B1804" i="1" s="1"/>
  <c r="B1805" i="1" a="1"/>
  <c r="B1805" i="1" s="1"/>
  <c r="B1806" i="1" a="1"/>
  <c r="B1806" i="1" s="1"/>
  <c r="B1807" i="1" a="1"/>
  <c r="B1807" i="1" s="1"/>
  <c r="B1808" i="1" a="1"/>
  <c r="B1808" i="1" s="1"/>
  <c r="B1809" i="1" a="1"/>
  <c r="B1809" i="1" s="1"/>
  <c r="B1810" i="1" a="1"/>
  <c r="B1810" i="1" s="1"/>
  <c r="B1811" i="1" a="1"/>
  <c r="B1811" i="1" s="1"/>
  <c r="B1812" i="1" a="1"/>
  <c r="B1812" i="1" s="1"/>
  <c r="B1813" i="1" a="1"/>
  <c r="B1813" i="1" s="1"/>
  <c r="B1814" i="1" a="1"/>
  <c r="B1814" i="1" s="1"/>
  <c r="B1815" i="1" a="1"/>
  <c r="B1815" i="1" s="1"/>
  <c r="B1816" i="1" a="1"/>
  <c r="B1816" i="1" s="1"/>
  <c r="B1817" i="1" a="1"/>
  <c r="B1817" i="1" s="1"/>
  <c r="B1818" i="1" a="1"/>
  <c r="B1818" i="1" s="1"/>
  <c r="B1819" i="1" a="1"/>
  <c r="B1819" i="1" s="1"/>
  <c r="B1820" i="1" a="1"/>
  <c r="B1820" i="1" s="1"/>
  <c r="B1821" i="1" a="1"/>
  <c r="B1821" i="1" s="1"/>
  <c r="B1822" i="1" a="1"/>
  <c r="B1822" i="1" s="1"/>
  <c r="B1823" i="1" a="1"/>
  <c r="B1823" i="1" s="1"/>
  <c r="B1824" i="1" a="1"/>
  <c r="B1824" i="1" s="1"/>
  <c r="B1825" i="1" a="1"/>
  <c r="B1825" i="1" s="1"/>
  <c r="B1826" i="1" a="1"/>
  <c r="B1826" i="1" s="1"/>
  <c r="B1827" i="1" a="1"/>
  <c r="B1827" i="1" s="1"/>
  <c r="B1828" i="1" a="1"/>
  <c r="B1828" i="1" s="1"/>
  <c r="B1829" i="1" a="1"/>
  <c r="B1829" i="1" s="1"/>
  <c r="B1830" i="1" a="1"/>
  <c r="B1830" i="1" s="1"/>
  <c r="B1831" i="1" a="1"/>
  <c r="B1831" i="1" s="1"/>
  <c r="B1832" i="1" a="1"/>
  <c r="B1832" i="1" s="1"/>
  <c r="B1833" i="1" a="1"/>
  <c r="B1833" i="1" s="1"/>
  <c r="B1834" i="1" a="1"/>
  <c r="B1834" i="1" s="1"/>
  <c r="B1835" i="1" a="1"/>
  <c r="B1835" i="1" s="1"/>
  <c r="B1836" i="1" a="1"/>
  <c r="B1836" i="1" s="1"/>
  <c r="B1837" i="1" a="1"/>
  <c r="B1837" i="1" s="1"/>
  <c r="B1838" i="1" a="1"/>
  <c r="B1838" i="1" s="1"/>
  <c r="B1839" i="1" a="1"/>
  <c r="B1839" i="1" s="1"/>
  <c r="B1840" i="1" a="1"/>
  <c r="B1840" i="1" s="1"/>
  <c r="B1841" i="1" a="1"/>
  <c r="B1841" i="1" s="1"/>
  <c r="B1842" i="1" a="1"/>
  <c r="B1842" i="1" s="1"/>
  <c r="B1843" i="1" a="1"/>
  <c r="B1843" i="1" s="1"/>
  <c r="B1844" i="1" a="1"/>
  <c r="B1844" i="1" s="1"/>
  <c r="B1845" i="1" a="1"/>
  <c r="B1845" i="1" s="1"/>
  <c r="B1846" i="1" a="1"/>
  <c r="B1846" i="1" s="1"/>
  <c r="B1847" i="1" a="1"/>
  <c r="B1847" i="1" s="1"/>
  <c r="B1848" i="1" a="1"/>
  <c r="B1848" i="1" s="1"/>
  <c r="B1849" i="1" a="1"/>
  <c r="B1849" i="1" s="1"/>
  <c r="B1850" i="1" a="1"/>
  <c r="B1850" i="1" s="1"/>
  <c r="B1851" i="1" a="1"/>
  <c r="B1851" i="1" s="1"/>
  <c r="B1852" i="1" a="1"/>
  <c r="B1852" i="1" s="1"/>
  <c r="B1853" i="1" a="1"/>
  <c r="B1853" i="1" s="1"/>
  <c r="B1854" i="1" a="1"/>
  <c r="B1854" i="1" s="1"/>
  <c r="B1855" i="1" a="1"/>
  <c r="B1855" i="1" s="1"/>
  <c r="B1856" i="1" a="1"/>
  <c r="B1856" i="1" s="1"/>
  <c r="B1857" i="1" a="1"/>
  <c r="B1857" i="1" s="1"/>
  <c r="B1858" i="1" a="1"/>
  <c r="B1858" i="1" s="1"/>
  <c r="B1859" i="1" a="1"/>
  <c r="B1859" i="1" s="1"/>
  <c r="B1860" i="1" a="1"/>
  <c r="B1860" i="1" s="1"/>
  <c r="B1861" i="1" a="1"/>
  <c r="B1861" i="1" s="1"/>
  <c r="B1862" i="1" a="1"/>
  <c r="B1862" i="1" s="1"/>
  <c r="B1863" i="1" a="1"/>
  <c r="B1863" i="1" s="1"/>
  <c r="B1864" i="1" a="1"/>
  <c r="B1864" i="1" s="1"/>
  <c r="B1865" i="1" a="1"/>
  <c r="B1865" i="1" s="1"/>
  <c r="B1866" i="1" a="1"/>
  <c r="B1866" i="1" s="1"/>
  <c r="B1867" i="1" a="1"/>
  <c r="B1867" i="1" s="1"/>
  <c r="B1868" i="1" a="1"/>
  <c r="B1868" i="1" s="1"/>
  <c r="B1869" i="1" a="1"/>
  <c r="B1869" i="1" s="1"/>
  <c r="B1870" i="1" a="1"/>
  <c r="B1870" i="1" s="1"/>
  <c r="B1871" i="1" a="1"/>
  <c r="B1871" i="1" s="1"/>
  <c r="B1872" i="1" a="1"/>
  <c r="B1872" i="1" s="1"/>
  <c r="B1873" i="1" a="1"/>
  <c r="B1873" i="1" s="1"/>
  <c r="B1874" i="1" a="1"/>
  <c r="B1874" i="1" s="1"/>
  <c r="B1875" i="1" a="1"/>
  <c r="B1875" i="1" s="1"/>
  <c r="B1876" i="1" a="1"/>
  <c r="B1876" i="1" s="1"/>
  <c r="B1877" i="1" a="1"/>
  <c r="B1877" i="1" s="1"/>
  <c r="B1878" i="1" a="1"/>
  <c r="B1878" i="1" s="1"/>
  <c r="B1879" i="1" a="1"/>
  <c r="B1879" i="1" s="1"/>
  <c r="B1880" i="1" a="1"/>
  <c r="B1880" i="1" s="1"/>
  <c r="B1881" i="1" a="1"/>
  <c r="B1881" i="1" s="1"/>
  <c r="B1882" i="1" a="1"/>
  <c r="B1882" i="1" s="1"/>
  <c r="B1883" i="1" a="1"/>
  <c r="B1883" i="1" s="1"/>
  <c r="B1884" i="1" a="1"/>
  <c r="B1884" i="1" s="1"/>
  <c r="B1885" i="1" a="1"/>
  <c r="B1885" i="1" s="1"/>
  <c r="B1886" i="1" a="1"/>
  <c r="B1886" i="1" s="1"/>
  <c r="B1887" i="1" a="1"/>
  <c r="B1887" i="1" s="1"/>
  <c r="B1888" i="1" a="1"/>
  <c r="B1888" i="1" s="1"/>
  <c r="B1889" i="1" a="1"/>
  <c r="B1889" i="1" s="1"/>
  <c r="B1890" i="1" a="1"/>
  <c r="B1890" i="1" s="1"/>
  <c r="B1891" i="1" a="1"/>
  <c r="B1891" i="1" s="1"/>
  <c r="B1892" i="1" a="1"/>
  <c r="B1892" i="1" s="1"/>
  <c r="B1893" i="1" a="1"/>
  <c r="B1893" i="1" s="1"/>
  <c r="B1894" i="1" a="1"/>
  <c r="B1894" i="1" s="1"/>
  <c r="B1895" i="1" a="1"/>
  <c r="B1895" i="1" s="1"/>
  <c r="B1896" i="1" a="1"/>
  <c r="B1896" i="1" s="1"/>
  <c r="B1897" i="1" a="1"/>
  <c r="B1897" i="1" s="1"/>
  <c r="B1898" i="1" a="1"/>
  <c r="B1898" i="1" s="1"/>
  <c r="B1899" i="1" a="1"/>
  <c r="B1899" i="1" s="1"/>
  <c r="B1900" i="1" a="1"/>
  <c r="B1900" i="1" s="1"/>
  <c r="B1901" i="1" a="1"/>
  <c r="B1901" i="1" s="1"/>
  <c r="B1902" i="1" a="1"/>
  <c r="B1902" i="1" s="1"/>
  <c r="B1903" i="1" a="1"/>
  <c r="B1903" i="1" s="1"/>
  <c r="B1904" i="1" a="1"/>
  <c r="B1904" i="1" s="1"/>
  <c r="B1905" i="1" a="1"/>
  <c r="B1905" i="1" s="1"/>
  <c r="B1906" i="1" a="1"/>
  <c r="B1906" i="1" s="1"/>
  <c r="B1907" i="1" a="1"/>
  <c r="B1907" i="1" s="1"/>
  <c r="B1908" i="1" a="1"/>
  <c r="B1908" i="1" s="1"/>
  <c r="B1909" i="1" a="1"/>
  <c r="B1909" i="1" s="1"/>
  <c r="B1910" i="1" a="1"/>
  <c r="B1910" i="1" s="1"/>
  <c r="B1911" i="1" a="1"/>
  <c r="B1911" i="1" s="1"/>
  <c r="B1912" i="1" a="1"/>
  <c r="B1912" i="1" s="1"/>
  <c r="B1913" i="1" a="1"/>
  <c r="B1913" i="1" s="1"/>
  <c r="B1914" i="1" a="1"/>
  <c r="B1914" i="1" s="1"/>
  <c r="B1915" i="1" a="1"/>
  <c r="B1915" i="1" s="1"/>
  <c r="B1916" i="1" a="1"/>
  <c r="B1916" i="1" s="1"/>
  <c r="B1917" i="1" a="1"/>
  <c r="B1917" i="1" s="1"/>
  <c r="B1918" i="1" a="1"/>
  <c r="B1918" i="1" s="1"/>
  <c r="B1919" i="1" a="1"/>
  <c r="B1919" i="1" s="1"/>
  <c r="B1920" i="1" a="1"/>
  <c r="B1920" i="1" s="1"/>
  <c r="B1921" i="1" a="1"/>
  <c r="B1921" i="1" s="1"/>
  <c r="B1922" i="1" a="1"/>
  <c r="B1922" i="1" s="1"/>
  <c r="B1923" i="1" a="1"/>
  <c r="B1923" i="1" s="1"/>
  <c r="B1924" i="1" a="1"/>
  <c r="B1924" i="1" s="1"/>
  <c r="B1925" i="1" a="1"/>
  <c r="B1925" i="1" s="1"/>
  <c r="B1926" i="1" a="1"/>
  <c r="B1926" i="1" s="1"/>
  <c r="B1927" i="1" a="1"/>
  <c r="B1927" i="1" s="1"/>
  <c r="B1928" i="1" a="1"/>
  <c r="B1928" i="1" s="1"/>
  <c r="B1929" i="1" a="1"/>
  <c r="B1929" i="1" s="1"/>
  <c r="B1930" i="1" a="1"/>
  <c r="B1930" i="1" s="1"/>
  <c r="B1931" i="1" a="1"/>
  <c r="B1931" i="1" s="1"/>
  <c r="B1932" i="1" a="1"/>
  <c r="B1932" i="1" s="1"/>
  <c r="B1933" i="1" a="1"/>
  <c r="B1933" i="1" s="1"/>
  <c r="B1934" i="1" a="1"/>
  <c r="B1934" i="1" s="1"/>
  <c r="B1935" i="1" a="1"/>
  <c r="B1935" i="1" s="1"/>
  <c r="B1936" i="1" a="1"/>
  <c r="B1936" i="1" s="1"/>
  <c r="B1937" i="1" a="1"/>
  <c r="B1937" i="1" s="1"/>
  <c r="B1938" i="1" a="1"/>
  <c r="B1938" i="1" s="1"/>
  <c r="B1939" i="1" a="1"/>
  <c r="B1939" i="1" s="1"/>
  <c r="B1940" i="1" a="1"/>
  <c r="B1940" i="1" s="1"/>
  <c r="B1941" i="1" a="1"/>
  <c r="B1941" i="1" s="1"/>
  <c r="B1942" i="1" a="1"/>
  <c r="B1942" i="1" s="1"/>
  <c r="B1943" i="1" a="1"/>
  <c r="B1943" i="1" s="1"/>
  <c r="B1944" i="1" a="1"/>
  <c r="B1944" i="1" s="1"/>
  <c r="B1945" i="1" a="1"/>
  <c r="B1945" i="1" s="1"/>
  <c r="B1946" i="1" a="1"/>
  <c r="B1946" i="1" s="1"/>
  <c r="B1947" i="1" a="1"/>
  <c r="B1947" i="1" s="1"/>
  <c r="B1948" i="1" a="1"/>
  <c r="B1948" i="1" s="1"/>
  <c r="B1949" i="1" a="1"/>
  <c r="B1949" i="1" s="1"/>
  <c r="B1950" i="1" a="1"/>
  <c r="B1950" i="1" s="1"/>
  <c r="B1951" i="1" a="1"/>
  <c r="B1951" i="1" s="1"/>
  <c r="B1952" i="1" a="1"/>
  <c r="B1952" i="1" s="1"/>
  <c r="B1953" i="1" a="1"/>
  <c r="B1953" i="1" s="1"/>
  <c r="B1954" i="1" a="1"/>
  <c r="B1954" i="1" s="1"/>
  <c r="B1955" i="1" a="1"/>
  <c r="B1955" i="1" s="1"/>
  <c r="B1956" i="1" a="1"/>
  <c r="B1956" i="1" s="1"/>
  <c r="B1957" i="1" a="1"/>
  <c r="B1957" i="1" s="1"/>
  <c r="B1958" i="1" a="1"/>
  <c r="B1958" i="1" s="1"/>
  <c r="B1959" i="1" a="1"/>
  <c r="B1959" i="1" s="1"/>
  <c r="B1960" i="1" a="1"/>
  <c r="B1960" i="1" s="1"/>
  <c r="B1961" i="1" a="1"/>
  <c r="B1961" i="1" s="1"/>
  <c r="B1962" i="1" a="1"/>
  <c r="B1962" i="1" s="1"/>
  <c r="B1963" i="1" a="1"/>
  <c r="B1963" i="1" s="1"/>
  <c r="B1964" i="1" a="1"/>
  <c r="B1964" i="1" s="1"/>
  <c r="B1965" i="1" a="1"/>
  <c r="B1965" i="1" s="1"/>
  <c r="B1966" i="1" a="1"/>
  <c r="B1966" i="1" s="1"/>
  <c r="B1967" i="1" a="1"/>
  <c r="B1967" i="1" s="1"/>
  <c r="B1968" i="1" a="1"/>
  <c r="B1968" i="1" s="1"/>
  <c r="B1969" i="1" a="1"/>
  <c r="B1969" i="1" s="1"/>
  <c r="B1970" i="1" a="1"/>
  <c r="B1970" i="1" s="1"/>
  <c r="B1971" i="1" a="1"/>
  <c r="B1971" i="1" s="1"/>
  <c r="B1972" i="1" a="1"/>
  <c r="B1972" i="1" s="1"/>
  <c r="B1973" i="1" a="1"/>
  <c r="B1973" i="1" s="1"/>
  <c r="B1974" i="1" a="1"/>
  <c r="B1974" i="1" s="1"/>
  <c r="B1975" i="1" a="1"/>
  <c r="B1975" i="1" s="1"/>
  <c r="B1976" i="1" a="1"/>
  <c r="B1976" i="1" s="1"/>
  <c r="B1977" i="1" a="1"/>
  <c r="B1977" i="1" s="1"/>
  <c r="B1978" i="1" a="1"/>
  <c r="B1978" i="1" s="1"/>
  <c r="B1979" i="1" a="1"/>
  <c r="B1979" i="1" s="1"/>
  <c r="B1980" i="1" a="1"/>
  <c r="B1980" i="1" s="1"/>
  <c r="B1981" i="1" a="1"/>
  <c r="B1981" i="1" s="1"/>
  <c r="B1982" i="1" a="1"/>
  <c r="B1982" i="1" s="1"/>
  <c r="B1983" i="1" a="1"/>
  <c r="B1983" i="1" s="1"/>
  <c r="B1984" i="1" a="1"/>
  <c r="B1984" i="1" s="1"/>
  <c r="B1985" i="1" a="1"/>
  <c r="B1985" i="1" s="1"/>
  <c r="B1986" i="1" a="1"/>
  <c r="B1986" i="1" s="1"/>
  <c r="B1987" i="1" a="1"/>
  <c r="B1987" i="1" s="1"/>
  <c r="B1988" i="1" a="1"/>
  <c r="B1988" i="1" s="1"/>
  <c r="B1989" i="1" a="1"/>
  <c r="B1989" i="1" s="1"/>
  <c r="B1990" i="1" a="1"/>
  <c r="B1990" i="1" s="1"/>
  <c r="B1991" i="1" a="1"/>
  <c r="B1991" i="1" s="1"/>
  <c r="B1992" i="1" a="1"/>
  <c r="B1992" i="1" s="1"/>
  <c r="B1993" i="1" a="1"/>
  <c r="B1993" i="1" s="1"/>
  <c r="B1994" i="1" a="1"/>
  <c r="B1994" i="1" s="1"/>
  <c r="B1995" i="1" a="1"/>
  <c r="B1995" i="1" s="1"/>
  <c r="B1996" i="1" a="1"/>
  <c r="B1996" i="1" s="1"/>
  <c r="B1997" i="1" a="1"/>
  <c r="B1997" i="1" s="1"/>
  <c r="B1998" i="1" a="1"/>
  <c r="B1998" i="1" s="1"/>
  <c r="B1999" i="1" a="1"/>
  <c r="B1999" i="1" s="1"/>
  <c r="B2000" i="1" a="1"/>
  <c r="B2000" i="1" s="1"/>
  <c r="B2001" i="1" a="1"/>
  <c r="B2001" i="1" s="1"/>
  <c r="X17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X20" i="1"/>
  <c r="X21" i="1"/>
  <c r="X22" i="1"/>
  <c r="X36" i="1"/>
  <c r="X37" i="1"/>
  <c r="X38" i="1"/>
  <c r="X24" i="1"/>
  <c r="X25" i="1"/>
  <c r="X26" i="1"/>
  <c r="X27" i="1"/>
  <c r="X28" i="1"/>
  <c r="X29" i="1"/>
  <c r="X30" i="1"/>
  <c r="X31" i="1"/>
  <c r="X32" i="1"/>
  <c r="X33" i="1"/>
  <c r="X34" i="1"/>
  <c r="X35" i="1"/>
  <c r="X23" i="1"/>
  <c r="D2" i="1" l="1" a="1"/>
  <c r="D2" i="1" s="1"/>
  <c r="D3" i="1" a="1"/>
  <c r="D3" i="1" s="1"/>
  <c r="D4" i="1" a="1"/>
  <c r="D4" i="1" s="1"/>
  <c r="D5" i="1" a="1"/>
  <c r="D5" i="1" s="1"/>
  <c r="D6" i="1" a="1"/>
  <c r="D6" i="1" s="1"/>
  <c r="D7" i="1" a="1"/>
  <c r="D7" i="1" s="1"/>
  <c r="D8" i="1" a="1"/>
  <c r="D8" i="1" s="1"/>
  <c r="D9" i="1" a="1"/>
  <c r="D9" i="1" s="1"/>
  <c r="D11" i="1" a="1"/>
  <c r="D11" i="1" s="1"/>
  <c r="D12" i="1" a="1"/>
  <c r="D12" i="1" s="1"/>
  <c r="D13" i="1" a="1"/>
  <c r="D13" i="1" s="1"/>
  <c r="D14" i="1" a="1"/>
  <c r="D14" i="1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28" i="1" a="1"/>
  <c r="D28" i="1" s="1"/>
  <c r="D29" i="1" a="1"/>
  <c r="D29" i="1" s="1"/>
  <c r="D30" i="1" a="1"/>
  <c r="D30" i="1" s="1"/>
  <c r="D31" i="1" a="1"/>
  <c r="D31" i="1" s="1"/>
  <c r="D32" i="1" a="1"/>
  <c r="D32" i="1" s="1"/>
  <c r="D33" i="1" a="1"/>
  <c r="D33" i="1" s="1"/>
  <c r="D34" i="1" a="1"/>
  <c r="D34" i="1" s="1"/>
  <c r="D35" i="1" a="1"/>
  <c r="D35" i="1" s="1"/>
  <c r="D36" i="1" a="1"/>
  <c r="D36" i="1" s="1"/>
  <c r="D37" i="1" a="1"/>
  <c r="D37" i="1" s="1"/>
  <c r="D38" i="1" a="1"/>
  <c r="D38" i="1" s="1"/>
  <c r="D39" i="1" a="1"/>
  <c r="D39" i="1" s="1"/>
  <c r="D40" i="1" a="1"/>
  <c r="D40" i="1" s="1"/>
  <c r="D41" i="1" a="1"/>
  <c r="D41" i="1" s="1"/>
  <c r="D42" i="1" a="1"/>
  <c r="D42" i="1" s="1"/>
  <c r="D43" i="1" a="1"/>
  <c r="D43" i="1" s="1"/>
  <c r="D44" i="1" a="1"/>
  <c r="D44" i="1" s="1"/>
  <c r="D45" i="1" a="1"/>
  <c r="D45" i="1" s="1"/>
  <c r="D46" i="1" a="1"/>
  <c r="D46" i="1" s="1"/>
  <c r="D47" i="1" a="1"/>
  <c r="D47" i="1" s="1"/>
  <c r="D48" i="1" a="1"/>
  <c r="D48" i="1" s="1"/>
  <c r="D49" i="1" a="1"/>
  <c r="D49" i="1" s="1"/>
  <c r="D50" i="1" a="1"/>
  <c r="D50" i="1" s="1"/>
  <c r="D51" i="1" a="1"/>
  <c r="D51" i="1" s="1"/>
  <c r="D52" i="1" a="1"/>
  <c r="D52" i="1" s="1"/>
  <c r="D53" i="1" a="1"/>
  <c r="D53" i="1" s="1"/>
  <c r="D54" i="1" a="1"/>
  <c r="D54" i="1" s="1"/>
  <c r="D55" i="1" a="1"/>
  <c r="D55" i="1" s="1"/>
  <c r="D56" i="1" a="1"/>
  <c r="D56" i="1" s="1"/>
  <c r="D57" i="1" a="1"/>
  <c r="D57" i="1" s="1"/>
  <c r="D58" i="1" a="1"/>
  <c r="D58" i="1" s="1"/>
  <c r="D59" i="1" a="1"/>
  <c r="D59" i="1" s="1"/>
  <c r="D60" i="1" a="1"/>
  <c r="D60" i="1" s="1"/>
  <c r="D61" i="1" a="1"/>
  <c r="D61" i="1" s="1"/>
  <c r="D62" i="1" a="1"/>
  <c r="D62" i="1" s="1"/>
  <c r="D63" i="1" a="1"/>
  <c r="D63" i="1" s="1"/>
  <c r="D64" i="1" a="1"/>
  <c r="D64" i="1" s="1"/>
  <c r="D65" i="1" a="1"/>
  <c r="D65" i="1" s="1"/>
  <c r="D66" i="1" a="1"/>
  <c r="D66" i="1" s="1"/>
  <c r="D67" i="1" a="1"/>
  <c r="D67" i="1" s="1"/>
  <c r="D68" i="1" a="1"/>
  <c r="D68" i="1" s="1"/>
  <c r="D69" i="1" a="1"/>
  <c r="D69" i="1" s="1"/>
  <c r="D70" i="1" a="1"/>
  <c r="D70" i="1" s="1"/>
  <c r="D71" i="1" a="1"/>
  <c r="D71" i="1" s="1"/>
  <c r="D72" i="1" a="1"/>
  <c r="D72" i="1" s="1"/>
  <c r="D73" i="1" a="1"/>
  <c r="D73" i="1" s="1"/>
  <c r="D74" i="1" a="1"/>
  <c r="D74" i="1" s="1"/>
  <c r="D75" i="1" a="1"/>
  <c r="D75" i="1" s="1"/>
  <c r="D76" i="1" a="1"/>
  <c r="D76" i="1" s="1"/>
  <c r="D77" i="1" a="1"/>
  <c r="D77" i="1" s="1"/>
  <c r="D78" i="1" a="1"/>
  <c r="D78" i="1" s="1"/>
  <c r="D80" i="1" a="1"/>
  <c r="D80" i="1" s="1"/>
  <c r="D81" i="1" a="1"/>
  <c r="D81" i="1" s="1"/>
  <c r="D82" i="1" a="1"/>
  <c r="D82" i="1" s="1"/>
  <c r="D83" i="1" a="1"/>
  <c r="D83" i="1" s="1"/>
  <c r="D84" i="1" a="1"/>
  <c r="D84" i="1" s="1"/>
  <c r="D85" i="1" a="1"/>
  <c r="D85" i="1" s="1"/>
  <c r="D86" i="1" a="1"/>
  <c r="D86" i="1" s="1"/>
  <c r="D87" i="1" a="1"/>
  <c r="D87" i="1" s="1"/>
  <c r="D88" i="1" a="1"/>
  <c r="D88" i="1" s="1"/>
  <c r="D89" i="1" a="1"/>
  <c r="D89" i="1" s="1"/>
  <c r="D90" i="1" a="1"/>
  <c r="D90" i="1" s="1"/>
  <c r="D91" i="1" a="1"/>
  <c r="D91" i="1" s="1"/>
  <c r="D92" i="1" a="1"/>
  <c r="D92" i="1" s="1"/>
  <c r="D93" i="1" a="1"/>
  <c r="D93" i="1" s="1"/>
  <c r="D94" i="1" a="1"/>
  <c r="D94" i="1" s="1"/>
  <c r="D95" i="1" a="1"/>
  <c r="D95" i="1" s="1"/>
  <c r="D96" i="1" a="1"/>
  <c r="D96" i="1" s="1"/>
  <c r="D97" i="1" a="1"/>
  <c r="D97" i="1" s="1"/>
  <c r="D98" i="1" a="1"/>
  <c r="D98" i="1" s="1"/>
  <c r="D99" i="1" a="1"/>
  <c r="D99" i="1" s="1"/>
  <c r="D100" i="1" a="1"/>
  <c r="D100" i="1" s="1"/>
  <c r="D101" i="1" a="1"/>
  <c r="D101" i="1" s="1"/>
  <c r="D102" i="1" a="1"/>
  <c r="D102" i="1" s="1"/>
  <c r="D103" i="1" a="1"/>
  <c r="D103" i="1" s="1"/>
  <c r="D104" i="1" a="1"/>
  <c r="D104" i="1" s="1"/>
  <c r="D105" i="1" a="1"/>
  <c r="D105" i="1" s="1"/>
  <c r="D106" i="1" a="1"/>
  <c r="D106" i="1" s="1"/>
  <c r="D107" i="1" a="1"/>
  <c r="D107" i="1" s="1"/>
  <c r="D108" i="1" a="1"/>
  <c r="D108" i="1" s="1"/>
  <c r="D109" i="1" a="1"/>
  <c r="D109" i="1" s="1"/>
  <c r="D110" i="1" a="1"/>
  <c r="D110" i="1" s="1"/>
  <c r="D111" i="1" a="1"/>
  <c r="D111" i="1" s="1"/>
  <c r="D112" i="1" a="1"/>
  <c r="D112" i="1" s="1"/>
  <c r="D113" i="1" a="1"/>
  <c r="D113" i="1" s="1"/>
  <c r="D114" i="1" a="1"/>
  <c r="D114" i="1" s="1"/>
  <c r="D115" i="1" a="1"/>
  <c r="D115" i="1" s="1"/>
  <c r="D116" i="1" a="1"/>
  <c r="D116" i="1" s="1"/>
  <c r="D117" i="1" a="1"/>
  <c r="D117" i="1" s="1"/>
  <c r="D118" i="1" a="1"/>
  <c r="D118" i="1" s="1"/>
  <c r="D119" i="1" a="1"/>
  <c r="D119" i="1" s="1"/>
  <c r="D120" i="1" a="1"/>
  <c r="D120" i="1" s="1"/>
  <c r="D121" i="1" a="1"/>
  <c r="D121" i="1" s="1"/>
  <c r="D122" i="1" a="1"/>
  <c r="D122" i="1" s="1"/>
  <c r="D123" i="1" a="1"/>
  <c r="D123" i="1" s="1"/>
  <c r="D124" i="1" a="1"/>
  <c r="D124" i="1" s="1"/>
  <c r="D125" i="1" a="1"/>
  <c r="D125" i="1" s="1"/>
  <c r="D126" i="1" a="1"/>
  <c r="D126" i="1" s="1"/>
  <c r="D127" i="1" a="1"/>
  <c r="D127" i="1" s="1"/>
  <c r="D128" i="1" a="1"/>
  <c r="D128" i="1" s="1"/>
  <c r="D129" i="1" a="1"/>
  <c r="D129" i="1" s="1"/>
  <c r="D130" i="1" a="1"/>
  <c r="D130" i="1" s="1"/>
  <c r="D131" i="1" a="1"/>
  <c r="D131" i="1" s="1"/>
  <c r="D132" i="1" a="1"/>
  <c r="D132" i="1" s="1"/>
  <c r="D133" i="1" a="1"/>
  <c r="D133" i="1" s="1"/>
  <c r="D134" i="1" a="1"/>
  <c r="D134" i="1" s="1"/>
  <c r="D135" i="1" a="1"/>
  <c r="D135" i="1" s="1"/>
  <c r="D136" i="1" a="1"/>
  <c r="D136" i="1" s="1"/>
  <c r="D137" i="1" a="1"/>
  <c r="D137" i="1" s="1"/>
  <c r="D138" i="1" a="1"/>
  <c r="D138" i="1" s="1"/>
  <c r="D139" i="1" a="1"/>
  <c r="D139" i="1" s="1"/>
  <c r="D140" i="1" a="1"/>
  <c r="D140" i="1" s="1"/>
  <c r="D141" i="1" a="1"/>
  <c r="D141" i="1" s="1"/>
  <c r="D142" i="1" a="1"/>
  <c r="D142" i="1" s="1"/>
  <c r="D143" i="1" a="1"/>
  <c r="D143" i="1" s="1"/>
  <c r="D144" i="1" a="1"/>
  <c r="D144" i="1" s="1"/>
  <c r="D145" i="1" a="1"/>
  <c r="D145" i="1" s="1"/>
  <c r="D146" i="1" a="1"/>
  <c r="D146" i="1" s="1"/>
  <c r="D147" i="1" a="1"/>
  <c r="D147" i="1" s="1"/>
  <c r="D148" i="1" a="1"/>
  <c r="D148" i="1" s="1"/>
  <c r="D149" i="1" a="1"/>
  <c r="D149" i="1" s="1"/>
  <c r="D150" i="1" a="1"/>
  <c r="D150" i="1" s="1"/>
  <c r="D151" i="1" a="1"/>
  <c r="D151" i="1" s="1"/>
  <c r="D152" i="1" a="1"/>
  <c r="D152" i="1" s="1"/>
  <c r="D153" i="1" a="1"/>
  <c r="D153" i="1" s="1"/>
  <c r="D154" i="1" a="1"/>
  <c r="D154" i="1" s="1"/>
  <c r="D155" i="1" a="1"/>
  <c r="D155" i="1" s="1"/>
  <c r="D156" i="1" a="1"/>
  <c r="D156" i="1" s="1"/>
  <c r="D157" i="1" a="1"/>
  <c r="D157" i="1" s="1"/>
  <c r="D158" i="1" a="1"/>
  <c r="D158" i="1" s="1"/>
  <c r="D159" i="1" a="1"/>
  <c r="D159" i="1" s="1"/>
  <c r="D160" i="1" a="1"/>
  <c r="D160" i="1" s="1"/>
  <c r="D161" i="1" a="1"/>
  <c r="D161" i="1" s="1"/>
  <c r="D162" i="1" a="1"/>
  <c r="D162" i="1" s="1"/>
  <c r="D163" i="1" a="1"/>
  <c r="D163" i="1" s="1"/>
  <c r="D164" i="1" a="1"/>
  <c r="D164" i="1" s="1"/>
  <c r="D165" i="1" a="1"/>
  <c r="D165" i="1" s="1"/>
  <c r="D166" i="1" a="1"/>
  <c r="D166" i="1" s="1"/>
  <c r="D167" i="1" a="1"/>
  <c r="D167" i="1" s="1"/>
  <c r="D168" i="1" a="1"/>
  <c r="D168" i="1" s="1"/>
  <c r="D169" i="1" a="1"/>
  <c r="D169" i="1" s="1"/>
  <c r="D170" i="1" a="1"/>
  <c r="D170" i="1" s="1"/>
  <c r="D171" i="1" a="1"/>
  <c r="D171" i="1" s="1"/>
  <c r="D172" i="1" a="1"/>
  <c r="D172" i="1" s="1"/>
  <c r="D173" i="1" a="1"/>
  <c r="D173" i="1" s="1"/>
  <c r="D174" i="1" a="1"/>
  <c r="D174" i="1" s="1"/>
  <c r="D175" i="1" a="1"/>
  <c r="D175" i="1" s="1"/>
  <c r="D176" i="1" a="1"/>
  <c r="D176" i="1" s="1"/>
  <c r="D177" i="1" a="1"/>
  <c r="D177" i="1" s="1"/>
  <c r="D178" i="1" a="1"/>
  <c r="D178" i="1" s="1"/>
  <c r="D179" i="1" a="1"/>
  <c r="D179" i="1" s="1"/>
  <c r="D180" i="1" a="1"/>
  <c r="D180" i="1" s="1"/>
  <c r="D181" i="1" a="1"/>
  <c r="D181" i="1" s="1"/>
  <c r="D182" i="1" a="1"/>
  <c r="D182" i="1" s="1"/>
  <c r="D183" i="1" a="1"/>
  <c r="D183" i="1" s="1"/>
  <c r="D184" i="1" a="1"/>
  <c r="D184" i="1" s="1"/>
  <c r="D185" i="1" a="1"/>
  <c r="D185" i="1" s="1"/>
  <c r="D186" i="1" a="1"/>
  <c r="D186" i="1" s="1"/>
  <c r="D187" i="1" a="1"/>
  <c r="D187" i="1" s="1"/>
  <c r="D188" i="1" a="1"/>
  <c r="D188" i="1" s="1"/>
  <c r="D189" i="1" a="1"/>
  <c r="D189" i="1" s="1"/>
  <c r="D190" i="1" a="1"/>
  <c r="D190" i="1" s="1"/>
  <c r="D191" i="1" a="1"/>
  <c r="D191" i="1" s="1"/>
  <c r="D192" i="1" a="1"/>
  <c r="D192" i="1" s="1"/>
  <c r="D193" i="1" a="1"/>
  <c r="D193" i="1" s="1"/>
  <c r="D194" i="1" a="1"/>
  <c r="D194" i="1" s="1"/>
  <c r="D195" i="1" a="1"/>
  <c r="D195" i="1" s="1"/>
  <c r="D196" i="1" a="1"/>
  <c r="D196" i="1" s="1"/>
  <c r="D197" i="1" a="1"/>
  <c r="D197" i="1" s="1"/>
  <c r="D198" i="1" a="1"/>
  <c r="D198" i="1" s="1"/>
  <c r="D199" i="1" a="1"/>
  <c r="D199" i="1" s="1"/>
  <c r="D200" i="1" a="1"/>
  <c r="D200" i="1" s="1"/>
  <c r="D201" i="1" a="1"/>
  <c r="D201" i="1" s="1"/>
  <c r="D10" i="1" a="1"/>
  <c r="D10" i="1" s="1"/>
  <c r="H2" i="1" a="1"/>
  <c r="H2" i="1" s="1"/>
  <c r="H3" i="1" a="1"/>
  <c r="H3" i="1" s="1"/>
  <c r="H4" i="1" a="1"/>
  <c r="H4" i="1" s="1"/>
  <c r="H5" i="1" a="1"/>
  <c r="H5" i="1" s="1"/>
  <c r="H6" i="1" a="1"/>
  <c r="H6" i="1" s="1"/>
  <c r="H7" i="1" a="1"/>
  <c r="H7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8" i="1" a="1"/>
  <c r="H68" i="1" s="1"/>
  <c r="H69" i="1" a="1"/>
  <c r="H69" i="1" s="1"/>
  <c r="H70" i="1" a="1"/>
  <c r="H70" i="1" s="1"/>
  <c r="H71" i="1" a="1"/>
  <c r="H71" i="1" s="1"/>
  <c r="H72" i="1" a="1"/>
  <c r="H72" i="1" s="1"/>
  <c r="H73" i="1" a="1"/>
  <c r="H73" i="1" s="1"/>
  <c r="H74" i="1" a="1"/>
  <c r="H74" i="1" s="1"/>
  <c r="H75" i="1" a="1"/>
  <c r="H75" i="1" s="1"/>
  <c r="H76" i="1" a="1"/>
  <c r="H76" i="1" s="1"/>
  <c r="H77" i="1" a="1"/>
  <c r="H77" i="1" s="1"/>
  <c r="H78" i="1" a="1"/>
  <c r="H78" i="1" s="1"/>
  <c r="H80" i="1" a="1"/>
  <c r="H80" i="1" s="1"/>
  <c r="H81" i="1" a="1"/>
  <c r="H81" i="1" s="1"/>
  <c r="H82" i="1" a="1"/>
  <c r="H82" i="1" s="1"/>
  <c r="H83" i="1" a="1"/>
  <c r="H83" i="1" s="1"/>
  <c r="H84" i="1" a="1"/>
  <c r="H84" i="1" s="1"/>
  <c r="H85" i="1" a="1"/>
  <c r="H85" i="1" s="1"/>
  <c r="H86" i="1" a="1"/>
  <c r="H86" i="1" s="1"/>
  <c r="H87" i="1" a="1"/>
  <c r="H87" i="1" s="1"/>
  <c r="H88" i="1" a="1"/>
  <c r="H88" i="1" s="1"/>
  <c r="H89" i="1" a="1"/>
  <c r="H89" i="1" s="1"/>
  <c r="H90" i="1" a="1"/>
  <c r="H90" i="1" s="1"/>
  <c r="H91" i="1" a="1"/>
  <c r="H91" i="1" s="1"/>
  <c r="H92" i="1" a="1"/>
  <c r="H92" i="1" s="1"/>
  <c r="H93" i="1" a="1"/>
  <c r="H93" i="1" s="1"/>
  <c r="H94" i="1" a="1"/>
  <c r="H94" i="1" s="1"/>
  <c r="H95" i="1" a="1"/>
  <c r="H95" i="1" s="1"/>
  <c r="H96" i="1" a="1"/>
  <c r="H96" i="1" s="1"/>
  <c r="H97" i="1" a="1"/>
  <c r="H97" i="1" s="1"/>
  <c r="H98" i="1" a="1"/>
  <c r="H98" i="1" s="1"/>
  <c r="H99" i="1" a="1"/>
  <c r="H99" i="1" s="1"/>
  <c r="H100" i="1" a="1"/>
  <c r="H100" i="1" s="1"/>
  <c r="H101" i="1" a="1"/>
  <c r="H101" i="1" s="1"/>
  <c r="H102" i="1" a="1"/>
  <c r="H102" i="1" s="1"/>
  <c r="H103" i="1" a="1"/>
  <c r="H103" i="1" s="1"/>
  <c r="H104" i="1" a="1"/>
  <c r="H104" i="1" s="1"/>
  <c r="H105" i="1" a="1"/>
  <c r="H105" i="1" s="1"/>
  <c r="H106" i="1" a="1"/>
  <c r="H106" i="1" s="1"/>
  <c r="H107" i="1" a="1"/>
  <c r="H107" i="1" s="1"/>
  <c r="H108" i="1" a="1"/>
  <c r="H108" i="1" s="1"/>
  <c r="H109" i="1" a="1"/>
  <c r="H109" i="1" s="1"/>
  <c r="H110" i="1" a="1"/>
  <c r="H110" i="1" s="1"/>
  <c r="H111" i="1" a="1"/>
  <c r="H111" i="1" s="1"/>
  <c r="H112" i="1" a="1"/>
  <c r="H112" i="1" s="1"/>
  <c r="H113" i="1" a="1"/>
  <c r="H113" i="1" s="1"/>
  <c r="H114" i="1" a="1"/>
  <c r="H114" i="1" s="1"/>
  <c r="H115" i="1" a="1"/>
  <c r="H115" i="1" s="1"/>
  <c r="H116" i="1" a="1"/>
  <c r="H116" i="1" s="1"/>
  <c r="H117" i="1" a="1"/>
  <c r="H117" i="1" s="1"/>
  <c r="H118" i="1" a="1"/>
  <c r="H118" i="1" s="1"/>
  <c r="H119" i="1" a="1"/>
  <c r="H119" i="1" s="1"/>
  <c r="H120" i="1" a="1"/>
  <c r="H120" i="1" s="1"/>
  <c r="H121" i="1" a="1"/>
  <c r="H121" i="1" s="1"/>
  <c r="H122" i="1" a="1"/>
  <c r="H122" i="1" s="1"/>
  <c r="H123" i="1" a="1"/>
  <c r="H123" i="1" s="1"/>
  <c r="H124" i="1" a="1"/>
  <c r="H124" i="1" s="1"/>
  <c r="H125" i="1" a="1"/>
  <c r="H125" i="1" s="1"/>
  <c r="H126" i="1" a="1"/>
  <c r="H126" i="1" s="1"/>
  <c r="H127" i="1" a="1"/>
  <c r="H127" i="1" s="1"/>
  <c r="H128" i="1" a="1"/>
  <c r="H128" i="1" s="1"/>
  <c r="H129" i="1" a="1"/>
  <c r="H129" i="1" s="1"/>
  <c r="H130" i="1" a="1"/>
  <c r="H130" i="1" s="1"/>
  <c r="H131" i="1" a="1"/>
  <c r="H131" i="1" s="1"/>
  <c r="H132" i="1" a="1"/>
  <c r="H132" i="1" s="1"/>
  <c r="H133" i="1" a="1"/>
  <c r="H133" i="1" s="1"/>
  <c r="H134" i="1" a="1"/>
  <c r="H134" i="1" s="1"/>
  <c r="H135" i="1" a="1"/>
  <c r="H135" i="1" s="1"/>
  <c r="H136" i="1" a="1"/>
  <c r="H136" i="1" s="1"/>
  <c r="H137" i="1" a="1"/>
  <c r="H137" i="1" s="1"/>
  <c r="H138" i="1" a="1"/>
  <c r="H138" i="1" s="1"/>
  <c r="H139" i="1" a="1"/>
  <c r="H139" i="1" s="1"/>
  <c r="H140" i="1" a="1"/>
  <c r="H140" i="1" s="1"/>
  <c r="H141" i="1" a="1"/>
  <c r="H141" i="1" s="1"/>
  <c r="H142" i="1" a="1"/>
  <c r="H142" i="1" s="1"/>
  <c r="H143" i="1" a="1"/>
  <c r="H143" i="1" s="1"/>
  <c r="H144" i="1" a="1"/>
  <c r="H144" i="1" s="1"/>
  <c r="H145" i="1" a="1"/>
  <c r="H145" i="1" s="1"/>
  <c r="H146" i="1" a="1"/>
  <c r="H146" i="1" s="1"/>
  <c r="H147" i="1" a="1"/>
  <c r="H147" i="1" s="1"/>
  <c r="H148" i="1" a="1"/>
  <c r="H148" i="1" s="1"/>
  <c r="H149" i="1" a="1"/>
  <c r="H149" i="1" s="1"/>
  <c r="H150" i="1" a="1"/>
  <c r="H150" i="1" s="1"/>
  <c r="H151" i="1" a="1"/>
  <c r="H151" i="1" s="1"/>
  <c r="H152" i="1" a="1"/>
  <c r="H152" i="1" s="1"/>
  <c r="H153" i="1" a="1"/>
  <c r="H153" i="1" s="1"/>
  <c r="H154" i="1" a="1"/>
  <c r="H154" i="1" s="1"/>
  <c r="H155" i="1" a="1"/>
  <c r="H155" i="1" s="1"/>
  <c r="H156" i="1" a="1"/>
  <c r="H156" i="1" s="1"/>
  <c r="H157" i="1" a="1"/>
  <c r="H157" i="1" s="1"/>
  <c r="H158" i="1" a="1"/>
  <c r="H158" i="1" s="1"/>
  <c r="H159" i="1" a="1"/>
  <c r="H159" i="1" s="1"/>
  <c r="H160" i="1" a="1"/>
  <c r="H160" i="1" s="1"/>
  <c r="H161" i="1" a="1"/>
  <c r="H161" i="1" s="1"/>
  <c r="H162" i="1" a="1"/>
  <c r="H162" i="1" s="1"/>
  <c r="H163" i="1" a="1"/>
  <c r="H163" i="1" s="1"/>
  <c r="H164" i="1" a="1"/>
  <c r="H164" i="1" s="1"/>
  <c r="H165" i="1" a="1"/>
  <c r="H165" i="1" s="1"/>
  <c r="H166" i="1" a="1"/>
  <c r="H166" i="1" s="1"/>
  <c r="H167" i="1" a="1"/>
  <c r="H167" i="1" s="1"/>
  <c r="H168" i="1" a="1"/>
  <c r="H168" i="1" s="1"/>
  <c r="H169" i="1" a="1"/>
  <c r="H169" i="1" s="1"/>
  <c r="H170" i="1" a="1"/>
  <c r="H170" i="1" s="1"/>
  <c r="H171" i="1" a="1"/>
  <c r="H171" i="1" s="1"/>
  <c r="H172" i="1" a="1"/>
  <c r="H172" i="1" s="1"/>
  <c r="H173" i="1" a="1"/>
  <c r="H173" i="1" s="1"/>
  <c r="H174" i="1" a="1"/>
  <c r="H174" i="1" s="1"/>
  <c r="H175" i="1" a="1"/>
  <c r="H175" i="1" s="1"/>
  <c r="H176" i="1" a="1"/>
  <c r="H176" i="1" s="1"/>
  <c r="H177" i="1" a="1"/>
  <c r="H177" i="1" s="1"/>
  <c r="H178" i="1" a="1"/>
  <c r="H178" i="1" s="1"/>
  <c r="H179" i="1" a="1"/>
  <c r="H179" i="1" s="1"/>
  <c r="H180" i="1" a="1"/>
  <c r="H180" i="1" s="1"/>
  <c r="H181" i="1" a="1"/>
  <c r="H181" i="1" s="1"/>
  <c r="H182" i="1" a="1"/>
  <c r="H182" i="1" s="1"/>
  <c r="H183" i="1" a="1"/>
  <c r="H183" i="1" s="1"/>
  <c r="H184" i="1" a="1"/>
  <c r="H184" i="1" s="1"/>
  <c r="H185" i="1" a="1"/>
  <c r="H185" i="1" s="1"/>
  <c r="H186" i="1" a="1"/>
  <c r="H186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193" i="1" a="1"/>
  <c r="H193" i="1" s="1"/>
  <c r="H194" i="1" a="1"/>
  <c r="H194" i="1" s="1"/>
  <c r="H195" i="1" a="1"/>
  <c r="H195" i="1" s="1"/>
  <c r="H196" i="1" a="1"/>
  <c r="H196" i="1" s="1"/>
  <c r="H197" i="1" a="1"/>
  <c r="H197" i="1" s="1"/>
  <c r="H198" i="1" a="1"/>
  <c r="H198" i="1" s="1"/>
  <c r="H199" i="1" a="1"/>
  <c r="H199" i="1" s="1"/>
  <c r="H200" i="1" a="1"/>
  <c r="H200" i="1" s="1"/>
  <c r="H201" i="1" a="1"/>
  <c r="H201" i="1" s="1"/>
  <c r="F2" i="1" a="1"/>
  <c r="F2" i="1" s="1"/>
  <c r="F3" i="1" a="1"/>
  <c r="F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45" i="1" a="1"/>
  <c r="F45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51" i="1" a="1"/>
  <c r="F51" i="1" s="1"/>
  <c r="F52" i="1" a="1"/>
  <c r="F52" i="1" s="1"/>
  <c r="F53" i="1" a="1"/>
  <c r="F53" i="1" s="1"/>
  <c r="F54" i="1" a="1"/>
  <c r="F54" i="1" s="1"/>
  <c r="F55" i="1" a="1"/>
  <c r="F55" i="1" s="1"/>
  <c r="F56" i="1" a="1"/>
  <c r="F56" i="1" s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62" i="1" a="1"/>
  <c r="F62" i="1" s="1"/>
  <c r="F63" i="1" a="1"/>
  <c r="F63" i="1" s="1"/>
  <c r="F64" i="1" a="1"/>
  <c r="F64" i="1" s="1"/>
  <c r="F65" i="1" a="1"/>
  <c r="F65" i="1" s="1"/>
  <c r="F66" i="1" a="1"/>
  <c r="F66" i="1" s="1"/>
  <c r="F67" i="1" a="1"/>
  <c r="F67" i="1" s="1"/>
  <c r="F68" i="1" a="1"/>
  <c r="F68" i="1" s="1"/>
  <c r="F69" i="1" a="1"/>
  <c r="F69" i="1" s="1"/>
  <c r="F70" i="1" a="1"/>
  <c r="F70" i="1" s="1"/>
  <c r="F71" i="1" a="1"/>
  <c r="F71" i="1" s="1"/>
  <c r="F72" i="1" a="1"/>
  <c r="F72" i="1" s="1"/>
  <c r="F73" i="1" a="1"/>
  <c r="F73" i="1" s="1"/>
  <c r="F74" i="1" a="1"/>
  <c r="F74" i="1" s="1"/>
  <c r="F75" i="1" a="1"/>
  <c r="F75" i="1" s="1"/>
  <c r="F76" i="1" a="1"/>
  <c r="F76" i="1" s="1"/>
  <c r="F77" i="1" a="1"/>
  <c r="F77" i="1" s="1"/>
  <c r="F78" i="1" a="1"/>
  <c r="F78" i="1" s="1"/>
  <c r="F80" i="1" a="1"/>
  <c r="F80" i="1" s="1"/>
  <c r="F81" i="1" a="1"/>
  <c r="F81" i="1" s="1"/>
  <c r="F82" i="1" a="1"/>
  <c r="F82" i="1" s="1"/>
  <c r="F83" i="1" a="1"/>
  <c r="F83" i="1" s="1"/>
  <c r="F84" i="1" a="1"/>
  <c r="F84" i="1" s="1"/>
  <c r="F85" i="1" a="1"/>
  <c r="F85" i="1" s="1"/>
  <c r="F86" i="1" a="1"/>
  <c r="F86" i="1" s="1"/>
  <c r="F87" i="1" a="1"/>
  <c r="F87" i="1" s="1"/>
  <c r="F88" i="1" a="1"/>
  <c r="F88" i="1" s="1"/>
  <c r="F89" i="1" a="1"/>
  <c r="F89" i="1" s="1"/>
  <c r="F90" i="1" a="1"/>
  <c r="F90" i="1" s="1"/>
  <c r="F91" i="1" a="1"/>
  <c r="F91" i="1" s="1"/>
  <c r="F92" i="1" a="1"/>
  <c r="F92" i="1" s="1"/>
  <c r="F93" i="1" a="1"/>
  <c r="F93" i="1" s="1"/>
  <c r="F94" i="1" a="1"/>
  <c r="F94" i="1" s="1"/>
  <c r="F95" i="1" a="1"/>
  <c r="F95" i="1" s="1"/>
  <c r="F96" i="1" a="1"/>
  <c r="F96" i="1" s="1"/>
  <c r="F97" i="1" a="1"/>
  <c r="F97" i="1" s="1"/>
  <c r="F98" i="1" a="1"/>
  <c r="F98" i="1" s="1"/>
  <c r="F99" i="1" a="1"/>
  <c r="F99" i="1" s="1"/>
  <c r="F100" i="1" a="1"/>
  <c r="F100" i="1" s="1"/>
  <c r="F101" i="1" a="1"/>
  <c r="F101" i="1" s="1"/>
  <c r="F102" i="1" a="1"/>
  <c r="F102" i="1" s="1"/>
  <c r="F103" i="1" a="1"/>
  <c r="F103" i="1" s="1"/>
  <c r="F104" i="1" a="1"/>
  <c r="F104" i="1" s="1"/>
  <c r="F105" i="1" a="1"/>
  <c r="F105" i="1" s="1"/>
  <c r="F106" i="1" a="1"/>
  <c r="F106" i="1" s="1"/>
  <c r="F107" i="1" a="1"/>
  <c r="F107" i="1" s="1"/>
  <c r="F108" i="1" a="1"/>
  <c r="F108" i="1" s="1"/>
  <c r="F109" i="1" a="1"/>
  <c r="F109" i="1" s="1"/>
  <c r="F110" i="1" a="1"/>
  <c r="F110" i="1" s="1"/>
  <c r="F111" i="1" a="1"/>
  <c r="F111" i="1" s="1"/>
  <c r="F112" i="1" a="1"/>
  <c r="F112" i="1" s="1"/>
  <c r="F113" i="1" a="1"/>
  <c r="F113" i="1" s="1"/>
  <c r="F114" i="1" a="1"/>
  <c r="F114" i="1" s="1"/>
  <c r="F115" i="1" a="1"/>
  <c r="F115" i="1" s="1"/>
  <c r="F116" i="1" a="1"/>
  <c r="F116" i="1" s="1"/>
  <c r="F117" i="1" a="1"/>
  <c r="F117" i="1" s="1"/>
  <c r="F118" i="1" a="1"/>
  <c r="F118" i="1" s="1"/>
  <c r="F119" i="1" a="1"/>
  <c r="F119" i="1" s="1"/>
  <c r="F120" i="1" a="1"/>
  <c r="F120" i="1" s="1"/>
  <c r="F121" i="1" a="1"/>
  <c r="F121" i="1" s="1"/>
  <c r="F122" i="1" a="1"/>
  <c r="F122" i="1" s="1"/>
  <c r="F123" i="1" a="1"/>
  <c r="F123" i="1" s="1"/>
  <c r="F124" i="1" a="1"/>
  <c r="F124" i="1" s="1"/>
  <c r="F125" i="1" a="1"/>
  <c r="F125" i="1" s="1"/>
  <c r="F126" i="1" a="1"/>
  <c r="F126" i="1" s="1"/>
  <c r="F127" i="1" a="1"/>
  <c r="F127" i="1" s="1"/>
  <c r="F128" i="1" a="1"/>
  <c r="F128" i="1" s="1"/>
  <c r="F129" i="1" a="1"/>
  <c r="F129" i="1" s="1"/>
  <c r="F130" i="1" a="1"/>
  <c r="F130" i="1" s="1"/>
  <c r="F131" i="1" a="1"/>
  <c r="F131" i="1" s="1"/>
  <c r="F132" i="1" a="1"/>
  <c r="F132" i="1" s="1"/>
  <c r="F133" i="1" a="1"/>
  <c r="F133" i="1" s="1"/>
  <c r="F134" i="1" a="1"/>
  <c r="F134" i="1" s="1"/>
  <c r="F135" i="1" a="1"/>
  <c r="F135" i="1" s="1"/>
  <c r="F136" i="1" a="1"/>
  <c r="F136" i="1" s="1"/>
  <c r="F137" i="1" a="1"/>
  <c r="F137" i="1" s="1"/>
  <c r="F138" i="1" a="1"/>
  <c r="F138" i="1" s="1"/>
  <c r="F139" i="1" a="1"/>
  <c r="F139" i="1" s="1"/>
  <c r="F140" i="1" a="1"/>
  <c r="F140" i="1" s="1"/>
  <c r="F141" i="1" a="1"/>
  <c r="F141" i="1" s="1"/>
  <c r="F142" i="1" a="1"/>
  <c r="F142" i="1" s="1"/>
  <c r="F143" i="1" a="1"/>
  <c r="F143" i="1" s="1"/>
  <c r="F144" i="1" a="1"/>
  <c r="F144" i="1" s="1"/>
  <c r="F145" i="1" a="1"/>
  <c r="F145" i="1" s="1"/>
  <c r="F146" i="1" a="1"/>
  <c r="F146" i="1" s="1"/>
  <c r="F147" i="1" a="1"/>
  <c r="F147" i="1" s="1"/>
  <c r="F148" i="1" a="1"/>
  <c r="F148" i="1" s="1"/>
  <c r="F149" i="1" a="1"/>
  <c r="F149" i="1" s="1"/>
  <c r="F150" i="1" a="1"/>
  <c r="F150" i="1" s="1"/>
  <c r="F151" i="1" a="1"/>
  <c r="F151" i="1" s="1"/>
  <c r="F152" i="1" a="1"/>
  <c r="F152" i="1" s="1"/>
  <c r="F153" i="1" a="1"/>
  <c r="F153" i="1" s="1"/>
  <c r="F154" i="1" a="1"/>
  <c r="F154" i="1" s="1"/>
  <c r="F155" i="1" a="1"/>
  <c r="F155" i="1" s="1"/>
  <c r="F156" i="1" a="1"/>
  <c r="F156" i="1" s="1"/>
  <c r="F157" i="1" a="1"/>
  <c r="F157" i="1" s="1"/>
  <c r="F158" i="1" a="1"/>
  <c r="F158" i="1" s="1"/>
  <c r="F159" i="1" a="1"/>
  <c r="F159" i="1" s="1"/>
  <c r="F160" i="1" a="1"/>
  <c r="F160" i="1" s="1"/>
  <c r="F161" i="1" a="1"/>
  <c r="F161" i="1" s="1"/>
  <c r="F162" i="1" a="1"/>
  <c r="F162" i="1" s="1"/>
  <c r="F163" i="1" a="1"/>
  <c r="F163" i="1" s="1"/>
  <c r="F164" i="1" a="1"/>
  <c r="F164" i="1" s="1"/>
  <c r="F165" i="1" a="1"/>
  <c r="F165" i="1" s="1"/>
  <c r="F166" i="1" a="1"/>
  <c r="F166" i="1" s="1"/>
  <c r="F167" i="1" a="1"/>
  <c r="F167" i="1" s="1"/>
  <c r="F168" i="1" a="1"/>
  <c r="F168" i="1" s="1"/>
  <c r="F169" i="1" a="1"/>
  <c r="F169" i="1" s="1"/>
  <c r="F170" i="1" a="1"/>
  <c r="F170" i="1" s="1"/>
  <c r="F171" i="1" a="1"/>
  <c r="F171" i="1" s="1"/>
  <c r="F172" i="1" a="1"/>
  <c r="F172" i="1" s="1"/>
  <c r="F173" i="1" a="1"/>
  <c r="F173" i="1" s="1"/>
  <c r="F174" i="1" a="1"/>
  <c r="F174" i="1" s="1"/>
  <c r="F175" i="1" a="1"/>
  <c r="F175" i="1" s="1"/>
  <c r="F176" i="1" a="1"/>
  <c r="F176" i="1" s="1"/>
  <c r="F177" i="1" a="1"/>
  <c r="F177" i="1" s="1"/>
  <c r="F178" i="1" a="1"/>
  <c r="F178" i="1" s="1"/>
  <c r="F179" i="1" a="1"/>
  <c r="F179" i="1" s="1"/>
  <c r="F180" i="1" a="1"/>
  <c r="F180" i="1" s="1"/>
  <c r="F181" i="1" a="1"/>
  <c r="F181" i="1" s="1"/>
  <c r="F182" i="1" a="1"/>
  <c r="F182" i="1" s="1"/>
  <c r="F183" i="1" a="1"/>
  <c r="F183" i="1" s="1"/>
  <c r="F184" i="1" a="1"/>
  <c r="F184" i="1" s="1"/>
  <c r="F185" i="1" a="1"/>
  <c r="F185" i="1" s="1"/>
  <c r="F186" i="1" a="1"/>
  <c r="F186" i="1" s="1"/>
  <c r="F187" i="1" a="1"/>
  <c r="F187" i="1" s="1"/>
  <c r="F188" i="1" a="1"/>
  <c r="F188" i="1" s="1"/>
  <c r="F189" i="1" a="1"/>
  <c r="F189" i="1" s="1"/>
  <c r="F190" i="1" a="1"/>
  <c r="F190" i="1" s="1"/>
  <c r="F191" i="1" a="1"/>
  <c r="F191" i="1" s="1"/>
  <c r="F192" i="1" a="1"/>
  <c r="F192" i="1" s="1"/>
  <c r="F193" i="1" a="1"/>
  <c r="F193" i="1" s="1"/>
  <c r="F194" i="1" a="1"/>
  <c r="F194" i="1" s="1"/>
  <c r="F195" i="1" a="1"/>
  <c r="F195" i="1" s="1"/>
  <c r="F196" i="1" a="1"/>
  <c r="F196" i="1" s="1"/>
  <c r="F197" i="1" a="1"/>
  <c r="F197" i="1" s="1"/>
  <c r="F198" i="1" a="1"/>
  <c r="F198" i="1" s="1"/>
  <c r="F199" i="1" a="1"/>
  <c r="F199" i="1" s="1"/>
  <c r="F200" i="1" a="1"/>
  <c r="F200" i="1" s="1"/>
  <c r="F201" i="1" a="1"/>
  <c r="F201" i="1" s="1"/>
  <c r="B201" i="1" a="1"/>
  <c r="B201" i="1" s="1"/>
  <c r="B2" i="1" a="1"/>
  <c r="B2" i="1" s="1"/>
  <c r="B3" i="1" a="1"/>
  <c r="B3" i="1" s="1"/>
  <c r="B4" i="1" a="1"/>
  <c r="B4" i="1" s="1"/>
  <c r="B5" i="1" a="1"/>
  <c r="B5" i="1" s="1"/>
  <c r="B6" i="1" a="1"/>
  <c r="B6" i="1" s="1"/>
  <c r="B7" i="1" a="1"/>
  <c r="B7" i="1" s="1"/>
  <c r="B8" i="1" a="1"/>
  <c r="B8" i="1" s="1"/>
  <c r="B9" i="1" a="1"/>
  <c r="B9" i="1" s="1"/>
  <c r="B10" i="1" a="1"/>
  <c r="B10" i="1" s="1"/>
  <c r="B11" i="1" a="1"/>
  <c r="B11" i="1" s="1"/>
  <c r="B12" i="1" a="1"/>
  <c r="B12" i="1" s="1"/>
  <c r="B13" i="1" a="1"/>
  <c r="B13" i="1" s="1"/>
  <c r="B14" i="1" a="1"/>
  <c r="B14" i="1" s="1"/>
  <c r="B15" i="1" a="1"/>
  <c r="B15" i="1" s="1"/>
  <c r="B16" i="1" a="1"/>
  <c r="B16" i="1" s="1"/>
  <c r="B17" i="1" a="1"/>
  <c r="B17" i="1" s="1"/>
  <c r="B18" i="1" a="1"/>
  <c r="B18" i="1" s="1"/>
  <c r="B19" i="1" a="1"/>
  <c r="B19" i="1" s="1"/>
  <c r="B20" i="1" a="1"/>
  <c r="B20" i="1" s="1"/>
  <c r="B21" i="1" a="1"/>
  <c r="B21" i="1" s="1"/>
  <c r="B22" i="1" a="1"/>
  <c r="B22" i="1" s="1"/>
  <c r="B23" i="1" a="1"/>
  <c r="B23" i="1" s="1"/>
  <c r="B24" i="1" a="1"/>
  <c r="B24" i="1" s="1"/>
  <c r="B25" i="1" a="1"/>
  <c r="B25" i="1" s="1"/>
  <c r="B26" i="1" a="1"/>
  <c r="B26" i="1" s="1"/>
  <c r="B27" i="1" a="1"/>
  <c r="B27" i="1" s="1"/>
  <c r="B28" i="1" a="1"/>
  <c r="B28" i="1" s="1"/>
  <c r="B29" i="1" a="1"/>
  <c r="B29" i="1" s="1"/>
  <c r="B30" i="1" a="1"/>
  <c r="B30" i="1" s="1"/>
  <c r="B31" i="1" a="1"/>
  <c r="B31" i="1" s="1"/>
  <c r="B32" i="1" a="1"/>
  <c r="B32" i="1" s="1"/>
  <c r="B33" i="1" a="1"/>
  <c r="B33" i="1" s="1"/>
  <c r="B34" i="1" a="1"/>
  <c r="B34" i="1" s="1"/>
  <c r="B35" i="1" a="1"/>
  <c r="B35" i="1" s="1"/>
  <c r="B36" i="1" a="1"/>
  <c r="B36" i="1" s="1"/>
  <c r="B37" i="1" a="1"/>
  <c r="B37" i="1" s="1"/>
  <c r="B38" i="1" a="1"/>
  <c r="B38" i="1" s="1"/>
  <c r="B39" i="1" a="1"/>
  <c r="B39" i="1" s="1"/>
  <c r="B40" i="1" a="1"/>
  <c r="B40" i="1" s="1"/>
  <c r="B41" i="1" a="1"/>
  <c r="B41" i="1" s="1"/>
  <c r="B42" i="1" a="1"/>
  <c r="B42" i="1" s="1"/>
  <c r="B43" i="1" a="1"/>
  <c r="B43" i="1" s="1"/>
  <c r="B44" i="1" a="1"/>
  <c r="B44" i="1" s="1"/>
  <c r="B45" i="1" a="1"/>
  <c r="B45" i="1" s="1"/>
  <c r="B46" i="1" a="1"/>
  <c r="B46" i="1" s="1"/>
  <c r="B47" i="1" a="1"/>
  <c r="B47" i="1" s="1"/>
  <c r="B48" i="1" a="1"/>
  <c r="B48" i="1" s="1"/>
  <c r="B49" i="1" a="1"/>
  <c r="B49" i="1" s="1"/>
  <c r="B50" i="1" a="1"/>
  <c r="B50" i="1" s="1"/>
  <c r="B51" i="1" a="1"/>
  <c r="B51" i="1" s="1"/>
  <c r="B52" i="1" a="1"/>
  <c r="B52" i="1" s="1"/>
  <c r="B53" i="1" a="1"/>
  <c r="B53" i="1" s="1"/>
  <c r="B54" i="1" a="1"/>
  <c r="B54" i="1" s="1"/>
  <c r="B55" i="1" a="1"/>
  <c r="B55" i="1" s="1"/>
  <c r="B56" i="1" a="1"/>
  <c r="B56" i="1" s="1"/>
  <c r="B57" i="1" a="1"/>
  <c r="B57" i="1" s="1"/>
  <c r="B58" i="1" a="1"/>
  <c r="B58" i="1" s="1"/>
  <c r="B59" i="1" a="1"/>
  <c r="B59" i="1" s="1"/>
  <c r="B60" i="1" a="1"/>
  <c r="B60" i="1" s="1"/>
  <c r="B61" i="1" a="1"/>
  <c r="B61" i="1" s="1"/>
  <c r="B62" i="1" a="1"/>
  <c r="B62" i="1" s="1"/>
  <c r="B63" i="1" a="1"/>
  <c r="B63" i="1" s="1"/>
  <c r="B64" i="1" a="1"/>
  <c r="B64" i="1" s="1"/>
  <c r="B65" i="1" a="1"/>
  <c r="B65" i="1" s="1"/>
  <c r="B66" i="1" a="1"/>
  <c r="B66" i="1" s="1"/>
  <c r="B67" i="1" a="1"/>
  <c r="B67" i="1" s="1"/>
  <c r="B68" i="1" a="1"/>
  <c r="B68" i="1" s="1"/>
  <c r="B69" i="1" a="1"/>
  <c r="B69" i="1" s="1"/>
  <c r="B70" i="1" a="1"/>
  <c r="B70" i="1" s="1"/>
  <c r="B71" i="1" a="1"/>
  <c r="B71" i="1" s="1"/>
  <c r="B72" i="1" a="1"/>
  <c r="B72" i="1" s="1"/>
  <c r="B73" i="1" a="1"/>
  <c r="B73" i="1" s="1"/>
  <c r="B74" i="1" a="1"/>
  <c r="B74" i="1" s="1"/>
  <c r="B75" i="1" a="1"/>
  <c r="B75" i="1" s="1"/>
  <c r="B76" i="1" a="1"/>
  <c r="B76" i="1" s="1"/>
  <c r="B77" i="1" a="1"/>
  <c r="B77" i="1" s="1"/>
  <c r="B78" i="1" a="1"/>
  <c r="B78" i="1" s="1"/>
  <c r="B80" i="1" a="1"/>
  <c r="B80" i="1" s="1"/>
  <c r="B81" i="1" a="1"/>
  <c r="B81" i="1" s="1"/>
  <c r="B82" i="1" a="1"/>
  <c r="B82" i="1" s="1"/>
  <c r="B83" i="1" a="1"/>
  <c r="B83" i="1" s="1"/>
  <c r="B84" i="1" a="1"/>
  <c r="B84" i="1" s="1"/>
  <c r="B85" i="1" a="1"/>
  <c r="B85" i="1" s="1"/>
  <c r="B86" i="1" a="1"/>
  <c r="B86" i="1" s="1"/>
  <c r="B87" i="1" a="1"/>
  <c r="B87" i="1" s="1"/>
  <c r="B88" i="1" a="1"/>
  <c r="B88" i="1" s="1"/>
  <c r="B89" i="1" a="1"/>
  <c r="B89" i="1" s="1"/>
  <c r="B90" i="1" a="1"/>
  <c r="B90" i="1" s="1"/>
  <c r="B91" i="1" a="1"/>
  <c r="B91" i="1" s="1"/>
  <c r="B92" i="1" a="1"/>
  <c r="B92" i="1" s="1"/>
  <c r="B93" i="1" a="1"/>
  <c r="B93" i="1" s="1"/>
  <c r="B94" i="1" a="1"/>
  <c r="B94" i="1" s="1"/>
  <c r="B95" i="1" a="1"/>
  <c r="B95" i="1" s="1"/>
  <c r="B96" i="1" a="1"/>
  <c r="B96" i="1" s="1"/>
  <c r="B97" i="1" a="1"/>
  <c r="B97" i="1" s="1"/>
  <c r="B98" i="1" a="1"/>
  <c r="B98" i="1" s="1"/>
  <c r="B99" i="1" a="1"/>
  <c r="B99" i="1" s="1"/>
  <c r="B100" i="1" a="1"/>
  <c r="B100" i="1" s="1"/>
  <c r="B101" i="1" a="1"/>
  <c r="B101" i="1" s="1"/>
  <c r="B102" i="1" a="1"/>
  <c r="B102" i="1" s="1"/>
  <c r="B103" i="1" a="1"/>
  <c r="B103" i="1" s="1"/>
  <c r="B104" i="1" a="1"/>
  <c r="B104" i="1" s="1"/>
  <c r="B105" i="1" a="1"/>
  <c r="B105" i="1" s="1"/>
  <c r="B106" i="1" a="1"/>
  <c r="B106" i="1" s="1"/>
  <c r="B107" i="1" a="1"/>
  <c r="B107" i="1" s="1"/>
  <c r="B108" i="1" a="1"/>
  <c r="B108" i="1" s="1"/>
  <c r="B109" i="1" a="1"/>
  <c r="B109" i="1" s="1"/>
  <c r="B110" i="1" a="1"/>
  <c r="B110" i="1" s="1"/>
  <c r="B111" i="1" a="1"/>
  <c r="B111" i="1" s="1"/>
  <c r="B112" i="1" a="1"/>
  <c r="B112" i="1" s="1"/>
  <c r="B113" i="1" a="1"/>
  <c r="B113" i="1" s="1"/>
  <c r="B114" i="1" a="1"/>
  <c r="B114" i="1" s="1"/>
  <c r="B115" i="1" a="1"/>
  <c r="B115" i="1" s="1"/>
  <c r="B116" i="1" a="1"/>
  <c r="B116" i="1" s="1"/>
  <c r="B117" i="1" a="1"/>
  <c r="B117" i="1" s="1"/>
  <c r="B118" i="1" a="1"/>
  <c r="B118" i="1" s="1"/>
  <c r="B119" i="1" a="1"/>
  <c r="B119" i="1" s="1"/>
  <c r="B120" i="1" a="1"/>
  <c r="B120" i="1" s="1"/>
  <c r="B121" i="1" a="1"/>
  <c r="B121" i="1" s="1"/>
  <c r="B122" i="1" a="1"/>
  <c r="B122" i="1" s="1"/>
  <c r="B123" i="1" a="1"/>
  <c r="B123" i="1" s="1"/>
  <c r="B124" i="1" a="1"/>
  <c r="B124" i="1" s="1"/>
  <c r="B125" i="1" a="1"/>
  <c r="B125" i="1" s="1"/>
  <c r="B126" i="1" a="1"/>
  <c r="B126" i="1" s="1"/>
  <c r="B127" i="1" a="1"/>
  <c r="B127" i="1" s="1"/>
  <c r="B128" i="1" a="1"/>
  <c r="B128" i="1" s="1"/>
  <c r="B129" i="1" a="1"/>
  <c r="B129" i="1" s="1"/>
  <c r="B130" i="1" a="1"/>
  <c r="B130" i="1" s="1"/>
  <c r="B131" i="1" a="1"/>
  <c r="B131" i="1" s="1"/>
  <c r="B132" i="1" a="1"/>
  <c r="B132" i="1" s="1"/>
  <c r="B133" i="1" a="1"/>
  <c r="B133" i="1" s="1"/>
  <c r="B134" i="1" a="1"/>
  <c r="B134" i="1" s="1"/>
  <c r="B135" i="1" a="1"/>
  <c r="B135" i="1" s="1"/>
  <c r="B136" i="1" a="1"/>
  <c r="B136" i="1" s="1"/>
  <c r="B137" i="1" a="1"/>
  <c r="B137" i="1" s="1"/>
  <c r="B138" i="1" a="1"/>
  <c r="B138" i="1" s="1"/>
  <c r="B139" i="1" a="1"/>
  <c r="B139" i="1" s="1"/>
  <c r="B140" i="1" a="1"/>
  <c r="B140" i="1" s="1"/>
  <c r="B141" i="1" a="1"/>
  <c r="B141" i="1" s="1"/>
  <c r="B142" i="1" a="1"/>
  <c r="B142" i="1" s="1"/>
  <c r="B143" i="1" a="1"/>
  <c r="B143" i="1" s="1"/>
  <c r="B144" i="1" a="1"/>
  <c r="B144" i="1" s="1"/>
  <c r="B145" i="1" a="1"/>
  <c r="B145" i="1" s="1"/>
  <c r="B146" i="1" a="1"/>
  <c r="B146" i="1" s="1"/>
  <c r="B147" i="1" a="1"/>
  <c r="B147" i="1" s="1"/>
  <c r="B148" i="1" a="1"/>
  <c r="B148" i="1" s="1"/>
  <c r="B149" i="1" a="1"/>
  <c r="B149" i="1" s="1"/>
  <c r="B150" i="1" a="1"/>
  <c r="B150" i="1" s="1"/>
  <c r="B151" i="1" a="1"/>
  <c r="B151" i="1" s="1"/>
  <c r="B152" i="1" a="1"/>
  <c r="B152" i="1" s="1"/>
  <c r="B153" i="1" a="1"/>
  <c r="B153" i="1" s="1"/>
  <c r="B154" i="1" a="1"/>
  <c r="B154" i="1" s="1"/>
  <c r="B155" i="1" a="1"/>
  <c r="B155" i="1" s="1"/>
  <c r="B156" i="1" a="1"/>
  <c r="B156" i="1" s="1"/>
  <c r="B157" i="1" a="1"/>
  <c r="B157" i="1" s="1"/>
  <c r="B158" i="1" a="1"/>
  <c r="B158" i="1" s="1"/>
  <c r="B159" i="1" a="1"/>
  <c r="B159" i="1" s="1"/>
  <c r="B160" i="1" a="1"/>
  <c r="B160" i="1" s="1"/>
  <c r="B161" i="1" a="1"/>
  <c r="B161" i="1" s="1"/>
  <c r="B162" i="1" a="1"/>
  <c r="B162" i="1" s="1"/>
  <c r="B163" i="1" a="1"/>
  <c r="B163" i="1" s="1"/>
  <c r="B164" i="1" a="1"/>
  <c r="B164" i="1" s="1"/>
  <c r="B165" i="1" a="1"/>
  <c r="B165" i="1" s="1"/>
  <c r="B166" i="1" a="1"/>
  <c r="B166" i="1" s="1"/>
  <c r="B167" i="1" a="1"/>
  <c r="B167" i="1" s="1"/>
  <c r="B168" i="1" a="1"/>
  <c r="B168" i="1" s="1"/>
  <c r="B169" i="1" a="1"/>
  <c r="B169" i="1" s="1"/>
  <c r="B170" i="1" a="1"/>
  <c r="B170" i="1" s="1"/>
  <c r="B171" i="1" a="1"/>
  <c r="B171" i="1" s="1"/>
  <c r="B172" i="1" a="1"/>
  <c r="B172" i="1" s="1"/>
  <c r="B173" i="1" a="1"/>
  <c r="B173" i="1" s="1"/>
  <c r="B174" i="1" a="1"/>
  <c r="B174" i="1" s="1"/>
  <c r="B175" i="1" a="1"/>
  <c r="B175" i="1" s="1"/>
  <c r="B176" i="1" a="1"/>
  <c r="B176" i="1" s="1"/>
  <c r="B177" i="1" a="1"/>
  <c r="B177" i="1" s="1"/>
  <c r="B178" i="1" a="1"/>
  <c r="B178" i="1" s="1"/>
  <c r="B179" i="1" a="1"/>
  <c r="B179" i="1" s="1"/>
  <c r="B180" i="1" a="1"/>
  <c r="B180" i="1" s="1"/>
  <c r="B181" i="1" a="1"/>
  <c r="B181" i="1" s="1"/>
  <c r="B182" i="1" a="1"/>
  <c r="B182" i="1" s="1"/>
  <c r="B183" i="1" a="1"/>
  <c r="B183" i="1" s="1"/>
  <c r="B184" i="1" a="1"/>
  <c r="B184" i="1" s="1"/>
  <c r="B185" i="1" a="1"/>
  <c r="B185" i="1" s="1"/>
  <c r="B186" i="1" a="1"/>
  <c r="B186" i="1" s="1"/>
  <c r="B187" i="1" a="1"/>
  <c r="B187" i="1" s="1"/>
  <c r="B188" i="1" a="1"/>
  <c r="B188" i="1" s="1"/>
  <c r="B189" i="1" a="1"/>
  <c r="B189" i="1" s="1"/>
  <c r="B190" i="1" a="1"/>
  <c r="B190" i="1" s="1"/>
  <c r="B191" i="1" a="1"/>
  <c r="B191" i="1" s="1"/>
  <c r="B192" i="1" a="1"/>
  <c r="B192" i="1" s="1"/>
  <c r="B193" i="1" a="1"/>
  <c r="B193" i="1" s="1"/>
  <c r="B194" i="1" a="1"/>
  <c r="B194" i="1" s="1"/>
  <c r="B195" i="1" a="1"/>
  <c r="B195" i="1" s="1"/>
  <c r="B196" i="1" a="1"/>
  <c r="B196" i="1" s="1"/>
  <c r="B197" i="1" a="1"/>
  <c r="B197" i="1" s="1"/>
  <c r="B198" i="1" a="1"/>
  <c r="B198" i="1" s="1"/>
  <c r="B199" i="1" a="1"/>
  <c r="B199" i="1" s="1"/>
  <c r="B200" i="1" a="1"/>
  <c r="B200" i="1" s="1"/>
  <c r="F79" i="1" l="1" a="1"/>
  <c r="F79" i="1" s="1"/>
  <c r="U4" i="1" s="1"/>
  <c r="D79" i="1" a="1"/>
  <c r="D79" i="1" s="1"/>
  <c r="B79" i="1" a="1"/>
  <c r="B79" i="1" s="1"/>
  <c r="U22" i="1" s="1"/>
  <c r="H79" i="1" a="1"/>
  <c r="H79" i="1" s="1"/>
  <c r="Y7" i="1" s="1"/>
  <c r="B4" i="15" l="1"/>
  <c r="D5" i="6"/>
  <c r="D5" i="8" s="1"/>
  <c r="D5" i="9" s="1"/>
  <c r="D5" i="10" s="1"/>
  <c r="D5" i="11" s="1"/>
  <c r="D5" i="12" s="1"/>
  <c r="D5" i="13" s="1"/>
  <c r="D5" i="14" s="1"/>
  <c r="D5" i="15" s="1"/>
  <c r="D4" i="6"/>
  <c r="D4" i="8" s="1"/>
  <c r="D4" i="9" s="1"/>
  <c r="D4" i="10" s="1"/>
  <c r="D4" i="11" s="1"/>
  <c r="D4" i="12" s="1"/>
  <c r="D4" i="13" s="1"/>
  <c r="D4" i="14" s="1"/>
  <c r="D4" i="15" s="1"/>
  <c r="D6" i="6"/>
  <c r="D6" i="8" s="1"/>
  <c r="D6" i="9" s="1"/>
  <c r="D6" i="10" s="1"/>
  <c r="D6" i="11" s="1"/>
  <c r="D6" i="12" s="1"/>
  <c r="D6" i="13" s="1"/>
  <c r="D6" i="14" s="1"/>
  <c r="D6" i="15" s="1"/>
  <c r="D3" i="6"/>
  <c r="D3" i="8" s="1"/>
  <c r="D3" i="9" s="1"/>
  <c r="D3" i="10" s="1"/>
  <c r="D3" i="11" s="1"/>
  <c r="D3" i="12" s="1"/>
  <c r="D3" i="13" s="1"/>
  <c r="D3" i="14" s="1"/>
  <c r="D3" i="15" s="1"/>
  <c r="D7" i="6"/>
  <c r="D7" i="8" s="1"/>
  <c r="D7" i="9" s="1"/>
  <c r="D7" i="10" s="1"/>
  <c r="D7" i="11" s="1"/>
  <c r="D7" i="12" s="1"/>
  <c r="D7" i="13" s="1"/>
  <c r="D7" i="14" s="1"/>
  <c r="D7" i="15" s="1"/>
  <c r="B3" i="10"/>
  <c r="B4" i="8"/>
  <c r="B3" i="9"/>
  <c r="B7" i="5"/>
  <c r="C7" i="6" s="1"/>
  <c r="C7" i="8" s="1"/>
  <c r="C7" i="9" s="1"/>
  <c r="C7" i="10" s="1"/>
  <c r="C7" i="11" s="1"/>
  <c r="C7" i="12" s="1"/>
  <c r="C7" i="13" s="1"/>
  <c r="C7" i="14" s="1"/>
  <c r="C7" i="15" s="1"/>
  <c r="B3" i="15"/>
  <c r="B4" i="5"/>
  <c r="C4" i="6" s="1"/>
  <c r="C4" i="8" s="1"/>
  <c r="C4" i="9" s="1"/>
  <c r="C4" i="10" s="1"/>
  <c r="C4" i="11" s="1"/>
  <c r="C4" i="12" s="1"/>
  <c r="C4" i="13" s="1"/>
  <c r="C4" i="14" s="1"/>
  <c r="C4" i="15" s="1"/>
  <c r="B4" i="6"/>
  <c r="B6" i="11"/>
  <c r="B5" i="13"/>
  <c r="B7" i="9"/>
  <c r="B7" i="11"/>
  <c r="B7" i="13"/>
  <c r="B3" i="14"/>
  <c r="B3" i="5"/>
  <c r="C3" i="6" s="1"/>
  <c r="C3" i="8" s="1"/>
  <c r="C3" i="9" s="1"/>
  <c r="C3" i="10" s="1"/>
  <c r="C3" i="11" s="1"/>
  <c r="C3" i="12" s="1"/>
  <c r="C3" i="13" s="1"/>
  <c r="C3" i="14" s="1"/>
  <c r="C3" i="15" s="1"/>
  <c r="B6" i="15"/>
  <c r="B4" i="13"/>
  <c r="B6" i="10"/>
  <c r="B5" i="11"/>
  <c r="B6" i="6"/>
  <c r="B6" i="8"/>
  <c r="B7" i="14"/>
  <c r="B4" i="12"/>
  <c r="B6" i="12"/>
  <c r="B3" i="12"/>
  <c r="B3" i="11"/>
  <c r="B6" i="13"/>
  <c r="B4" i="9"/>
  <c r="B5" i="6"/>
  <c r="B5" i="14"/>
  <c r="B7" i="10"/>
  <c r="B6" i="14"/>
  <c r="B5" i="9"/>
  <c r="B5" i="15"/>
  <c r="B5" i="8"/>
  <c r="B4" i="10"/>
  <c r="B5" i="10"/>
  <c r="B7" i="6"/>
  <c r="B3" i="6"/>
  <c r="B3" i="8"/>
  <c r="B5" i="12"/>
  <c r="B3" i="13"/>
  <c r="B6" i="9"/>
  <c r="B7" i="12"/>
  <c r="B4" i="14"/>
  <c r="B7" i="8"/>
  <c r="B4" i="11"/>
  <c r="B7" i="15"/>
  <c r="L19" i="1"/>
  <c r="K20" i="1"/>
  <c r="Q62" i="1" s="1"/>
  <c r="K22" i="1"/>
  <c r="K23" i="1"/>
  <c r="K17" i="1"/>
  <c r="Q47" i="1" s="1"/>
  <c r="L17" i="1"/>
  <c r="N18" i="1"/>
  <c r="AU50" i="1" s="1"/>
  <c r="L20" i="1"/>
  <c r="Q22" i="1"/>
  <c r="M18" i="1"/>
  <c r="N20" i="1"/>
  <c r="AU62" i="1" s="1"/>
  <c r="P21" i="1"/>
  <c r="BO65" i="1" s="1"/>
  <c r="O21" i="1"/>
  <c r="BE65" i="1" s="1"/>
  <c r="M4" i="1"/>
  <c r="O18" i="1"/>
  <c r="BE50" i="1" s="1"/>
  <c r="M5" i="1"/>
  <c r="M8" i="1"/>
  <c r="P22" i="1"/>
  <c r="M7" i="1"/>
  <c r="Q18" i="1"/>
  <c r="BY50" i="1" s="1"/>
  <c r="K19" i="1"/>
  <c r="Q54" i="1" s="1"/>
  <c r="U18" i="1"/>
  <c r="Q21" i="1"/>
  <c r="BY65" i="1" s="1"/>
  <c r="L22" i="1"/>
  <c r="R22" i="1"/>
  <c r="L23" i="1"/>
  <c r="R18" i="1"/>
  <c r="M2" i="1"/>
  <c r="M22" i="1"/>
  <c r="S18" i="1"/>
  <c r="CS50" i="1" s="1"/>
  <c r="M3" i="1"/>
  <c r="M23" i="1"/>
  <c r="T19" i="1"/>
  <c r="N19" i="1"/>
  <c r="AU54" i="1" s="1"/>
  <c r="O17" i="1"/>
  <c r="BE47" i="1" s="1"/>
  <c r="T21" i="1"/>
  <c r="U20" i="1"/>
  <c r="P20" i="1"/>
  <c r="BO62" i="1" s="1"/>
  <c r="U21" i="1"/>
  <c r="Y3" i="1"/>
  <c r="P23" i="1"/>
  <c r="Y4" i="1"/>
  <c r="Q19" i="1"/>
  <c r="BY54" i="1" s="1"/>
  <c r="Y6" i="1"/>
  <c r="M20" i="1"/>
  <c r="Q20" i="1"/>
  <c r="BY62" i="1" s="1"/>
  <c r="Y5" i="1"/>
  <c r="M6" i="1"/>
  <c r="N17" i="1"/>
  <c r="AU47" i="1" s="1"/>
  <c r="R17" i="1"/>
  <c r="O19" i="1"/>
  <c r="BE54" i="1" s="1"/>
  <c r="T17" i="1"/>
  <c r="K21" i="1"/>
  <c r="Q65" i="1" s="1"/>
  <c r="N22" i="1"/>
  <c r="R19" i="1"/>
  <c r="U2" i="1"/>
  <c r="M10" i="1"/>
  <c r="L18" i="1"/>
  <c r="O23" i="1"/>
  <c r="R23" i="1"/>
  <c r="U5" i="1"/>
  <c r="U3" i="1"/>
  <c r="M9" i="1"/>
  <c r="M17" i="1"/>
  <c r="O22" i="1"/>
  <c r="U1" i="1"/>
  <c r="M11" i="1"/>
  <c r="M19" i="1"/>
  <c r="P17" i="1"/>
  <c r="BO47" i="1" s="1"/>
  <c r="S17" i="1"/>
  <c r="CS47" i="1" s="1"/>
  <c r="U6" i="1"/>
  <c r="U7" i="1"/>
  <c r="K18" i="1"/>
  <c r="Q50" i="1" s="1"/>
  <c r="M21" i="1"/>
  <c r="P19" i="1"/>
  <c r="BO54" i="1" s="1"/>
  <c r="S19" i="1"/>
  <c r="CS54" i="1" s="1"/>
  <c r="S21" i="1"/>
  <c r="CS65" i="1" s="1"/>
  <c r="S22" i="1"/>
  <c r="N21" i="1"/>
  <c r="AU65" i="1" s="1"/>
  <c r="Q17" i="1"/>
  <c r="BY47" i="1" s="1"/>
  <c r="S23" i="1"/>
  <c r="Y2" i="1"/>
  <c r="Y1" i="1"/>
  <c r="O20" i="1"/>
  <c r="BE62" i="1" s="1"/>
  <c r="Q23" i="1"/>
  <c r="T18" i="1"/>
  <c r="T22" i="1"/>
  <c r="R20" i="1"/>
  <c r="T23" i="1"/>
  <c r="R21" i="1"/>
  <c r="U17" i="1"/>
  <c r="T20" i="1"/>
  <c r="U19" i="1"/>
  <c r="M1" i="1"/>
  <c r="L21" i="1"/>
  <c r="N23" i="1"/>
  <c r="P18" i="1"/>
  <c r="BO50" i="1" s="1"/>
  <c r="S20" i="1"/>
  <c r="CS62" i="1" s="1"/>
  <c r="U23" i="1"/>
  <c r="O48" i="1"/>
  <c r="AL21" i="1"/>
  <c r="AB30" i="1"/>
  <c r="Q1" i="1"/>
  <c r="Q2" i="1"/>
  <c r="Q3" i="1"/>
  <c r="Q4" i="1"/>
  <c r="Q5" i="1"/>
  <c r="Q6" i="1"/>
  <c r="Q7" i="1"/>
  <c r="G3" i="14" l="1"/>
  <c r="G3" i="15"/>
  <c r="G3" i="10"/>
  <c r="G3" i="13"/>
  <c r="G3" i="9"/>
  <c r="G3" i="8"/>
  <c r="G3" i="11"/>
  <c r="G3" i="6"/>
  <c r="U34" i="1"/>
  <c r="B6" i="2" s="1"/>
  <c r="B6" i="5"/>
  <c r="C6" i="6" s="1"/>
  <c r="C6" i="8" s="1"/>
  <c r="C6" i="9" s="1"/>
  <c r="C6" i="10" s="1"/>
  <c r="C6" i="11" s="1"/>
  <c r="C6" i="12" s="1"/>
  <c r="C6" i="13" s="1"/>
  <c r="C6" i="14" s="1"/>
  <c r="C6" i="15" s="1"/>
  <c r="B5" i="5"/>
  <c r="C5" i="6" s="1"/>
  <c r="C5" i="8" s="1"/>
  <c r="C5" i="9" s="1"/>
  <c r="C5" i="10" s="1"/>
  <c r="C5" i="11" s="1"/>
  <c r="C5" i="12" s="1"/>
  <c r="C5" i="13" s="1"/>
  <c r="C5" i="14" s="1"/>
  <c r="C5" i="15" s="1"/>
  <c r="U33" i="1"/>
  <c r="B5" i="2" s="1"/>
  <c r="G3" i="12"/>
  <c r="U31" i="1"/>
  <c r="B3" i="2" s="1"/>
  <c r="U35" i="1"/>
  <c r="B7" i="2" s="1"/>
  <c r="U32" i="1"/>
  <c r="B4" i="2" s="1"/>
  <c r="AC27" i="1"/>
  <c r="AL38" i="1"/>
  <c r="P49" i="1"/>
  <c r="P64" i="1"/>
  <c r="DC50" i="1"/>
  <c r="DC62" i="1"/>
  <c r="DC47" i="1"/>
  <c r="DC65" i="1"/>
  <c r="DC54" i="1"/>
  <c r="CI50" i="1"/>
  <c r="CI65" i="1"/>
  <c r="CI54" i="1"/>
  <c r="CI62" i="1"/>
  <c r="CI47" i="1"/>
  <c r="AK47" i="1"/>
  <c r="AK50" i="1"/>
  <c r="AK62" i="1"/>
  <c r="AK65" i="1"/>
  <c r="AK54" i="1"/>
  <c r="AA65" i="1"/>
  <c r="AA50" i="1"/>
  <c r="AA62" i="1"/>
  <c r="AA47" i="1"/>
  <c r="AA54" i="1"/>
  <c r="AC28" i="1"/>
  <c r="AC29" i="1"/>
  <c r="AM21" i="1"/>
  <c r="AM22" i="1"/>
  <c r="P48" i="1"/>
  <c r="P47" i="1"/>
  <c r="AM20" i="1"/>
  <c r="AL37" i="1"/>
  <c r="N15" i="1"/>
  <c r="AB27" i="1"/>
  <c r="V22" i="1"/>
  <c r="AL36" i="1"/>
  <c r="O63" i="1"/>
  <c r="O15" i="1"/>
  <c r="O65" i="1"/>
  <c r="AB29" i="1"/>
  <c r="M15" i="1"/>
  <c r="K15" i="1"/>
  <c r="Q15" i="1"/>
  <c r="V19" i="1"/>
  <c r="AL22" i="1"/>
  <c r="AB31" i="1"/>
  <c r="AB28" i="1"/>
  <c r="O64" i="1"/>
  <c r="S15" i="1"/>
  <c r="V18" i="1"/>
  <c r="V17" i="1"/>
  <c r="O49" i="1"/>
  <c r="AM38" i="1"/>
  <c r="AC31" i="1"/>
  <c r="V21" i="1"/>
  <c r="P65" i="1"/>
  <c r="AC30" i="1"/>
  <c r="AM37" i="1"/>
  <c r="P15" i="1"/>
  <c r="T15" i="1"/>
  <c r="U15" i="1"/>
  <c r="V23" i="1"/>
  <c r="V20" i="1"/>
  <c r="R15" i="1"/>
  <c r="L15" i="1"/>
  <c r="AN20" i="1"/>
  <c r="AN38" i="1"/>
  <c r="AN35" i="1"/>
  <c r="AN27" i="1"/>
  <c r="AN23" i="1"/>
  <c r="AD21" i="1"/>
  <c r="AD37" i="1"/>
  <c r="AD24" i="1"/>
  <c r="AD34" i="1"/>
  <c r="AD29" i="1"/>
  <c r="G3" i="5" l="1"/>
  <c r="G6" i="2" s="1"/>
  <c r="G3" i="2"/>
  <c r="R65" i="1"/>
  <c r="AE29" i="1"/>
  <c r="S65" i="1" l="1"/>
  <c r="Q63" i="1"/>
  <c r="O47" i="1"/>
  <c r="R47" i="1" s="1"/>
  <c r="P62" i="1"/>
  <c r="AB34" i="1"/>
  <c r="AC33" i="1"/>
  <c r="AD28" i="1"/>
  <c r="AF29" i="1"/>
  <c r="Q49" i="1" l="1"/>
  <c r="R49" i="1" s="1"/>
  <c r="O51" i="1"/>
  <c r="S47" i="1"/>
  <c r="P50" i="1"/>
  <c r="Q48" i="1" l="1"/>
  <c r="R48" i="1" s="1"/>
  <c r="S49" i="1"/>
  <c r="P63" i="1"/>
  <c r="R63" i="1" s="1"/>
  <c r="O53" i="1"/>
  <c r="P60" i="1" l="1"/>
  <c r="Q68" i="1"/>
  <c r="S63" i="1"/>
  <c r="O59" i="1"/>
  <c r="Q64" i="1"/>
  <c r="R64" i="1" s="1"/>
  <c r="Q72" i="1" s="1"/>
  <c r="P59" i="1"/>
  <c r="O62" i="1"/>
  <c r="R62" i="1" s="1"/>
  <c r="S48" i="1"/>
  <c r="O52" i="1" l="1"/>
  <c r="Q59" i="1"/>
  <c r="P58" i="1"/>
  <c r="S62" i="1"/>
  <c r="P53" i="1"/>
  <c r="O50" i="1"/>
  <c r="R50" i="1" s="1"/>
  <c r="S64" i="1"/>
  <c r="Q53" i="1" l="1"/>
  <c r="O60" i="1"/>
  <c r="S50" i="1"/>
  <c r="P54" i="1"/>
  <c r="R59" i="1"/>
  <c r="S59" i="1" l="1"/>
  <c r="Q60" i="1"/>
  <c r="R60" i="1" s="1"/>
  <c r="Q61" i="1" s="1"/>
  <c r="O54" i="1"/>
  <c r="R54" i="1" s="1"/>
  <c r="P72" i="1" s="1"/>
  <c r="P51" i="1"/>
  <c r="R53" i="1"/>
  <c r="Z47" i="1" l="1"/>
  <c r="Q51" i="1"/>
  <c r="R51" i="1" s="1"/>
  <c r="O68" i="1"/>
  <c r="Q58" i="1"/>
  <c r="O58" i="1"/>
  <c r="P61" i="1"/>
  <c r="S53" i="1"/>
  <c r="P52" i="1"/>
  <c r="O55" i="1"/>
  <c r="S54" i="1"/>
  <c r="S60" i="1"/>
  <c r="Y63" i="1" l="1"/>
  <c r="Q52" i="1"/>
  <c r="O61" i="1"/>
  <c r="R61" i="1" s="1"/>
  <c r="Q71" i="1" s="1"/>
  <c r="P55" i="1"/>
  <c r="S51" i="1"/>
  <c r="R58" i="1"/>
  <c r="O72" i="1" s="1"/>
  <c r="Y49" i="1" l="1"/>
  <c r="P68" i="1"/>
  <c r="S61" i="1"/>
  <c r="Q57" i="1"/>
  <c r="P57" i="1"/>
  <c r="O56" i="1"/>
  <c r="S58" i="1"/>
  <c r="R52" i="1"/>
  <c r="AE28" i="1"/>
  <c r="Z65" i="1" l="1"/>
  <c r="Q69" i="1"/>
  <c r="P56" i="1"/>
  <c r="O57" i="1"/>
  <c r="R57" i="1" s="1"/>
  <c r="P69" i="1" s="1"/>
  <c r="S52" i="1"/>
  <c r="AB33" i="1"/>
  <c r="AC32" i="1"/>
  <c r="AF28" i="1"/>
  <c r="AD30" i="1"/>
  <c r="AE30" i="1" s="1"/>
  <c r="Z64" i="1" l="1"/>
  <c r="O71" i="1"/>
  <c r="S57" i="1"/>
  <c r="Q55" i="1"/>
  <c r="AB35" i="1"/>
  <c r="AC34" i="1"/>
  <c r="AE34" i="1" s="1"/>
  <c r="AD27" i="1"/>
  <c r="AE27" i="1" s="1"/>
  <c r="AF30" i="1"/>
  <c r="Y48" i="1" l="1"/>
  <c r="R55" i="1"/>
  <c r="P71" i="1" s="1"/>
  <c r="AC23" i="1"/>
  <c r="AB24" i="1"/>
  <c r="AC26" i="1"/>
  <c r="AF27" i="1"/>
  <c r="AB32" i="1"/>
  <c r="AF34" i="1"/>
  <c r="AD33" i="1"/>
  <c r="AD31" i="1"/>
  <c r="AE31" i="1" s="1"/>
  <c r="AC44" i="1" s="1"/>
  <c r="Z48" i="1" l="1"/>
  <c r="O69" i="1"/>
  <c r="Q56" i="1"/>
  <c r="S55" i="1"/>
  <c r="AB26" i="1"/>
  <c r="AF31" i="1"/>
  <c r="AC35" i="1"/>
  <c r="AE33" i="1"/>
  <c r="Y64" i="1" l="1"/>
  <c r="R56" i="1"/>
  <c r="AB23" i="1"/>
  <c r="AC25" i="1"/>
  <c r="AD35" i="1"/>
  <c r="AE35" i="1" s="1"/>
  <c r="AC38" i="1" s="1"/>
  <c r="AF33" i="1"/>
  <c r="P70" i="1" l="1"/>
  <c r="Q70" i="1"/>
  <c r="O70" i="1"/>
  <c r="R46" i="1"/>
  <c r="S56" i="1"/>
  <c r="AF35" i="1"/>
  <c r="AB25" i="1"/>
  <c r="AD32" i="1"/>
  <c r="AE32" i="1" s="1"/>
  <c r="AD44" i="1" s="1"/>
  <c r="Z49" i="1" l="1"/>
  <c r="Y65" i="1"/>
  <c r="AB65" i="1" s="1"/>
  <c r="AB36" i="1"/>
  <c r="AF32" i="1"/>
  <c r="AC24" i="1"/>
  <c r="AE24" i="1" s="1"/>
  <c r="AC21" i="1" s="1"/>
  <c r="Z62" i="1" l="1"/>
  <c r="Y47" i="1"/>
  <c r="AB47" i="1" s="1"/>
  <c r="AC65" i="1"/>
  <c r="AA63" i="1"/>
  <c r="AB38" i="1"/>
  <c r="AF24" i="1"/>
  <c r="AD25" i="1"/>
  <c r="AE25" i="1" s="1"/>
  <c r="Z50" i="1" l="1"/>
  <c r="Y51" i="1"/>
  <c r="AA49" i="1"/>
  <c r="AB49" i="1" s="1"/>
  <c r="AC47" i="1"/>
  <c r="AB21" i="1"/>
  <c r="AE21" i="1" s="1"/>
  <c r="AD43" i="1" s="1"/>
  <c r="AF25" i="1"/>
  <c r="AC36" i="1"/>
  <c r="AD23" i="1"/>
  <c r="AE23" i="1" s="1"/>
  <c r="Z63" i="1" l="1"/>
  <c r="AB63" i="1" s="1"/>
  <c r="AA48" i="1"/>
  <c r="AB48" i="1" s="1"/>
  <c r="AA68" i="1" s="1"/>
  <c r="Y53" i="1"/>
  <c r="AC49" i="1"/>
  <c r="AD20" i="1"/>
  <c r="AD42" i="1"/>
  <c r="AC20" i="1"/>
  <c r="AF21" i="1"/>
  <c r="AF23" i="1"/>
  <c r="AB37" i="1"/>
  <c r="AD26" i="1"/>
  <c r="AE26" i="1" s="1"/>
  <c r="AB22" i="1" s="1"/>
  <c r="Z60" i="1" l="1"/>
  <c r="Z59" i="1"/>
  <c r="Y62" i="1"/>
  <c r="AB62" i="1" s="1"/>
  <c r="AC63" i="1"/>
  <c r="Y59" i="1"/>
  <c r="AA64" i="1"/>
  <c r="AB64" i="1" s="1"/>
  <c r="AA72" i="1" s="1"/>
  <c r="AC48" i="1"/>
  <c r="AB44" i="1"/>
  <c r="AF26" i="1"/>
  <c r="AC37" i="1"/>
  <c r="AE37" i="1" s="1"/>
  <c r="Y52" i="1" l="1"/>
  <c r="Z58" i="1"/>
  <c r="Y50" i="1"/>
  <c r="AB50" i="1" s="1"/>
  <c r="Z53" i="1"/>
  <c r="AC64" i="1"/>
  <c r="AA59" i="1"/>
  <c r="AC62" i="1"/>
  <c r="AB42" i="1"/>
  <c r="AB43" i="1"/>
  <c r="AF37" i="1"/>
  <c r="AD36" i="1"/>
  <c r="AE36" i="1" s="1"/>
  <c r="Y60" i="1" l="1"/>
  <c r="Z54" i="1"/>
  <c r="AA53" i="1"/>
  <c r="AB53" i="1" s="1"/>
  <c r="AC50" i="1"/>
  <c r="AB59" i="1"/>
  <c r="AA42" i="1"/>
  <c r="AC22" i="1"/>
  <c r="AF36" i="1"/>
  <c r="AD38" i="1"/>
  <c r="Y58" i="1" l="1"/>
  <c r="Z61" i="1"/>
  <c r="Y54" i="1"/>
  <c r="AB54" i="1" s="1"/>
  <c r="Z51" i="1"/>
  <c r="AA60" i="1"/>
  <c r="AC59" i="1"/>
  <c r="AA51" i="1"/>
  <c r="AC53" i="1"/>
  <c r="AE38" i="1"/>
  <c r="Y68" i="1" l="1"/>
  <c r="Z72" i="1"/>
  <c r="AB51" i="1"/>
  <c r="AA58" i="1"/>
  <c r="AC54" i="1"/>
  <c r="AB60" i="1"/>
  <c r="AA43" i="1"/>
  <c r="AE44" i="1"/>
  <c r="AF38" i="1"/>
  <c r="AB20" i="1"/>
  <c r="AE20" i="1" s="1"/>
  <c r="AJ47" i="1" l="1"/>
  <c r="AI63" i="1"/>
  <c r="Y61" i="1"/>
  <c r="Z55" i="1"/>
  <c r="Y55" i="1"/>
  <c r="Z52" i="1"/>
  <c r="AC60" i="1"/>
  <c r="AA61" i="1"/>
  <c r="AA52" i="1"/>
  <c r="AC51" i="1"/>
  <c r="AB58" i="1"/>
  <c r="AC42" i="1"/>
  <c r="AE43" i="1"/>
  <c r="AO38" i="1"/>
  <c r="AD22" i="1"/>
  <c r="AE22" i="1" s="1"/>
  <c r="AC43" i="1" s="1"/>
  <c r="AF20" i="1"/>
  <c r="Y72" i="1" l="1"/>
  <c r="Z68" i="1"/>
  <c r="AA57" i="1"/>
  <c r="AB61" i="1"/>
  <c r="AA71" i="1" s="1"/>
  <c r="AC58" i="1"/>
  <c r="AB52" i="1"/>
  <c r="AA69" i="1" s="1"/>
  <c r="AE19" i="1"/>
  <c r="AA44" i="1"/>
  <c r="AF22" i="1"/>
  <c r="AE42" i="1"/>
  <c r="AM35" i="1"/>
  <c r="AN36" i="1"/>
  <c r="AL20" i="1"/>
  <c r="AO20" i="1" s="1"/>
  <c r="AP38" i="1"/>
  <c r="AJ65" i="1" l="1"/>
  <c r="AI49" i="1"/>
  <c r="Z57" i="1"/>
  <c r="Y57" i="1"/>
  <c r="Z56" i="1"/>
  <c r="AC61" i="1"/>
  <c r="Y56" i="1"/>
  <c r="AC52" i="1"/>
  <c r="AM23" i="1"/>
  <c r="AL24" i="1"/>
  <c r="AN22" i="1"/>
  <c r="AO22" i="1" s="1"/>
  <c r="AP20" i="1"/>
  <c r="AB57" i="1" l="1"/>
  <c r="AC57" i="1" s="1"/>
  <c r="AM36" i="1"/>
  <c r="AO36" i="1" s="1"/>
  <c r="AL26" i="1"/>
  <c r="AN21" i="1"/>
  <c r="AO21" i="1" s="1"/>
  <c r="AP22" i="1"/>
  <c r="AA55" i="1" l="1"/>
  <c r="AB55" i="1" s="1"/>
  <c r="Y71" i="1"/>
  <c r="Z69" i="1"/>
  <c r="AK44" i="1"/>
  <c r="AL32" i="1"/>
  <c r="AM33" i="1"/>
  <c r="AN37" i="1"/>
  <c r="AM32" i="1"/>
  <c r="AP36" i="1"/>
  <c r="AP21" i="1"/>
  <c r="AL35" i="1"/>
  <c r="AO35" i="1" s="1"/>
  <c r="AJ64" i="1" l="1"/>
  <c r="AI48" i="1"/>
  <c r="Y69" i="1"/>
  <c r="Z71" i="1"/>
  <c r="AA56" i="1"/>
  <c r="AB56" i="1" s="1"/>
  <c r="AA70" i="1" s="1"/>
  <c r="AC55" i="1"/>
  <c r="AL25" i="1"/>
  <c r="AM31" i="1"/>
  <c r="AP35" i="1"/>
  <c r="AN32" i="1"/>
  <c r="AJ48" i="1" l="1"/>
  <c r="AI64" i="1"/>
  <c r="Y70" i="1"/>
  <c r="Z70" i="1"/>
  <c r="AB46" i="1"/>
  <c r="AC56" i="1"/>
  <c r="AJ49" i="1" l="1"/>
  <c r="AI65" i="1"/>
  <c r="AL65" i="1" s="1"/>
  <c r="AK63" i="1" l="1"/>
  <c r="AJ62" i="1"/>
  <c r="AI47" i="1"/>
  <c r="AL47" i="1" s="1"/>
  <c r="AK49" i="1" s="1"/>
  <c r="AM65" i="1"/>
  <c r="AI51" i="1" l="1"/>
  <c r="AJ50" i="1"/>
  <c r="AM47" i="1"/>
  <c r="AL49" i="1" l="1"/>
  <c r="AK48" i="1" s="1"/>
  <c r="AI53" i="1" l="1"/>
  <c r="AJ63" i="1"/>
  <c r="AL63" i="1" s="1"/>
  <c r="AK64" i="1" s="1"/>
  <c r="AM49" i="1"/>
  <c r="AL48" i="1" l="1"/>
  <c r="AI59" i="1"/>
  <c r="AM63" i="1"/>
  <c r="AJ60" i="1"/>
  <c r="AL64" i="1" l="1"/>
  <c r="AJ59" i="1"/>
  <c r="AI62" i="1"/>
  <c r="AL62" i="1" s="1"/>
  <c r="AK68" i="1"/>
  <c r="AM48" i="1"/>
  <c r="AI52" i="1" l="1"/>
  <c r="AK59" i="1"/>
  <c r="AL59" i="1" s="1"/>
  <c r="AM62" i="1"/>
  <c r="AJ58" i="1"/>
  <c r="AJ53" i="1"/>
  <c r="AI50" i="1"/>
  <c r="AL50" i="1" s="1"/>
  <c r="AK53" i="1" s="1"/>
  <c r="AK72" i="1"/>
  <c r="AM64" i="1"/>
  <c r="AK60" i="1" l="1"/>
  <c r="AI54" i="1"/>
  <c r="AJ51" i="1"/>
  <c r="AI60" i="1"/>
  <c r="AM50" i="1"/>
  <c r="AJ54" i="1"/>
  <c r="AM59" i="1"/>
  <c r="AL60" i="1" l="1"/>
  <c r="AM60" i="1" s="1"/>
  <c r="AL53" i="1"/>
  <c r="AK51" i="1" s="1"/>
  <c r="AL54" i="1"/>
  <c r="AK58" i="1" s="1"/>
  <c r="AI55" i="1" l="1"/>
  <c r="AJ52" i="1"/>
  <c r="AK61" i="1"/>
  <c r="AM54" i="1"/>
  <c r="AI68" i="1"/>
  <c r="AJ72" i="1"/>
  <c r="AI58" i="1"/>
  <c r="AL58" i="1" s="1"/>
  <c r="AK57" i="1" s="1"/>
  <c r="AJ61" i="1"/>
  <c r="AM53" i="1"/>
  <c r="AT47" i="1" l="1"/>
  <c r="AS63" i="1"/>
  <c r="AJ68" i="1"/>
  <c r="AL51" i="1"/>
  <c r="AK52" i="1" s="1"/>
  <c r="AI72" i="1"/>
  <c r="AM58" i="1"/>
  <c r="AS49" i="1" l="1"/>
  <c r="AT65" i="1"/>
  <c r="AI61" i="1"/>
  <c r="AL61" i="1" s="1"/>
  <c r="AJ55" i="1"/>
  <c r="AM51" i="1"/>
  <c r="AI56" i="1" l="1"/>
  <c r="AL52" i="1"/>
  <c r="AJ57" i="1"/>
  <c r="AK71" i="1"/>
  <c r="AM61" i="1"/>
  <c r="AJ56" i="1" l="1"/>
  <c r="AI57" i="1"/>
  <c r="AL57" i="1" s="1"/>
  <c r="AK69" i="1"/>
  <c r="AM52" i="1"/>
  <c r="AI71" i="1" l="1"/>
  <c r="AK55" i="1"/>
  <c r="AM57" i="1"/>
  <c r="AJ69" i="1"/>
  <c r="AT64" i="1" l="1"/>
  <c r="AS48" i="1"/>
  <c r="AL55" i="1"/>
  <c r="AK56" i="1" s="1"/>
  <c r="AJ71" i="1" l="1"/>
  <c r="AI69" i="1"/>
  <c r="AM55" i="1"/>
  <c r="AS64" i="1" l="1"/>
  <c r="AT48" i="1"/>
  <c r="AL56" i="1"/>
  <c r="AL46" i="1" s="1"/>
  <c r="AI70" i="1" l="1"/>
  <c r="AJ70" i="1"/>
  <c r="AK70" i="1"/>
  <c r="AM56" i="1"/>
  <c r="AT49" i="1" l="1"/>
  <c r="AS65" i="1"/>
  <c r="AV65" i="1" s="1"/>
  <c r="AU63" i="1" l="1"/>
  <c r="AT62" i="1"/>
  <c r="AS47" i="1"/>
  <c r="AV47" i="1" s="1"/>
  <c r="AU49" i="1" s="1"/>
  <c r="AW65" i="1"/>
  <c r="AS51" i="1" l="1"/>
  <c r="AT50" i="1"/>
  <c r="AW47" i="1"/>
  <c r="AV49" i="1" l="1"/>
  <c r="AU48" i="1" s="1"/>
  <c r="AT63" i="1" l="1"/>
  <c r="AV63" i="1" s="1"/>
  <c r="AU64" i="1" s="1"/>
  <c r="AS53" i="1"/>
  <c r="AW49" i="1"/>
  <c r="AV48" i="1" l="1"/>
  <c r="AS59" i="1"/>
  <c r="AW63" i="1"/>
  <c r="AT60" i="1"/>
  <c r="AV64" i="1" l="1"/>
  <c r="AT59" i="1"/>
  <c r="AS62" i="1"/>
  <c r="AV62" i="1" s="1"/>
  <c r="AU68" i="1"/>
  <c r="AW48" i="1"/>
  <c r="AS52" i="1" l="1"/>
  <c r="AU59" i="1"/>
  <c r="AW62" i="1"/>
  <c r="AT58" i="1"/>
  <c r="AT53" i="1"/>
  <c r="AS50" i="1"/>
  <c r="AV50" i="1" s="1"/>
  <c r="AU53" i="1" s="1"/>
  <c r="AU72" i="1"/>
  <c r="AW64" i="1"/>
  <c r="AS60" i="1" l="1"/>
  <c r="AW50" i="1"/>
  <c r="AT54" i="1"/>
  <c r="AV59" i="1"/>
  <c r="AU60" i="1" l="1"/>
  <c r="AV60" i="1" s="1"/>
  <c r="AU61" i="1" s="1"/>
  <c r="AS54" i="1"/>
  <c r="AV54" i="1" s="1"/>
  <c r="AU58" i="1" s="1"/>
  <c r="AT51" i="1"/>
  <c r="AW59" i="1"/>
  <c r="AV53" i="1"/>
  <c r="AU51" i="1" s="1"/>
  <c r="AT52" i="1" l="1"/>
  <c r="AS55" i="1"/>
  <c r="AS58" i="1"/>
  <c r="AT61" i="1"/>
  <c r="AW53" i="1"/>
  <c r="AW60" i="1"/>
  <c r="AW54" i="1"/>
  <c r="AS68" i="1"/>
  <c r="AT72" i="1"/>
  <c r="BD47" i="1" l="1"/>
  <c r="BC63" i="1"/>
  <c r="AV58" i="1"/>
  <c r="AV51" i="1"/>
  <c r="AU52" i="1" s="1"/>
  <c r="AW58" i="1" l="1"/>
  <c r="AU57" i="1"/>
  <c r="AS61" i="1"/>
  <c r="AV61" i="1" s="1"/>
  <c r="AT55" i="1"/>
  <c r="AW51" i="1"/>
  <c r="AT68" i="1"/>
  <c r="AS72" i="1"/>
  <c r="BC49" i="1" l="1"/>
  <c r="BD65" i="1"/>
  <c r="AV52" i="1"/>
  <c r="AT57" i="1"/>
  <c r="AU71" i="1"/>
  <c r="AW61" i="1"/>
  <c r="AS56" i="1"/>
  <c r="AT56" i="1" l="1"/>
  <c r="AS57" i="1"/>
  <c r="AV57" i="1" s="1"/>
  <c r="AU69" i="1"/>
  <c r="AW52" i="1"/>
  <c r="AS71" i="1" l="1"/>
  <c r="BC48" i="1" s="1"/>
  <c r="AU55" i="1"/>
  <c r="AW57" i="1"/>
  <c r="AT69" i="1"/>
  <c r="BD64" i="1" l="1"/>
  <c r="AV55" i="1"/>
  <c r="AU56" i="1" s="1"/>
  <c r="AS69" i="1" l="1"/>
  <c r="AT71" i="1"/>
  <c r="AW55" i="1"/>
  <c r="BD48" i="1" l="1"/>
  <c r="BC64" i="1"/>
  <c r="AV56" i="1"/>
  <c r="AV46" i="1" s="1"/>
  <c r="AS70" i="1" l="1"/>
  <c r="AT70" i="1"/>
  <c r="AU70" i="1"/>
  <c r="AW56" i="1"/>
  <c r="BD49" i="1" l="1"/>
  <c r="BC65" i="1"/>
  <c r="BF65" i="1" s="1"/>
  <c r="BE63" i="1" l="1"/>
  <c r="BD62" i="1"/>
  <c r="BC47" i="1"/>
  <c r="BF47" i="1" s="1"/>
  <c r="BE49" i="1" s="1"/>
  <c r="BG65" i="1"/>
  <c r="BC51" i="1" l="1"/>
  <c r="BD50" i="1"/>
  <c r="BG47" i="1"/>
  <c r="BF49" i="1" l="1"/>
  <c r="BE48" i="1" s="1"/>
  <c r="BD63" i="1" l="1"/>
  <c r="BF63" i="1" s="1"/>
  <c r="BE64" i="1" s="1"/>
  <c r="BC53" i="1"/>
  <c r="BG49" i="1"/>
  <c r="BF48" i="1" l="1"/>
  <c r="BC59" i="1"/>
  <c r="BG63" i="1"/>
  <c r="BD60" i="1"/>
  <c r="BF64" i="1" l="1"/>
  <c r="BG64" i="1" s="1"/>
  <c r="BD59" i="1"/>
  <c r="BC62" i="1"/>
  <c r="BF62" i="1" s="1"/>
  <c r="BE68" i="1"/>
  <c r="BG48" i="1"/>
  <c r="BC52" i="1" l="1"/>
  <c r="BE59" i="1"/>
  <c r="BF59" i="1" s="1"/>
  <c r="BG62" i="1"/>
  <c r="BD58" i="1"/>
  <c r="BD53" i="1"/>
  <c r="BC50" i="1"/>
  <c r="BF50" i="1" s="1"/>
  <c r="BE53" i="1" s="1"/>
  <c r="BE72" i="1"/>
  <c r="BE60" i="1" l="1"/>
  <c r="BC60" i="1"/>
  <c r="BG50" i="1"/>
  <c r="BD54" i="1"/>
  <c r="BC54" i="1"/>
  <c r="BD51" i="1"/>
  <c r="BG59" i="1"/>
  <c r="BF60" i="1" l="1"/>
  <c r="BE61" i="1" s="1"/>
  <c r="BF54" i="1"/>
  <c r="BE58" i="1" s="1"/>
  <c r="BF53" i="1"/>
  <c r="BE51" i="1" s="1"/>
  <c r="BC58" i="1" l="1"/>
  <c r="BD61" i="1"/>
  <c r="BG53" i="1"/>
  <c r="BD52" i="1"/>
  <c r="BC55" i="1"/>
  <c r="BG54" i="1"/>
  <c r="BC68" i="1"/>
  <c r="BD72" i="1"/>
  <c r="BG60" i="1"/>
  <c r="BM63" i="1" l="1"/>
  <c r="BN47" i="1"/>
  <c r="BF51" i="1"/>
  <c r="BE52" i="1" s="1"/>
  <c r="BF58" i="1"/>
  <c r="BE57" i="1" s="1"/>
  <c r="BD68" i="1" l="1"/>
  <c r="BC72" i="1"/>
  <c r="BG58" i="1"/>
  <c r="BC61" i="1"/>
  <c r="BF61" i="1" s="1"/>
  <c r="BD55" i="1"/>
  <c r="BG51" i="1"/>
  <c r="BM49" i="1" l="1"/>
  <c r="BN65" i="1"/>
  <c r="BF52" i="1"/>
  <c r="BD57" i="1"/>
  <c r="BE71" i="1"/>
  <c r="BG61" i="1"/>
  <c r="BC56" i="1"/>
  <c r="BD56" i="1" l="1"/>
  <c r="BC57" i="1"/>
  <c r="BF57" i="1" s="1"/>
  <c r="BE69" i="1"/>
  <c r="BG52" i="1"/>
  <c r="BC71" i="1" l="1"/>
  <c r="BM48" i="1" s="1"/>
  <c r="BE55" i="1"/>
  <c r="BD69" i="1"/>
  <c r="BG57" i="1"/>
  <c r="BN64" i="1" l="1"/>
  <c r="BF55" i="1"/>
  <c r="BE56" i="1" s="1"/>
  <c r="BD71" i="1" l="1"/>
  <c r="BC69" i="1"/>
  <c r="BG55" i="1"/>
  <c r="BM64" i="1" l="1"/>
  <c r="BN48" i="1"/>
  <c r="BF56" i="1"/>
  <c r="BF46" i="1" s="1"/>
  <c r="BC70" i="1" l="1"/>
  <c r="BD70" i="1"/>
  <c r="BE70" i="1"/>
  <c r="BG56" i="1"/>
  <c r="BN49" i="1" l="1"/>
  <c r="BM65" i="1"/>
  <c r="BP65" i="1" s="1"/>
  <c r="BO63" i="1" l="1"/>
  <c r="BN62" i="1"/>
  <c r="BM47" i="1"/>
  <c r="BP47" i="1" s="1"/>
  <c r="BO49" i="1" s="1"/>
  <c r="BQ65" i="1"/>
  <c r="BM51" i="1" l="1"/>
  <c r="BN50" i="1"/>
  <c r="BQ47" i="1"/>
  <c r="BP49" i="1" l="1"/>
  <c r="BO48" i="1" s="1"/>
  <c r="BN63" i="1" l="1"/>
  <c r="BP63" i="1" s="1"/>
  <c r="BO64" i="1" s="1"/>
  <c r="BM53" i="1"/>
  <c r="BQ49" i="1"/>
  <c r="BP48" i="1" l="1"/>
  <c r="BM59" i="1"/>
  <c r="BQ63" i="1"/>
  <c r="BN60" i="1"/>
  <c r="BP64" i="1" l="1"/>
  <c r="BN59" i="1"/>
  <c r="BM62" i="1"/>
  <c r="BP62" i="1" s="1"/>
  <c r="BO59" i="1" s="1"/>
  <c r="BO68" i="1"/>
  <c r="BQ48" i="1"/>
  <c r="BQ62" i="1" l="1"/>
  <c r="BN58" i="1"/>
  <c r="BM52" i="1"/>
  <c r="BN53" i="1"/>
  <c r="BM50" i="1"/>
  <c r="BP50" i="1" s="1"/>
  <c r="BO53" i="1" s="1"/>
  <c r="BO72" i="1"/>
  <c r="BQ64" i="1"/>
  <c r="BM60" i="1" l="1"/>
  <c r="BQ50" i="1"/>
  <c r="BN54" i="1"/>
  <c r="BP59" i="1"/>
  <c r="BO60" i="1" l="1"/>
  <c r="BP60" i="1" s="1"/>
  <c r="BO61" i="1" s="1"/>
  <c r="BM54" i="1"/>
  <c r="BP54" i="1" s="1"/>
  <c r="BO58" i="1" s="1"/>
  <c r="BN51" i="1"/>
  <c r="BQ59" i="1"/>
  <c r="BP53" i="1"/>
  <c r="BO51" i="1" s="1"/>
  <c r="BN52" i="1" l="1"/>
  <c r="BM55" i="1"/>
  <c r="BM58" i="1"/>
  <c r="BN61" i="1"/>
  <c r="BP51" i="1"/>
  <c r="BO52" i="1" s="1"/>
  <c r="BQ54" i="1"/>
  <c r="BM68" i="1"/>
  <c r="BN72" i="1"/>
  <c r="BQ60" i="1"/>
  <c r="BQ53" i="1"/>
  <c r="BX47" i="1" l="1"/>
  <c r="BW63" i="1"/>
  <c r="BM61" i="1"/>
  <c r="BP61" i="1" s="1"/>
  <c r="BQ61" i="1" s="1"/>
  <c r="BN55" i="1"/>
  <c r="BQ51" i="1"/>
  <c r="BP58" i="1"/>
  <c r="BO57" i="1" s="1"/>
  <c r="BP52" i="1" l="1"/>
  <c r="BN68" i="1"/>
  <c r="BM72" i="1"/>
  <c r="BQ58" i="1"/>
  <c r="BN57" i="1"/>
  <c r="BO71" i="1"/>
  <c r="BM56" i="1"/>
  <c r="BW49" i="1" l="1"/>
  <c r="BX65" i="1"/>
  <c r="BN56" i="1"/>
  <c r="BM57" i="1"/>
  <c r="BP57" i="1" s="1"/>
  <c r="BO69" i="1"/>
  <c r="BQ52" i="1"/>
  <c r="BM71" i="1" l="1"/>
  <c r="BW48" i="1" s="1"/>
  <c r="BO55" i="1"/>
  <c r="BN69" i="1"/>
  <c r="BQ57" i="1"/>
  <c r="BX64" i="1" l="1"/>
  <c r="BP55" i="1"/>
  <c r="BO56" i="1" s="1"/>
  <c r="BM69" i="1" l="1"/>
  <c r="BN71" i="1"/>
  <c r="BQ55" i="1"/>
  <c r="BW64" i="1" l="1"/>
  <c r="BX48" i="1"/>
  <c r="BP56" i="1"/>
  <c r="BP46" i="1" s="1"/>
  <c r="BM70" i="1" l="1"/>
  <c r="BN70" i="1"/>
  <c r="BO70" i="1"/>
  <c r="BQ56" i="1"/>
  <c r="BX49" i="1" l="1"/>
  <c r="BW65" i="1"/>
  <c r="BZ65" i="1" s="1"/>
  <c r="BY63" i="1" l="1"/>
  <c r="BX62" i="1"/>
  <c r="BW47" i="1"/>
  <c r="BZ47" i="1" s="1"/>
  <c r="BY49" i="1" s="1"/>
  <c r="CA65" i="1"/>
  <c r="BW51" i="1" l="1"/>
  <c r="BX50" i="1"/>
  <c r="CA47" i="1"/>
  <c r="BZ49" i="1" l="1"/>
  <c r="BY48" i="1" s="1"/>
  <c r="BX63" i="1" l="1"/>
  <c r="BZ63" i="1" s="1"/>
  <c r="BY64" i="1" s="1"/>
  <c r="BW53" i="1"/>
  <c r="CA49" i="1"/>
  <c r="BZ48" i="1" l="1"/>
  <c r="BW59" i="1"/>
  <c r="CA63" i="1"/>
  <c r="BX60" i="1"/>
  <c r="BZ64" i="1" l="1"/>
  <c r="BX59" i="1"/>
  <c r="BW62" i="1"/>
  <c r="BZ62" i="1" s="1"/>
  <c r="BY68" i="1"/>
  <c r="CA48" i="1"/>
  <c r="BW52" i="1" l="1"/>
  <c r="BY59" i="1"/>
  <c r="CA62" i="1"/>
  <c r="BX58" i="1"/>
  <c r="BX53" i="1"/>
  <c r="BW50" i="1"/>
  <c r="BZ50" i="1" s="1"/>
  <c r="BY53" i="1" s="1"/>
  <c r="BY72" i="1"/>
  <c r="CA64" i="1"/>
  <c r="BW60" i="1" l="1"/>
  <c r="CA50" i="1"/>
  <c r="BX54" i="1"/>
  <c r="BZ59" i="1"/>
  <c r="BY60" i="1" l="1"/>
  <c r="BZ60" i="1" s="1"/>
  <c r="BY61" i="1" s="1"/>
  <c r="BW54" i="1"/>
  <c r="BZ54" i="1" s="1"/>
  <c r="BY58" i="1" s="1"/>
  <c r="BX51" i="1"/>
  <c r="CA59" i="1"/>
  <c r="BZ53" i="1"/>
  <c r="BY51" i="1" s="1"/>
  <c r="BW58" i="1" l="1"/>
  <c r="BX61" i="1"/>
  <c r="BZ51" i="1"/>
  <c r="BY52" i="1" s="1"/>
  <c r="BX52" i="1"/>
  <c r="BW55" i="1"/>
  <c r="CA54" i="1"/>
  <c r="BW68" i="1"/>
  <c r="BX72" i="1"/>
  <c r="CA60" i="1"/>
  <c r="CA53" i="1"/>
  <c r="CG63" i="1" l="1"/>
  <c r="CH47" i="1"/>
  <c r="BW61" i="1"/>
  <c r="BZ61" i="1" s="1"/>
  <c r="CA61" i="1" s="1"/>
  <c r="BX55" i="1"/>
  <c r="BZ52" i="1"/>
  <c r="BZ58" i="1"/>
  <c r="BY57" i="1" s="1"/>
  <c r="CA51" i="1"/>
  <c r="BX68" i="1" l="1"/>
  <c r="BW72" i="1"/>
  <c r="BX56" i="1"/>
  <c r="BW57" i="1"/>
  <c r="CA58" i="1"/>
  <c r="BY69" i="1"/>
  <c r="CA52" i="1"/>
  <c r="BX57" i="1"/>
  <c r="BY71" i="1"/>
  <c r="BW56" i="1"/>
  <c r="CG49" i="1" l="1"/>
  <c r="CH65" i="1"/>
  <c r="BZ57" i="1"/>
  <c r="CA57" i="1" l="1"/>
  <c r="BY55" i="1"/>
  <c r="BW71" i="1"/>
  <c r="BX69" i="1"/>
  <c r="CH64" i="1" l="1"/>
  <c r="CG48" i="1"/>
  <c r="BZ55" i="1"/>
  <c r="BY56" i="1" s="1"/>
  <c r="BW69" i="1" l="1"/>
  <c r="BX71" i="1"/>
  <c r="CA55" i="1"/>
  <c r="CG64" i="1" l="1"/>
  <c r="CH48" i="1"/>
  <c r="BZ56" i="1"/>
  <c r="BZ46" i="1" s="1"/>
  <c r="BW70" i="1" l="1"/>
  <c r="BX70" i="1"/>
  <c r="BY70" i="1"/>
  <c r="CA56" i="1"/>
  <c r="CH49" i="1" l="1"/>
  <c r="CG65" i="1"/>
  <c r="CJ65" i="1" s="1"/>
  <c r="CI63" i="1" l="1"/>
  <c r="CH62" i="1"/>
  <c r="CG47" i="1"/>
  <c r="CJ47" i="1" s="1"/>
  <c r="CI49" i="1" s="1"/>
  <c r="CK65" i="1"/>
  <c r="CG51" i="1" l="1"/>
  <c r="CH50" i="1"/>
  <c r="CK47" i="1"/>
  <c r="CJ49" i="1" l="1"/>
  <c r="CK49" i="1" l="1"/>
  <c r="CI48" i="1"/>
  <c r="CG53" i="1"/>
  <c r="CH63" i="1"/>
  <c r="CJ63" i="1" s="1"/>
  <c r="CI64" i="1" s="1"/>
  <c r="CG59" i="1" l="1"/>
  <c r="CK63" i="1"/>
  <c r="CJ48" i="1"/>
  <c r="CH60" i="1"/>
  <c r="CH59" i="1" l="1"/>
  <c r="CG62" i="1"/>
  <c r="CJ62" i="1" s="1"/>
  <c r="CI68" i="1"/>
  <c r="CK48" i="1"/>
  <c r="CJ64" i="1"/>
  <c r="CK64" i="1" s="1"/>
  <c r="CG52" i="1" l="1"/>
  <c r="CI59" i="1"/>
  <c r="CH53" i="1"/>
  <c r="CG50" i="1"/>
  <c r="CJ50" i="1" s="1"/>
  <c r="CI53" i="1" s="1"/>
  <c r="CI72" i="1"/>
  <c r="CK62" i="1"/>
  <c r="CH58" i="1"/>
  <c r="CJ59" i="1" l="1"/>
  <c r="CG60" i="1"/>
  <c r="CJ53" i="1"/>
  <c r="CI51" i="1" s="1"/>
  <c r="CK50" i="1"/>
  <c r="CH54" i="1"/>
  <c r="CI60" i="1" l="1"/>
  <c r="CK53" i="1"/>
  <c r="CG58" i="1"/>
  <c r="CH61" i="1"/>
  <c r="CG54" i="1"/>
  <c r="CJ54" i="1" s="1"/>
  <c r="CI58" i="1" s="1"/>
  <c r="CH51" i="1"/>
  <c r="CJ51" i="1" s="1"/>
  <c r="CI52" i="1" s="1"/>
  <c r="CK59" i="1"/>
  <c r="CG61" i="1" l="1"/>
  <c r="CH55" i="1"/>
  <c r="CJ58" i="1"/>
  <c r="CI57" i="1" s="1"/>
  <c r="CK54" i="1"/>
  <c r="CG68" i="1"/>
  <c r="CH72" i="1"/>
  <c r="CJ60" i="1"/>
  <c r="CK51" i="1"/>
  <c r="CR47" i="1" l="1"/>
  <c r="CQ63" i="1"/>
  <c r="CK60" i="1"/>
  <c r="CI61" i="1"/>
  <c r="CJ61" i="1" s="1"/>
  <c r="CH68" i="1"/>
  <c r="CG72" i="1"/>
  <c r="CK58" i="1"/>
  <c r="CH52" i="1"/>
  <c r="CJ52" i="1" s="1"/>
  <c r="CG55" i="1"/>
  <c r="CR65" i="1" l="1"/>
  <c r="CQ49" i="1"/>
  <c r="CH57" i="1"/>
  <c r="CG56" i="1"/>
  <c r="CI71" i="1"/>
  <c r="CH56" i="1"/>
  <c r="CG57" i="1"/>
  <c r="CI69" i="1"/>
  <c r="CK52" i="1"/>
  <c r="CK61" i="1"/>
  <c r="CJ57" i="1" l="1"/>
  <c r="CI55" i="1" l="1"/>
  <c r="CJ55" i="1" s="1"/>
  <c r="CI56" i="1" s="1"/>
  <c r="CH69" i="1"/>
  <c r="CG71" i="1"/>
  <c r="CK57" i="1"/>
  <c r="CQ48" i="1" l="1"/>
  <c r="CR64" i="1"/>
  <c r="CJ56" i="1"/>
  <c r="CG70" i="1" s="1"/>
  <c r="CH71" i="1"/>
  <c r="CG69" i="1"/>
  <c r="CK55" i="1"/>
  <c r="CQ65" i="1" l="1"/>
  <c r="CT65" i="1" s="1"/>
  <c r="CQ64" i="1"/>
  <c r="CR48" i="1"/>
  <c r="CH70" i="1"/>
  <c r="CI70" i="1"/>
  <c r="CK56" i="1"/>
  <c r="CJ46" i="1"/>
  <c r="CS63" i="1" l="1"/>
  <c r="CR49" i="1"/>
  <c r="CR62" i="1"/>
  <c r="CQ47" i="1"/>
  <c r="CT47" i="1" s="1"/>
  <c r="CS49" i="1" s="1"/>
  <c r="CU65" i="1"/>
  <c r="CT49" i="1" l="1"/>
  <c r="CS48" i="1" s="1"/>
  <c r="CQ51" i="1"/>
  <c r="CR50" i="1"/>
  <c r="CU47" i="1"/>
  <c r="CQ53" i="1" l="1"/>
  <c r="CR63" i="1"/>
  <c r="CT63" i="1" s="1"/>
  <c r="CU49" i="1"/>
  <c r="CR60" i="1" l="1"/>
  <c r="CS64" i="1"/>
  <c r="CT48" i="1"/>
  <c r="CQ59" i="1"/>
  <c r="CU63" i="1"/>
  <c r="CT64" i="1" l="1"/>
  <c r="CR59" i="1"/>
  <c r="CQ62" i="1"/>
  <c r="CT62" i="1" s="1"/>
  <c r="CS68" i="1"/>
  <c r="CU48" i="1"/>
  <c r="CQ52" i="1" l="1"/>
  <c r="CS59" i="1"/>
  <c r="CU62" i="1"/>
  <c r="CR58" i="1"/>
  <c r="CR53" i="1"/>
  <c r="CQ50" i="1"/>
  <c r="CT50" i="1" s="1"/>
  <c r="CS53" i="1" s="1"/>
  <c r="CS72" i="1"/>
  <c r="CU64" i="1"/>
  <c r="CQ60" i="1" l="1"/>
  <c r="CT53" i="1"/>
  <c r="CS51" i="1" s="1"/>
  <c r="CU50" i="1"/>
  <c r="CR54" i="1"/>
  <c r="CT59" i="1"/>
  <c r="CS60" i="1" l="1"/>
  <c r="CT60" i="1" s="1"/>
  <c r="CS61" i="1" s="1"/>
  <c r="CQ54" i="1"/>
  <c r="CT54" i="1" s="1"/>
  <c r="CS58" i="1" s="1"/>
  <c r="CR51" i="1"/>
  <c r="CU59" i="1"/>
  <c r="CQ58" i="1"/>
  <c r="CR61" i="1"/>
  <c r="CU53" i="1"/>
  <c r="CR52" i="1" l="1"/>
  <c r="CQ55" i="1"/>
  <c r="CT51" i="1"/>
  <c r="CS52" i="1" s="1"/>
  <c r="CU60" i="1"/>
  <c r="CU54" i="1"/>
  <c r="CQ68" i="1"/>
  <c r="CR72" i="1"/>
  <c r="DB47" i="1" l="1"/>
  <c r="DA63" i="1"/>
  <c r="CQ61" i="1"/>
  <c r="CT61" i="1" s="1"/>
  <c r="CR55" i="1"/>
  <c r="CT58" i="1"/>
  <c r="CS57" i="1" s="1"/>
  <c r="CU51" i="1"/>
  <c r="CT52" i="1" l="1"/>
  <c r="CU52" i="1" s="1"/>
  <c r="CR68" i="1"/>
  <c r="CQ72" i="1"/>
  <c r="CR57" i="1"/>
  <c r="CS71" i="1"/>
  <c r="CQ56" i="1"/>
  <c r="CU58" i="1"/>
  <c r="CU61" i="1"/>
  <c r="DA49" i="1" l="1"/>
  <c r="DB65" i="1"/>
  <c r="CR56" i="1"/>
  <c r="CQ57" i="1"/>
  <c r="CT57" i="1" s="1"/>
  <c r="CS55" i="1" s="1"/>
  <c r="CS69" i="1"/>
  <c r="CR69" i="1" l="1"/>
  <c r="CU57" i="1"/>
  <c r="CQ71" i="1"/>
  <c r="DA48" i="1" l="1"/>
  <c r="DB64" i="1"/>
  <c r="CT55" i="1"/>
  <c r="CS56" i="1" s="1"/>
  <c r="CQ69" i="1" l="1"/>
  <c r="CR71" i="1"/>
  <c r="CU55" i="1"/>
  <c r="DA64" i="1" l="1"/>
  <c r="DB48" i="1"/>
  <c r="CT56" i="1"/>
  <c r="CU56" i="1" l="1"/>
  <c r="CT46" i="1"/>
  <c r="CQ70" i="1"/>
  <c r="CR70" i="1"/>
  <c r="CS70" i="1"/>
  <c r="DB49" i="1" l="1"/>
  <c r="DA65" i="1"/>
  <c r="DD65" i="1" s="1"/>
  <c r="DC63" i="1" l="1"/>
  <c r="DB62" i="1"/>
  <c r="DA47" i="1"/>
  <c r="DD47" i="1" s="1"/>
  <c r="DC49" i="1" s="1"/>
  <c r="DE65" i="1"/>
  <c r="DA51" i="1" l="1"/>
  <c r="DB50" i="1"/>
  <c r="DE47" i="1"/>
  <c r="DD49" i="1" l="1"/>
  <c r="DC48" i="1" s="1"/>
  <c r="DA53" i="1" l="1"/>
  <c r="DB63" i="1"/>
  <c r="DD63" i="1" s="1"/>
  <c r="DC64" i="1" s="1"/>
  <c r="DE49" i="1"/>
  <c r="DA59" i="1" l="1"/>
  <c r="DE63" i="1"/>
  <c r="DD48" i="1"/>
  <c r="DB60" i="1"/>
  <c r="DB59" i="1" l="1"/>
  <c r="DA62" i="1"/>
  <c r="DD62" i="1" s="1"/>
  <c r="DC68" i="1"/>
  <c r="DE48" i="1"/>
  <c r="DD64" i="1"/>
  <c r="DE64" i="1" s="1"/>
  <c r="DA52" i="1" l="1"/>
  <c r="DC59" i="1"/>
  <c r="DE62" i="1"/>
  <c r="DB58" i="1"/>
  <c r="DB53" i="1"/>
  <c r="DA50" i="1"/>
  <c r="DD50" i="1" s="1"/>
  <c r="DC53" i="1" s="1"/>
  <c r="DC72" i="1"/>
  <c r="DD59" i="1" l="1"/>
  <c r="DA60" i="1"/>
  <c r="DE50" i="1"/>
  <c r="DB54" i="1"/>
  <c r="DC60" i="1" l="1"/>
  <c r="DA54" i="1"/>
  <c r="DD54" i="1" s="1"/>
  <c r="DC58" i="1" s="1"/>
  <c r="DB51" i="1"/>
  <c r="DE59" i="1"/>
  <c r="DD53" i="1"/>
  <c r="DE53" i="1" l="1"/>
  <c r="DC51" i="1"/>
  <c r="DD51" i="1" s="1"/>
  <c r="DC52" i="1" s="1"/>
  <c r="DA58" i="1"/>
  <c r="DB61" i="1"/>
  <c r="DE54" i="1"/>
  <c r="DA68" i="1"/>
  <c r="DB72" i="1"/>
  <c r="DD60" i="1"/>
  <c r="DC61" i="1" s="1"/>
  <c r="DA61" i="1" l="1"/>
  <c r="DB55" i="1"/>
  <c r="DB52" i="1"/>
  <c r="DA55" i="1"/>
  <c r="DE60" i="1"/>
  <c r="DE51" i="1"/>
  <c r="DD58" i="1"/>
  <c r="DC57" i="1" s="1"/>
  <c r="DD52" i="1" l="1"/>
  <c r="DC69" i="1" s="1"/>
  <c r="DB68" i="1"/>
  <c r="DA72" i="1"/>
  <c r="DE58" i="1"/>
  <c r="DD61" i="1"/>
  <c r="DA57" i="1" l="1"/>
  <c r="DB56" i="1"/>
  <c r="DE52" i="1"/>
  <c r="DB57" i="1"/>
  <c r="DA56" i="1"/>
  <c r="DC71" i="1"/>
  <c r="DE61" i="1"/>
  <c r="DD57" i="1" l="1"/>
  <c r="DE57" i="1" l="1"/>
  <c r="DC55" i="1"/>
  <c r="DD55" i="1" s="1"/>
  <c r="DC56" i="1" s="1"/>
  <c r="DB69" i="1"/>
  <c r="DA71" i="1"/>
  <c r="DA69" i="1" l="1"/>
  <c r="DB71" i="1"/>
  <c r="DE55" i="1"/>
  <c r="DD56" i="1" l="1"/>
  <c r="DE56" i="1" l="1"/>
  <c r="DD46" i="1"/>
  <c r="DA70" i="1"/>
  <c r="DB70" i="1"/>
  <c r="DB73" i="1" s="1"/>
  <c r="DC70" i="1"/>
  <c r="DC73" i="1" s="1"/>
  <c r="DA73" i="1" l="1"/>
  <c r="AO37" i="1" l="1"/>
  <c r="AO44" i="1" l="1"/>
  <c r="AM26" i="1"/>
  <c r="AP37" i="1"/>
  <c r="AL23" i="1"/>
  <c r="AO23" i="1" s="1"/>
  <c r="AM27" i="1" l="1"/>
  <c r="AL33" i="1"/>
  <c r="AN26" i="1"/>
  <c r="AP23" i="1"/>
  <c r="AO32" i="1" l="1"/>
  <c r="AL27" i="1" l="1"/>
  <c r="AO27" i="1" s="1"/>
  <c r="AM24" i="1"/>
  <c r="AN33" i="1"/>
  <c r="AO33" i="1" s="1"/>
  <c r="AL28" i="1" s="1"/>
  <c r="AP32" i="1"/>
  <c r="AO26" i="1"/>
  <c r="AK42" i="1" l="1"/>
  <c r="AO43" i="1"/>
  <c r="AP27" i="1"/>
  <c r="AN31" i="1"/>
  <c r="AM34" i="1"/>
  <c r="AL31" i="1"/>
  <c r="AP33" i="1"/>
  <c r="AM25" i="1"/>
  <c r="AN34" i="1"/>
  <c r="AP26" i="1"/>
  <c r="AN24" i="1"/>
  <c r="AO24" i="1" s="1"/>
  <c r="AM28" i="1" l="1"/>
  <c r="AO31" i="1"/>
  <c r="AP31" i="1" s="1"/>
  <c r="AN25" i="1"/>
  <c r="AO25" i="1" s="1"/>
  <c r="AP24" i="1"/>
  <c r="AL34" i="1"/>
  <c r="AO34" i="1" s="1"/>
  <c r="AN30" i="1" l="1"/>
  <c r="AM29" i="1"/>
  <c r="AL44" i="1"/>
  <c r="AN44" i="1"/>
  <c r="AK43" i="1"/>
  <c r="AO42" i="1"/>
  <c r="AM30" i="1"/>
  <c r="AP34" i="1"/>
  <c r="AP25" i="1"/>
  <c r="AL30" i="1"/>
  <c r="AL29" i="1"/>
  <c r="AO30" i="1" l="1"/>
  <c r="AP30" i="1" l="1"/>
  <c r="AN42" i="1"/>
  <c r="AL43" i="1"/>
  <c r="AN28" i="1"/>
  <c r="AO28" i="1" s="1"/>
  <c r="AN29" i="1" l="1"/>
  <c r="AO29" i="1" s="1"/>
  <c r="AM44" i="1" s="1"/>
  <c r="AL42" i="1"/>
  <c r="AN43" i="1"/>
  <c r="AP28" i="1"/>
  <c r="AO19" i="1" l="1"/>
  <c r="AP29" i="1"/>
  <c r="AM42" i="1"/>
  <c r="AM4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<sst xmlns="http://schemas.openxmlformats.org/spreadsheetml/2006/main" count="1232" uniqueCount="50">
  <si>
    <t xml:space="preserve">Classes Ø </t>
  </si>
  <si>
    <t>Altura OP</t>
  </si>
  <si>
    <t xml:space="preserve">Altura Bico </t>
  </si>
  <si>
    <t>Altura Spacer</t>
  </si>
  <si>
    <t>Classe A</t>
  </si>
  <si>
    <t>Classe Ø</t>
  </si>
  <si>
    <t>Classe B</t>
  </si>
  <si>
    <t>Classe C</t>
  </si>
  <si>
    <t>A</t>
  </si>
  <si>
    <t>B</t>
  </si>
  <si>
    <t>C</t>
  </si>
  <si>
    <t>D</t>
  </si>
  <si>
    <t>F</t>
  </si>
  <si>
    <t>E</t>
  </si>
  <si>
    <t>G</t>
  </si>
  <si>
    <t>Mercado final</t>
  </si>
  <si>
    <t>Comp</t>
  </si>
  <si>
    <t>Bico</t>
  </si>
  <si>
    <t>Spacer</t>
  </si>
  <si>
    <t>OP</t>
  </si>
  <si>
    <t>Classse 1</t>
  </si>
  <si>
    <t>Classse 2</t>
  </si>
  <si>
    <t>Classe</t>
  </si>
  <si>
    <t>Classse 3</t>
  </si>
  <si>
    <t>Classse 4</t>
  </si>
  <si>
    <t>Classse 5</t>
  </si>
  <si>
    <t>Classse 6</t>
  </si>
  <si>
    <t>Classse 7</t>
  </si>
  <si>
    <t>Classse 8</t>
  </si>
  <si>
    <t>Classse 9</t>
  </si>
  <si>
    <t>Classse 10</t>
  </si>
  <si>
    <t>Estoque</t>
  </si>
  <si>
    <t>BICO</t>
  </si>
  <si>
    <t>SPACER</t>
  </si>
  <si>
    <t>AGULHA</t>
  </si>
  <si>
    <t>Comb</t>
  </si>
  <si>
    <t>Status</t>
  </si>
  <si>
    <t>Quantida Montagens</t>
  </si>
  <si>
    <t>Consumo Estoque</t>
  </si>
  <si>
    <t>Quntidade Produzida</t>
  </si>
  <si>
    <t>Coluna1</t>
  </si>
  <si>
    <t>Coluna2</t>
  </si>
  <si>
    <t>Coluna3</t>
  </si>
  <si>
    <t>Coluna4</t>
  </si>
  <si>
    <t>H</t>
  </si>
  <si>
    <t>I</t>
  </si>
  <si>
    <t>J</t>
  </si>
  <si>
    <t>K</t>
  </si>
  <si>
    <t>L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</si>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</sst>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%"/>
    <numFmt numFmtId="167" formatCode="0.0000%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7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NumberFormat="1"/>
    <xf numFmtId="0" fontId="0" fillId="0" borderId="0" xfId="0" applyAlignment="1">
      <alignment horizontal="left" vertical="top"/>
    </xf>
    <xf numFmtId="1" fontId="0" fillId="0" borderId="0" xfId="0" applyNumberForma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 vertical="center"/>
    </xf>
    <xf numFmtId="0" fontId="0" fillId="0" borderId="0" xfId="0" applyBorder="1"/>
    <xf numFmtId="0" fontId="0" fillId="0" borderId="7" xfId="0" applyBorder="1"/>
    <xf numFmtId="0" fontId="0" fillId="2" borderId="0" xfId="0" applyFill="1" applyBorder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10" xfId="0" applyFill="1" applyBorder="1"/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0" borderId="4" xfId="0" applyFill="1" applyBorder="1"/>
    <xf numFmtId="0" fontId="0" fillId="0" borderId="0" xfId="0" applyFill="1" applyBorder="1"/>
    <xf numFmtId="0" fontId="0" fillId="2" borderId="10" xfId="0" applyFill="1" applyBorder="1"/>
    <xf numFmtId="0" fontId="0" fillId="2" borderId="0" xfId="0" applyFill="1" applyAlignment="1">
      <alignment horizontal="center" vertical="center"/>
    </xf>
    <xf numFmtId="0" fontId="0" fillId="0" borderId="0" xfId="0" applyNumberFormat="1" applyAlignment="1">
      <alignment horizontal="left" vertical="top"/>
    </xf>
    <xf numFmtId="10" fontId="0" fillId="0" borderId="0" xfId="1" applyNumberFormat="1" applyFont="1" applyAlignment="1">
      <alignment horizontal="center" vertical="center"/>
    </xf>
    <xf numFmtId="10" fontId="0" fillId="0" borderId="0" xfId="1" applyNumberFormat="1" applyFont="1"/>
    <xf numFmtId="167" fontId="0" fillId="0" borderId="0" xfId="1" applyNumberFormat="1" applyFont="1"/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0" fillId="0" borderId="0" xfId="1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0" xfId="0" applyNumberFormat="1"/>
    <xf numFmtId="164" fontId="0" fillId="0" borderId="1" xfId="0" applyNumberFormat="1" applyBorder="1"/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/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Border="1"/>
    <xf numFmtId="0" fontId="0" fillId="0" borderId="1" xfId="0" applyNumberFormat="1" applyFill="1" applyBorder="1"/>
    <xf numFmtId="1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Normal" xfId="0" builtinId="0"/>
    <cellStyle name="Porcentagem" xfId="1" builtinId="5"/>
  </cellStyles>
  <dxfs count="18">
    <dxf>
      <numFmt numFmtId="0" formatCode="General"/>
      <alignment horizontal="left" vertical="top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0" formatCode="General"/>
    </dxf>
    <dxf>
      <numFmt numFmtId="164" formatCode="0.000"/>
      <alignment horizontal="center" vertical="center" textRotation="0" wrapText="0" indent="0" justifyLastLine="0" shrinkToFit="0" readingOrder="0"/>
    </dxf>
    <dxf>
      <numFmt numFmtId="0" formatCode="General"/>
    </dxf>
    <dxf>
      <numFmt numFmtId="164" formatCode="0.000"/>
      <alignment horizontal="center" vertical="center" textRotation="0" wrapText="0" indent="0" justifyLastLine="0" shrinkToFit="0" readingOrder="0"/>
    </dxf>
    <dxf>
      <numFmt numFmtId="0" formatCode="General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F79FE8-3F72-4ED1-8C4B-813D03AFA642}" name="Tabela2" displayName="Tabela2" ref="A1:J1626" totalsRowShown="0">
  <autoFilter ref="A1:J1626" xr:uid="{D4F79FE8-3F72-4ED1-8C4B-813D03AFA642}"/>
  <tableColumns count="10">
    <tableColumn id="1" xr3:uid="{89EAA9F3-F041-4308-BC94-2426C57E2A61}" name="Comb"/>
    <tableColumn id="2" xr3:uid="{4C4D2E0C-62C6-49FF-A790-F3976B31E053}" name="Status" dataDxfId="17">
      <calculatedColumnFormula>IF(ROUND(_xlfn.XLOOKUP(C2,$U$1:$U$5,$T$1:$T$5,,0,1)+_xlfn.XLOOKUP(D2,$W$1:$W$5,$V$1:$V$5,,0,1)+_xlfn.XLOOKUP(E2,$Y$1:$Y$5,$X$1:$X$5,,0,1)-_xlfn.XLOOKUP(F2,$AA$1:$AA$13,$Z$1:$Z$13,,0,1),3)=0.325,"OK","NOK")</calculatedColumnFormula>
    </tableColumn>
    <tableColumn id="3" xr3:uid="{39B88777-D0ED-41F4-8722-BA90CAEE673A}" name="OP">
      <calculatedColumnFormula>IF(G2=1,"A",IF(G2=2,"B",IF(G2=3,"C",IF(G2=4,"D",IF(G2=5,"E","ERRO")))))</calculatedColumnFormula>
    </tableColumn>
    <tableColumn id="4" xr3:uid="{AFAA738F-52BC-4120-A0FF-C5E125C1C2EF}" name="BICO">
      <calculatedColumnFormula>IF(H2=1,"A",IF(H2=2,"B",IF(H2=3,"C",IF(H2=4,"D",IF(H2=5,"E","ERRO")))))</calculatedColumnFormula>
    </tableColumn>
    <tableColumn id="5" xr3:uid="{CAF18FDD-48E4-4DD7-8BF3-B9103B47C9F1}" name="SPACER">
      <calculatedColumnFormula>IF(I2=1,"A",IF(I2=2,"B",IF(I2=3,"C",IF(I2=4,"D",IF(I2=5,"E","ERRO")))))</calculatedColumnFormula>
    </tableColumn>
    <tableColumn id="6" xr3:uid="{961F3271-7110-4AA0-97A3-AE42018AE33E}" name="AGULHA" dataDxfId="16">
      <calculatedColumnFormula>IF(J2=1,"A",IF(J2=2,"B",IF(J2=3,"C",IF(J2=4,"D",IF(J2=5,"E",IF(J2=6,"F",IF(J2=7,"G",IF(J2=8,"H",IF(J2=9,"I",IF(J2=10,"J",IF(J2=11,"K",IF(J2=12,"L",IF(J2=13,"M","ERRO")))))))))))))</calculatedColumnFormula>
    </tableColumn>
    <tableColumn id="7" xr3:uid="{6B519129-710F-4C83-8AFC-45CDA3865A15}" name="Coluna1" dataDxfId="15">
      <calculatedColumnFormula>INT($A2/325)+1</calculatedColumnFormula>
    </tableColumn>
    <tableColumn id="8" xr3:uid="{5C5472D4-1645-4769-92D1-946FC8A4D3E5}" name="Coluna2" dataDxfId="14">
      <calculatedColumnFormula>INT(MOD($A2,325)/65)+1</calculatedColumnFormula>
    </tableColumn>
    <tableColumn id="9" xr3:uid="{F5F60AD4-DC43-4B24-BE24-D56B8369694E}" name="Coluna3" dataDxfId="13">
      <calculatedColumnFormula>INT(MOD($A2,65)/13)+1</calculatedColumnFormula>
    </tableColumn>
    <tableColumn id="10" xr3:uid="{A1D6147E-AD8B-4283-8444-E2C51F292C4A}" name="Coluna4" dataDxfId="12">
      <calculatedColumnFormula>MOD($A2,13)+1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AC1BA1-1911-4A4C-9726-D8F4D2B70FC9}" name="Tabela1" displayName="Tabela1" ref="A1:H2001" totalsRowShown="0" headerRowDxfId="9" dataDxfId="8">
  <autoFilter ref="A1:H2001" xr:uid="{6EAC1BA1-1911-4A4C-9726-D8F4D2B70FC9}"/>
  <tableColumns count="8">
    <tableColumn id="1" xr3:uid="{791A2971-C834-4B0B-9D2A-615477343EDB}" name="Classes Ø " dataDxfId="7">
      <calculatedColumnFormula>3+RAND()*0.01</calculatedColumnFormula>
    </tableColumn>
    <tableColumn id="2" xr3:uid="{97D7B0FA-35AB-4E58-A5CC-54288D9D8680}" name="Classe Ø" dataDxfId="6">
      <calculatedColumnFormula array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calculatedColumnFormula>
    </tableColumn>
    <tableColumn id="3" xr3:uid="{9C7091AA-07A8-46CF-A0EF-D4110414FF21}" name="Altura OP" dataDxfId="5">
      <calculatedColumnFormula>3+RAND()*0.03</calculatedColumnFormula>
    </tableColumn>
    <tableColumn id="4" xr3:uid="{0EB2F5B2-242E-46B4-A89D-C9111B6E2060}" name="Classe A" dataDxfId="4">
      <calculatedColumnFormula array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calculatedColumnFormula>
    </tableColumn>
    <tableColumn id="5" xr3:uid="{79A55842-13BD-45AB-BD6C-F0956F514D89}" name="Altura Bico " dataDxfId="3">
      <calculatedColumnFormula>30+RAND()*0.03</calculatedColumnFormula>
    </tableColumn>
    <tableColumn id="6" xr3:uid="{7F143237-7D0D-4E61-9A04-31A19A0E9FE9}" name="Classe B" dataDxfId="2">
      <calculatedColumnFormula array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calculatedColumnFormula>
    </tableColumn>
    <tableColumn id="7" xr3:uid="{E3F587EC-8D0D-4845-AA8F-FAA27FC0EF3D}" name="Altura Spacer" dataDxfId="1">
      <calculatedColumnFormula>40+RAND()*0.03</calculatedColumnFormula>
    </tableColumn>
    <tableColumn id="8" xr3:uid="{30EAEB6B-8EA4-47CE-8E5B-C948C0040232}" name="Classe C" dataDxfId="0">
      <calculatedColumnFormula array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8872C-97F5-433E-AA11-F3E2A3DB7637}">
  <sheetPr codeName="Planilha1"/>
  <dimension ref="A1:AB1626"/>
  <sheetViews>
    <sheetView topLeftCell="B1" workbookViewId="0">
      <selection activeCell="X6" sqref="X6"/>
    </sheetView>
  </sheetViews>
  <sheetFormatPr defaultRowHeight="15" x14ac:dyDescent="0.25"/>
  <cols>
    <col min="1" max="1" width="10.7109375" customWidth="1"/>
    <col min="2" max="2" width="12.140625" bestFit="1" customWidth="1"/>
    <col min="3" max="10" width="10.7109375" customWidth="1"/>
    <col min="13" max="16" width="7.5703125" bestFit="1" customWidth="1"/>
    <col min="17" max="18" width="6.5703125" bestFit="1" customWidth="1"/>
    <col min="20" max="20" width="12.140625" style="4" bestFit="1" customWidth="1"/>
    <col min="21" max="28" width="10.7109375" style="4" customWidth="1"/>
  </cols>
  <sheetData>
    <row r="1" spans="1:28" x14ac:dyDescent="0.25">
      <c r="A1" t="s">
        <v>35</v>
      </c>
      <c r="B1" t="s">
        <v>36</v>
      </c>
      <c r="C1" t="s">
        <v>19</v>
      </c>
      <c r="D1" t="s">
        <v>32</v>
      </c>
      <c r="E1" t="s">
        <v>33</v>
      </c>
      <c r="F1" t="s">
        <v>34</v>
      </c>
      <c r="G1" t="s">
        <v>40</v>
      </c>
      <c r="H1" t="s">
        <v>41</v>
      </c>
      <c r="I1" t="s">
        <v>42</v>
      </c>
      <c r="J1" t="s">
        <v>43</v>
      </c>
      <c r="O1" s="56">
        <f>P1-0.325</f>
        <v>72.69</v>
      </c>
      <c r="P1" s="56">
        <f>SUM(T1+V1+X1)</f>
        <v>73.015000000000001</v>
      </c>
      <c r="T1" s="58">
        <v>3.0049999999999999</v>
      </c>
      <c r="U1" s="60" t="s">
        <v>8</v>
      </c>
      <c r="V1" s="58">
        <v>30.004999999999999</v>
      </c>
      <c r="W1" s="60" t="s">
        <v>8</v>
      </c>
      <c r="X1" s="58">
        <v>40.005000000000003</v>
      </c>
      <c r="Y1" s="60" t="s">
        <v>8</v>
      </c>
      <c r="Z1" s="57">
        <v>72.689999999999969</v>
      </c>
      <c r="AA1" s="61" t="s">
        <v>8</v>
      </c>
      <c r="AB1" s="59">
        <f>ROUND(T1+V1+X1-Z1,3)</f>
        <v>0.32500000000000001</v>
      </c>
    </row>
    <row r="2" spans="1:28" x14ac:dyDescent="0.25">
      <c r="A2">
        <v>0</v>
      </c>
      <c r="B2" t="str">
        <f t="shared" ref="B2:B65" si="0">IF(ROUND(_xlfn.XLOOKUP(C2,$U$1:$U$5,$T$1:$T$5,,0,1)+_xlfn.XLOOKUP(D2,$W$1:$W$5,$V$1:$V$5,,0,1)+_xlfn.XLOOKUP(E2,$Y$1:$Y$5,$X$1:$X$5,,0,1)-_xlfn.XLOOKUP(F2,$AA$1:$AA$13,$Z$1:$Z$13,,0,1),3)=0.325,"OK","NOK")</f>
        <v>OK</v>
      </c>
      <c r="C2" t="str">
        <f>IF(G2=1,"A",IF(G2=2,"B",IF(G2=3,"C",IF(G2=4,"D",IF(G2=5,"E","ERRO")))))</f>
        <v>A</v>
      </c>
      <c r="D2" t="str">
        <f t="shared" ref="D2:E17" si="1">IF(H2=1,"A",IF(H2=2,"B",IF(H2=3,"C",IF(H2=4,"D",IF(H2=5,"E","ERRO")))))</f>
        <v>A</v>
      </c>
      <c r="E2" t="str">
        <f t="shared" si="1"/>
        <v>A</v>
      </c>
      <c r="F2" t="str">
        <f t="shared" ref="F2:F65" si="2">IF(J2=1,"A",IF(J2=2,"B",IF(J2=3,"C",IF(J2=4,"D",IF(J2=5,"E",IF(J2=6,"F",IF(J2=7,"G",IF(J2=8,"H",IF(J2=9,"I",IF(J2=10,"J",IF(J2=11,"K",IF(J2=12,"L",IF(J2=13,"M","ERRO")))))))))))))</f>
        <v>A</v>
      </c>
      <c r="G2">
        <f t="shared" ref="G2:G65" si="3">INT($A2/325)+1</f>
        <v>1</v>
      </c>
      <c r="H2">
        <f t="shared" ref="H2:H65" si="4">INT(MOD($A2,325)/65)+1</f>
        <v>1</v>
      </c>
      <c r="I2">
        <f t="shared" ref="I2:I65" si="5">INT(MOD($A2,65)/13)+1</f>
        <v>1</v>
      </c>
      <c r="J2">
        <f t="shared" ref="J2:J65" si="6">MOD($A2,13)+1</f>
        <v>1</v>
      </c>
      <c r="O2" s="56">
        <f t="shared" ref="O2:O5" si="7">P2-0.325</f>
        <v>72.72</v>
      </c>
      <c r="P2" s="56">
        <f>SUM(T2+V2+X2)</f>
        <v>73.045000000000002</v>
      </c>
      <c r="T2" s="58">
        <v>3.0150000000000001</v>
      </c>
      <c r="U2" s="60" t="s">
        <v>9</v>
      </c>
      <c r="V2" s="58">
        <v>30.015000000000001</v>
      </c>
      <c r="W2" s="60" t="s">
        <v>9</v>
      </c>
      <c r="X2" s="58">
        <v>40.015000000000001</v>
      </c>
      <c r="Y2" s="60" t="s">
        <v>9</v>
      </c>
      <c r="Z2" s="57">
        <v>72.699999999999974</v>
      </c>
      <c r="AA2" s="61" t="s">
        <v>9</v>
      </c>
      <c r="AB2" s="59">
        <f>T1+V1+X2-Z2</f>
        <v>0.32500000000003126</v>
      </c>
    </row>
    <row r="3" spans="1:28" x14ac:dyDescent="0.25">
      <c r="A3">
        <v>1</v>
      </c>
      <c r="B3" t="str">
        <f t="shared" si="0"/>
        <v>NOK</v>
      </c>
      <c r="C3" t="str">
        <f t="shared" ref="C3:E66" si="8">IF(G3=1,"A",IF(G3=2,"B",IF(G3=3,"C",IF(G3=4,"D",IF(G3=5,"E","ERRO")))))</f>
        <v>A</v>
      </c>
      <c r="D3" t="str">
        <f t="shared" si="1"/>
        <v>A</v>
      </c>
      <c r="E3" t="str">
        <f t="shared" si="1"/>
        <v>A</v>
      </c>
      <c r="F3" t="str">
        <f t="shared" si="2"/>
        <v>B</v>
      </c>
      <c r="G3">
        <f t="shared" si="3"/>
        <v>1</v>
      </c>
      <c r="H3">
        <f t="shared" si="4"/>
        <v>1</v>
      </c>
      <c r="I3">
        <f t="shared" si="5"/>
        <v>1</v>
      </c>
      <c r="J3">
        <f t="shared" si="6"/>
        <v>2</v>
      </c>
      <c r="M3" s="56">
        <f>O3+0.01</f>
        <v>72.759999999999991</v>
      </c>
      <c r="N3" s="56">
        <f>O3-0.01</f>
        <v>72.739999999999981</v>
      </c>
      <c r="O3" s="56">
        <f t="shared" si="7"/>
        <v>72.749999999999986</v>
      </c>
      <c r="P3" s="56">
        <f>SUM(T3+V3+X3)</f>
        <v>73.074999999999989</v>
      </c>
      <c r="Q3">
        <f>3.02+30.02+40.02</f>
        <v>73.06</v>
      </c>
      <c r="R3">
        <f>3.03+30.03+40.03</f>
        <v>73.09</v>
      </c>
      <c r="T3" s="58">
        <v>3.0249999999999999</v>
      </c>
      <c r="U3" s="60" t="s">
        <v>10</v>
      </c>
      <c r="V3" s="58">
        <v>30.024999999999999</v>
      </c>
      <c r="W3" s="60" t="s">
        <v>10</v>
      </c>
      <c r="X3" s="58">
        <v>40.024999999999999</v>
      </c>
      <c r="Y3" s="60" t="s">
        <v>10</v>
      </c>
      <c r="Z3" s="57">
        <v>72.70999999999998</v>
      </c>
      <c r="AA3" s="61" t="s">
        <v>10</v>
      </c>
    </row>
    <row r="4" spans="1:28" x14ac:dyDescent="0.25">
      <c r="A4">
        <v>2</v>
      </c>
      <c r="B4" t="str">
        <f t="shared" si="0"/>
        <v>NOK</v>
      </c>
      <c r="C4" t="str">
        <f t="shared" si="8"/>
        <v>A</v>
      </c>
      <c r="D4" t="str">
        <f t="shared" si="1"/>
        <v>A</v>
      </c>
      <c r="E4" t="str">
        <f t="shared" si="1"/>
        <v>A</v>
      </c>
      <c r="F4" t="str">
        <f t="shared" si="2"/>
        <v>C</v>
      </c>
      <c r="G4">
        <f t="shared" si="3"/>
        <v>1</v>
      </c>
      <c r="H4">
        <f t="shared" si="4"/>
        <v>1</v>
      </c>
      <c r="I4">
        <f t="shared" si="5"/>
        <v>1</v>
      </c>
      <c r="J4">
        <f t="shared" si="6"/>
        <v>3</v>
      </c>
      <c r="O4" s="56">
        <f t="shared" si="7"/>
        <v>72.779999999999987</v>
      </c>
      <c r="P4" s="56">
        <f>SUM(T4+V4+X4)</f>
        <v>73.10499999999999</v>
      </c>
      <c r="Q4" s="56">
        <f>Q3-M3</f>
        <v>0.30000000000001137</v>
      </c>
      <c r="R4" s="56">
        <f>R3-N3</f>
        <v>0.35000000000002274</v>
      </c>
      <c r="T4" s="58">
        <v>3.0350000000000001</v>
      </c>
      <c r="U4" s="60" t="s">
        <v>11</v>
      </c>
      <c r="V4" s="58">
        <v>30.035</v>
      </c>
      <c r="W4" s="60" t="s">
        <v>11</v>
      </c>
      <c r="X4" s="58">
        <v>40.034999999999997</v>
      </c>
      <c r="Y4" s="60" t="s">
        <v>11</v>
      </c>
      <c r="Z4" s="57">
        <v>72.719999999999985</v>
      </c>
      <c r="AA4" s="61" t="s">
        <v>11</v>
      </c>
    </row>
    <row r="5" spans="1:28" x14ac:dyDescent="0.25">
      <c r="A5">
        <v>3</v>
      </c>
      <c r="B5" t="str">
        <f t="shared" si="0"/>
        <v>NOK</v>
      </c>
      <c r="C5" t="str">
        <f t="shared" si="8"/>
        <v>A</v>
      </c>
      <c r="D5" t="str">
        <f t="shared" si="1"/>
        <v>A</v>
      </c>
      <c r="E5" t="str">
        <f t="shared" si="1"/>
        <v>A</v>
      </c>
      <c r="F5" t="str">
        <f t="shared" si="2"/>
        <v>D</v>
      </c>
      <c r="G5">
        <f t="shared" si="3"/>
        <v>1</v>
      </c>
      <c r="H5">
        <f t="shared" si="4"/>
        <v>1</v>
      </c>
      <c r="I5">
        <f t="shared" si="5"/>
        <v>1</v>
      </c>
      <c r="J5">
        <f t="shared" si="6"/>
        <v>4</v>
      </c>
      <c r="O5" s="56">
        <f t="shared" si="7"/>
        <v>72.81</v>
      </c>
      <c r="P5" s="56">
        <f>SUM(T5+V5+X5)</f>
        <v>73.135000000000005</v>
      </c>
      <c r="T5" s="58">
        <v>3.0449999999999999</v>
      </c>
      <c r="U5" s="60" t="s">
        <v>13</v>
      </c>
      <c r="V5" s="58">
        <v>30.045000000000002</v>
      </c>
      <c r="W5" s="60" t="s">
        <v>13</v>
      </c>
      <c r="X5" s="58">
        <v>40.045000000000002</v>
      </c>
      <c r="Y5" s="60" t="s">
        <v>13</v>
      </c>
      <c r="Z5" s="57">
        <v>72.72999999999999</v>
      </c>
      <c r="AA5" s="61" t="s">
        <v>13</v>
      </c>
    </row>
    <row r="6" spans="1:28" x14ac:dyDescent="0.25">
      <c r="A6">
        <v>4</v>
      </c>
      <c r="B6" t="str">
        <f t="shared" si="0"/>
        <v>NOK</v>
      </c>
      <c r="C6" t="str">
        <f t="shared" si="8"/>
        <v>A</v>
      </c>
      <c r="D6" t="str">
        <f t="shared" si="1"/>
        <v>A</v>
      </c>
      <c r="E6" t="str">
        <f t="shared" si="1"/>
        <v>A</v>
      </c>
      <c r="F6" t="str">
        <f t="shared" si="2"/>
        <v>E</v>
      </c>
      <c r="G6">
        <f t="shared" si="3"/>
        <v>1</v>
      </c>
      <c r="H6">
        <f t="shared" si="4"/>
        <v>1</v>
      </c>
      <c r="I6">
        <f t="shared" si="5"/>
        <v>1</v>
      </c>
      <c r="J6">
        <f t="shared" si="6"/>
        <v>5</v>
      </c>
      <c r="Z6" s="57">
        <v>72.739999999999995</v>
      </c>
      <c r="AA6" s="61" t="s">
        <v>12</v>
      </c>
    </row>
    <row r="7" spans="1:28" x14ac:dyDescent="0.25">
      <c r="A7">
        <v>5</v>
      </c>
      <c r="B7" t="str">
        <f t="shared" si="0"/>
        <v>NOK</v>
      </c>
      <c r="C7" t="str">
        <f t="shared" si="8"/>
        <v>A</v>
      </c>
      <c r="D7" t="str">
        <f t="shared" si="1"/>
        <v>A</v>
      </c>
      <c r="E7" t="str">
        <f t="shared" si="1"/>
        <v>A</v>
      </c>
      <c r="F7" t="str">
        <f t="shared" si="2"/>
        <v>F</v>
      </c>
      <c r="G7">
        <f t="shared" si="3"/>
        <v>1</v>
      </c>
      <c r="H7">
        <f t="shared" si="4"/>
        <v>1</v>
      </c>
      <c r="I7">
        <f t="shared" si="5"/>
        <v>1</v>
      </c>
      <c r="J7">
        <f t="shared" si="6"/>
        <v>6</v>
      </c>
      <c r="R7" s="56"/>
      <c r="Z7" s="57">
        <f>T3+V3+X3-0.325</f>
        <v>72.749999999999986</v>
      </c>
      <c r="AA7" s="61" t="s">
        <v>14</v>
      </c>
      <c r="AB7" s="4">
        <f>ROUND(0.325,3)</f>
        <v>0.32500000000000001</v>
      </c>
    </row>
    <row r="8" spans="1:28" x14ac:dyDescent="0.25">
      <c r="A8">
        <v>6</v>
      </c>
      <c r="B8" t="str">
        <f t="shared" si="0"/>
        <v>NOK</v>
      </c>
      <c r="C8" t="str">
        <f t="shared" si="8"/>
        <v>A</v>
      </c>
      <c r="D8" t="str">
        <f t="shared" si="1"/>
        <v>A</v>
      </c>
      <c r="E8" t="str">
        <f t="shared" si="1"/>
        <v>A</v>
      </c>
      <c r="F8" t="str">
        <f t="shared" si="2"/>
        <v>G</v>
      </c>
      <c r="G8">
        <f t="shared" si="3"/>
        <v>1</v>
      </c>
      <c r="H8">
        <f t="shared" si="4"/>
        <v>1</v>
      </c>
      <c r="I8">
        <f t="shared" si="5"/>
        <v>1</v>
      </c>
      <c r="J8">
        <f t="shared" si="6"/>
        <v>7</v>
      </c>
      <c r="Z8" s="57">
        <v>72.760000000000005</v>
      </c>
      <c r="AA8" s="61" t="s">
        <v>44</v>
      </c>
    </row>
    <row r="9" spans="1:28" x14ac:dyDescent="0.25">
      <c r="A9">
        <v>7</v>
      </c>
      <c r="B9" t="str">
        <f t="shared" si="0"/>
        <v>NOK</v>
      </c>
      <c r="C9" t="str">
        <f t="shared" si="8"/>
        <v>A</v>
      </c>
      <c r="D9" t="str">
        <f t="shared" si="1"/>
        <v>A</v>
      </c>
      <c r="E9" t="str">
        <f t="shared" si="1"/>
        <v>A</v>
      </c>
      <c r="F9" t="str">
        <f t="shared" si="2"/>
        <v>H</v>
      </c>
      <c r="G9">
        <f t="shared" si="3"/>
        <v>1</v>
      </c>
      <c r="H9">
        <f t="shared" si="4"/>
        <v>1</v>
      </c>
      <c r="I9">
        <f t="shared" si="5"/>
        <v>1</v>
      </c>
      <c r="J9">
        <f t="shared" si="6"/>
        <v>8</v>
      </c>
      <c r="Z9" s="57">
        <v>72.77000000000001</v>
      </c>
      <c r="AA9" s="61" t="s">
        <v>45</v>
      </c>
    </row>
    <row r="10" spans="1:28" x14ac:dyDescent="0.25">
      <c r="A10">
        <v>8</v>
      </c>
      <c r="B10" t="str">
        <f t="shared" si="0"/>
        <v>NOK</v>
      </c>
      <c r="C10" t="str">
        <f t="shared" si="8"/>
        <v>A</v>
      </c>
      <c r="D10" t="str">
        <f t="shared" si="1"/>
        <v>A</v>
      </c>
      <c r="E10" t="str">
        <f t="shared" si="1"/>
        <v>A</v>
      </c>
      <c r="F10" t="str">
        <f t="shared" si="2"/>
        <v>I</v>
      </c>
      <c r="G10">
        <f t="shared" si="3"/>
        <v>1</v>
      </c>
      <c r="H10">
        <f t="shared" si="4"/>
        <v>1</v>
      </c>
      <c r="I10">
        <f t="shared" si="5"/>
        <v>1</v>
      </c>
      <c r="J10">
        <f t="shared" si="6"/>
        <v>9</v>
      </c>
      <c r="R10" s="56"/>
      <c r="Z10" s="57">
        <v>72.780000000000015</v>
      </c>
      <c r="AA10" s="61" t="s">
        <v>46</v>
      </c>
    </row>
    <row r="11" spans="1:28" x14ac:dyDescent="0.25">
      <c r="A11">
        <v>9</v>
      </c>
      <c r="B11" t="str">
        <f t="shared" si="0"/>
        <v>NOK</v>
      </c>
      <c r="C11" t="str">
        <f t="shared" si="8"/>
        <v>A</v>
      </c>
      <c r="D11" t="str">
        <f t="shared" si="1"/>
        <v>A</v>
      </c>
      <c r="E11" t="str">
        <f t="shared" si="1"/>
        <v>A</v>
      </c>
      <c r="F11" t="str">
        <f t="shared" si="2"/>
        <v>J</v>
      </c>
      <c r="G11">
        <f t="shared" si="3"/>
        <v>1</v>
      </c>
      <c r="H11">
        <f t="shared" si="4"/>
        <v>1</v>
      </c>
      <c r="I11">
        <f t="shared" si="5"/>
        <v>1</v>
      </c>
      <c r="J11">
        <f t="shared" si="6"/>
        <v>10</v>
      </c>
      <c r="R11" s="56"/>
      <c r="Z11" s="57">
        <v>72.79000000000002</v>
      </c>
      <c r="AA11" s="61" t="s">
        <v>47</v>
      </c>
    </row>
    <row r="12" spans="1:28" x14ac:dyDescent="0.25">
      <c r="A12">
        <v>10</v>
      </c>
      <c r="B12" t="str">
        <f t="shared" si="0"/>
        <v>NOK</v>
      </c>
      <c r="C12" t="str">
        <f t="shared" si="8"/>
        <v>A</v>
      </c>
      <c r="D12" t="str">
        <f t="shared" si="1"/>
        <v>A</v>
      </c>
      <c r="E12" t="str">
        <f t="shared" si="1"/>
        <v>A</v>
      </c>
      <c r="F12" t="str">
        <f t="shared" si="2"/>
        <v>K</v>
      </c>
      <c r="G12">
        <f t="shared" si="3"/>
        <v>1</v>
      </c>
      <c r="H12">
        <f t="shared" si="4"/>
        <v>1</v>
      </c>
      <c r="I12">
        <f t="shared" si="5"/>
        <v>1</v>
      </c>
      <c r="J12">
        <f t="shared" si="6"/>
        <v>11</v>
      </c>
      <c r="Y12" s="4">
        <v>72.790000000000006</v>
      </c>
      <c r="Z12" s="57">
        <v>72.800000000000026</v>
      </c>
      <c r="AA12" s="62" t="s">
        <v>48</v>
      </c>
      <c r="AB12" s="4">
        <v>72.81</v>
      </c>
    </row>
    <row r="13" spans="1:28" x14ac:dyDescent="0.25">
      <c r="A13">
        <v>11</v>
      </c>
      <c r="B13" t="str">
        <f t="shared" si="0"/>
        <v>NOK</v>
      </c>
      <c r="C13" t="str">
        <f t="shared" si="8"/>
        <v>A</v>
      </c>
      <c r="D13" t="str">
        <f t="shared" si="1"/>
        <v>A</v>
      </c>
      <c r="E13" t="str">
        <f t="shared" si="1"/>
        <v>A</v>
      </c>
      <c r="F13" t="str">
        <f t="shared" si="2"/>
        <v>L</v>
      </c>
      <c r="G13">
        <f t="shared" si="3"/>
        <v>1</v>
      </c>
      <c r="H13">
        <f t="shared" si="4"/>
        <v>1</v>
      </c>
      <c r="I13">
        <f t="shared" si="5"/>
        <v>1</v>
      </c>
      <c r="J13">
        <f t="shared" si="6"/>
        <v>12</v>
      </c>
      <c r="Y13" s="4">
        <v>72.8</v>
      </c>
      <c r="Z13" s="57">
        <v>72.810000000000031</v>
      </c>
      <c r="AA13" s="62" t="s">
        <v>49</v>
      </c>
      <c r="AB13" s="4">
        <v>72.8</v>
      </c>
    </row>
    <row r="14" spans="1:28" x14ac:dyDescent="0.25">
      <c r="A14">
        <v>12</v>
      </c>
      <c r="B14" t="str">
        <f t="shared" si="0"/>
        <v>NOK</v>
      </c>
      <c r="C14" t="str">
        <f t="shared" si="8"/>
        <v>A</v>
      </c>
      <c r="D14" t="str">
        <f t="shared" si="1"/>
        <v>A</v>
      </c>
      <c r="E14" t="str">
        <f t="shared" si="1"/>
        <v>A</v>
      </c>
      <c r="F14" t="str">
        <f t="shared" si="2"/>
        <v>M</v>
      </c>
      <c r="G14">
        <f t="shared" si="3"/>
        <v>1</v>
      </c>
      <c r="H14">
        <f t="shared" si="4"/>
        <v>1</v>
      </c>
      <c r="I14">
        <f t="shared" si="5"/>
        <v>1</v>
      </c>
      <c r="J14">
        <f t="shared" si="6"/>
        <v>13</v>
      </c>
    </row>
    <row r="15" spans="1:28" x14ac:dyDescent="0.25">
      <c r="A15">
        <v>13</v>
      </c>
      <c r="B15" t="str">
        <f t="shared" si="0"/>
        <v>NOK</v>
      </c>
      <c r="C15" t="str">
        <f t="shared" si="8"/>
        <v>A</v>
      </c>
      <c r="D15" t="str">
        <f t="shared" si="1"/>
        <v>A</v>
      </c>
      <c r="E15" t="str">
        <f t="shared" si="1"/>
        <v>B</v>
      </c>
      <c r="F15" t="str">
        <f t="shared" si="2"/>
        <v>A</v>
      </c>
      <c r="G15">
        <f t="shared" si="3"/>
        <v>1</v>
      </c>
      <c r="H15">
        <f t="shared" si="4"/>
        <v>1</v>
      </c>
      <c r="I15">
        <f t="shared" si="5"/>
        <v>2</v>
      </c>
      <c r="J15">
        <f t="shared" si="6"/>
        <v>1</v>
      </c>
    </row>
    <row r="16" spans="1:28" x14ac:dyDescent="0.25">
      <c r="A16">
        <v>14</v>
      </c>
      <c r="B16" t="str">
        <f t="shared" si="0"/>
        <v>OK</v>
      </c>
      <c r="C16" t="str">
        <f t="shared" si="8"/>
        <v>A</v>
      </c>
      <c r="D16" t="str">
        <f t="shared" si="1"/>
        <v>A</v>
      </c>
      <c r="E16" t="str">
        <f t="shared" si="1"/>
        <v>B</v>
      </c>
      <c r="F16" t="str">
        <f t="shared" si="2"/>
        <v>B</v>
      </c>
      <c r="G16">
        <f t="shared" si="3"/>
        <v>1</v>
      </c>
      <c r="H16">
        <f t="shared" si="4"/>
        <v>1</v>
      </c>
      <c r="I16">
        <f t="shared" si="5"/>
        <v>2</v>
      </c>
      <c r="J16">
        <f t="shared" si="6"/>
        <v>2</v>
      </c>
    </row>
    <row r="17" spans="1:26" x14ac:dyDescent="0.25">
      <c r="A17">
        <v>15</v>
      </c>
      <c r="B17" t="str">
        <f t="shared" si="0"/>
        <v>NOK</v>
      </c>
      <c r="C17" t="str">
        <f t="shared" si="8"/>
        <v>A</v>
      </c>
      <c r="D17" t="str">
        <f t="shared" si="1"/>
        <v>A</v>
      </c>
      <c r="E17" t="str">
        <f t="shared" si="1"/>
        <v>B</v>
      </c>
      <c r="F17" t="str">
        <f t="shared" si="2"/>
        <v>C</v>
      </c>
      <c r="G17">
        <f t="shared" si="3"/>
        <v>1</v>
      </c>
      <c r="H17">
        <f t="shared" si="4"/>
        <v>1</v>
      </c>
      <c r="I17">
        <f t="shared" si="5"/>
        <v>2</v>
      </c>
      <c r="J17">
        <f t="shared" si="6"/>
        <v>3</v>
      </c>
    </row>
    <row r="18" spans="1:26" x14ac:dyDescent="0.25">
      <c r="A18">
        <v>16</v>
      </c>
      <c r="B18" t="str">
        <f t="shared" si="0"/>
        <v>NOK</v>
      </c>
      <c r="C18" t="str">
        <f t="shared" si="8"/>
        <v>A</v>
      </c>
      <c r="D18" t="str">
        <f t="shared" si="8"/>
        <v>A</v>
      </c>
      <c r="E18" t="str">
        <f t="shared" si="8"/>
        <v>B</v>
      </c>
      <c r="F18" t="str">
        <f t="shared" si="2"/>
        <v>D</v>
      </c>
      <c r="G18">
        <f t="shared" si="3"/>
        <v>1</v>
      </c>
      <c r="H18">
        <f t="shared" si="4"/>
        <v>1</v>
      </c>
      <c r="I18">
        <f t="shared" si="5"/>
        <v>2</v>
      </c>
      <c r="J18">
        <f t="shared" si="6"/>
        <v>4</v>
      </c>
      <c r="T18" s="4">
        <f>ROUND(_xlfn.XLOOKUP(C2,$U$1:$U$5,$T$1:$T$5,,0,1)+_xlfn.XLOOKUP(D2,$W$1:$W$5,$V$1:$V$5,,0,1)+_xlfn.XLOOKUP(E2,$Y$1:$Y$5,$X$1:$X$5,,0,1)-_xlfn.XLOOKUP(F2,$AA$1:$AA$13,$Z$1:$Z$13,,0,1),3)</f>
        <v>0.32500000000000001</v>
      </c>
    </row>
    <row r="19" spans="1:26" x14ac:dyDescent="0.25">
      <c r="A19">
        <v>17</v>
      </c>
      <c r="B19" t="str">
        <f t="shared" si="0"/>
        <v>NOK</v>
      </c>
      <c r="C19" t="str">
        <f t="shared" si="8"/>
        <v>A</v>
      </c>
      <c r="D19" t="str">
        <f t="shared" si="8"/>
        <v>A</v>
      </c>
      <c r="E19" t="str">
        <f t="shared" si="8"/>
        <v>B</v>
      </c>
      <c r="F19" t="str">
        <f t="shared" si="2"/>
        <v>E</v>
      </c>
      <c r="G19">
        <f t="shared" si="3"/>
        <v>1</v>
      </c>
      <c r="H19">
        <f t="shared" si="4"/>
        <v>1</v>
      </c>
      <c r="I19">
        <f t="shared" si="5"/>
        <v>2</v>
      </c>
      <c r="J19">
        <f t="shared" si="6"/>
        <v>5</v>
      </c>
      <c r="T19" s="4" t="b">
        <f>T18=AB7</f>
        <v>1</v>
      </c>
    </row>
    <row r="20" spans="1:26" x14ac:dyDescent="0.25">
      <c r="A20">
        <v>18</v>
      </c>
      <c r="B20" t="str">
        <f t="shared" si="0"/>
        <v>NOK</v>
      </c>
      <c r="C20" t="str">
        <f t="shared" si="8"/>
        <v>A</v>
      </c>
      <c r="D20" t="str">
        <f t="shared" si="8"/>
        <v>A</v>
      </c>
      <c r="E20" t="str">
        <f t="shared" si="8"/>
        <v>B</v>
      </c>
      <c r="F20" t="str">
        <f t="shared" si="2"/>
        <v>F</v>
      </c>
      <c r="G20">
        <f t="shared" si="3"/>
        <v>1</v>
      </c>
      <c r="H20">
        <f t="shared" si="4"/>
        <v>1</v>
      </c>
      <c r="I20">
        <f t="shared" si="5"/>
        <v>2</v>
      </c>
      <c r="J20">
        <f t="shared" si="6"/>
        <v>6</v>
      </c>
    </row>
    <row r="21" spans="1:26" x14ac:dyDescent="0.25">
      <c r="A21">
        <v>19</v>
      </c>
      <c r="B21" t="str">
        <f t="shared" si="0"/>
        <v>NOK</v>
      </c>
      <c r="C21" t="str">
        <f t="shared" si="8"/>
        <v>A</v>
      </c>
      <c r="D21" t="str">
        <f t="shared" si="8"/>
        <v>A</v>
      </c>
      <c r="E21" t="str">
        <f t="shared" si="8"/>
        <v>B</v>
      </c>
      <c r="F21" t="str">
        <f t="shared" si="2"/>
        <v>G</v>
      </c>
      <c r="G21">
        <f t="shared" si="3"/>
        <v>1</v>
      </c>
      <c r="H21">
        <f t="shared" si="4"/>
        <v>1</v>
      </c>
      <c r="I21">
        <f t="shared" si="5"/>
        <v>2</v>
      </c>
      <c r="J21">
        <f t="shared" si="6"/>
        <v>7</v>
      </c>
    </row>
    <row r="22" spans="1:26" x14ac:dyDescent="0.25">
      <c r="A22">
        <v>20</v>
      </c>
      <c r="B22" t="str">
        <f t="shared" si="0"/>
        <v>NOK</v>
      </c>
      <c r="C22" t="str">
        <f t="shared" si="8"/>
        <v>A</v>
      </c>
      <c r="D22" t="str">
        <f t="shared" si="8"/>
        <v>A</v>
      </c>
      <c r="E22" t="str">
        <f t="shared" si="8"/>
        <v>B</v>
      </c>
      <c r="F22" t="str">
        <f t="shared" si="2"/>
        <v>H</v>
      </c>
      <c r="G22">
        <f t="shared" si="3"/>
        <v>1</v>
      </c>
      <c r="H22">
        <f t="shared" si="4"/>
        <v>1</v>
      </c>
      <c r="I22">
        <f t="shared" si="5"/>
        <v>2</v>
      </c>
      <c r="J22">
        <f t="shared" si="6"/>
        <v>8</v>
      </c>
      <c r="W22" s="4">
        <v>1</v>
      </c>
      <c r="X22" s="4">
        <v>1</v>
      </c>
      <c r="Y22" s="4">
        <v>1</v>
      </c>
      <c r="Z22" s="4">
        <v>1</v>
      </c>
    </row>
    <row r="23" spans="1:26" x14ac:dyDescent="0.25">
      <c r="A23">
        <v>21</v>
      </c>
      <c r="B23" t="str">
        <f t="shared" si="0"/>
        <v>NOK</v>
      </c>
      <c r="C23" t="str">
        <f t="shared" si="8"/>
        <v>A</v>
      </c>
      <c r="D23" t="str">
        <f t="shared" si="8"/>
        <v>A</v>
      </c>
      <c r="E23" t="str">
        <f t="shared" si="8"/>
        <v>B</v>
      </c>
      <c r="F23" t="str">
        <f t="shared" si="2"/>
        <v>I</v>
      </c>
      <c r="G23">
        <f t="shared" si="3"/>
        <v>1</v>
      </c>
      <c r="H23">
        <f t="shared" si="4"/>
        <v>1</v>
      </c>
      <c r="I23">
        <f t="shared" si="5"/>
        <v>2</v>
      </c>
      <c r="J23">
        <f t="shared" si="6"/>
        <v>9</v>
      </c>
      <c r="W23" s="4">
        <v>2</v>
      </c>
      <c r="X23" s="4">
        <v>2</v>
      </c>
      <c r="Y23" s="4">
        <v>2</v>
      </c>
      <c r="Z23" s="4">
        <v>2</v>
      </c>
    </row>
    <row r="24" spans="1:26" x14ac:dyDescent="0.25">
      <c r="A24">
        <v>22</v>
      </c>
      <c r="B24" t="str">
        <f t="shared" si="0"/>
        <v>NOK</v>
      </c>
      <c r="C24" t="str">
        <f t="shared" si="8"/>
        <v>A</v>
      </c>
      <c r="D24" t="str">
        <f t="shared" si="8"/>
        <v>A</v>
      </c>
      <c r="E24" t="str">
        <f t="shared" si="8"/>
        <v>B</v>
      </c>
      <c r="F24" t="str">
        <f t="shared" si="2"/>
        <v>J</v>
      </c>
      <c r="G24">
        <f t="shared" si="3"/>
        <v>1</v>
      </c>
      <c r="H24">
        <f t="shared" si="4"/>
        <v>1</v>
      </c>
      <c r="I24">
        <f t="shared" si="5"/>
        <v>2</v>
      </c>
      <c r="J24">
        <f t="shared" si="6"/>
        <v>10</v>
      </c>
      <c r="U24" s="4">
        <f>5*5*5*13</f>
        <v>1625</v>
      </c>
      <c r="W24" s="4">
        <v>3</v>
      </c>
      <c r="X24" s="4">
        <v>3</v>
      </c>
      <c r="Y24" s="4">
        <v>3</v>
      </c>
      <c r="Z24" s="4">
        <v>3</v>
      </c>
    </row>
    <row r="25" spans="1:26" x14ac:dyDescent="0.25">
      <c r="A25">
        <v>23</v>
      </c>
      <c r="B25" t="str">
        <f t="shared" si="0"/>
        <v>NOK</v>
      </c>
      <c r="C25" t="str">
        <f t="shared" si="8"/>
        <v>A</v>
      </c>
      <c r="D25" t="str">
        <f t="shared" si="8"/>
        <v>A</v>
      </c>
      <c r="E25" t="str">
        <f t="shared" si="8"/>
        <v>B</v>
      </c>
      <c r="F25" t="str">
        <f t="shared" si="2"/>
        <v>K</v>
      </c>
      <c r="G25">
        <f t="shared" si="3"/>
        <v>1</v>
      </c>
      <c r="H25">
        <f t="shared" si="4"/>
        <v>1</v>
      </c>
      <c r="I25">
        <f t="shared" si="5"/>
        <v>2</v>
      </c>
      <c r="J25">
        <f t="shared" si="6"/>
        <v>11</v>
      </c>
      <c r="W25" s="4">
        <v>4</v>
      </c>
      <c r="X25" s="4">
        <v>4</v>
      </c>
      <c r="Y25" s="4">
        <v>4</v>
      </c>
      <c r="Z25" s="4">
        <v>4</v>
      </c>
    </row>
    <row r="26" spans="1:26" x14ac:dyDescent="0.25">
      <c r="A26">
        <v>24</v>
      </c>
      <c r="B26" t="str">
        <f t="shared" si="0"/>
        <v>NOK</v>
      </c>
      <c r="C26" t="str">
        <f t="shared" si="8"/>
        <v>A</v>
      </c>
      <c r="D26" t="str">
        <f t="shared" si="8"/>
        <v>A</v>
      </c>
      <c r="E26" t="str">
        <f t="shared" si="8"/>
        <v>B</v>
      </c>
      <c r="F26" t="str">
        <f t="shared" si="2"/>
        <v>L</v>
      </c>
      <c r="G26">
        <f t="shared" si="3"/>
        <v>1</v>
      </c>
      <c r="H26">
        <f t="shared" si="4"/>
        <v>1</v>
      </c>
      <c r="I26">
        <f t="shared" si="5"/>
        <v>2</v>
      </c>
      <c r="J26">
        <f t="shared" si="6"/>
        <v>12</v>
      </c>
      <c r="W26" s="4">
        <v>5</v>
      </c>
      <c r="X26" s="4">
        <v>5</v>
      </c>
      <c r="Y26" s="4">
        <v>5</v>
      </c>
      <c r="Z26" s="4">
        <v>5</v>
      </c>
    </row>
    <row r="27" spans="1:26" x14ac:dyDescent="0.25">
      <c r="A27">
        <v>25</v>
      </c>
      <c r="B27" t="str">
        <f t="shared" si="0"/>
        <v>NOK</v>
      </c>
      <c r="C27" t="str">
        <f t="shared" si="8"/>
        <v>A</v>
      </c>
      <c r="D27" t="str">
        <f t="shared" si="8"/>
        <v>A</v>
      </c>
      <c r="E27" t="str">
        <f t="shared" si="8"/>
        <v>B</v>
      </c>
      <c r="F27" t="str">
        <f t="shared" si="2"/>
        <v>M</v>
      </c>
      <c r="G27">
        <f t="shared" si="3"/>
        <v>1</v>
      </c>
      <c r="H27">
        <f t="shared" si="4"/>
        <v>1</v>
      </c>
      <c r="I27">
        <f t="shared" si="5"/>
        <v>2</v>
      </c>
      <c r="J27">
        <f t="shared" si="6"/>
        <v>13</v>
      </c>
    </row>
    <row r="28" spans="1:26" x14ac:dyDescent="0.25">
      <c r="A28">
        <v>26</v>
      </c>
      <c r="B28" t="str">
        <f t="shared" si="0"/>
        <v>NOK</v>
      </c>
      <c r="C28" t="str">
        <f t="shared" si="8"/>
        <v>A</v>
      </c>
      <c r="D28" t="str">
        <f t="shared" si="8"/>
        <v>A</v>
      </c>
      <c r="E28" t="str">
        <f t="shared" si="8"/>
        <v>C</v>
      </c>
      <c r="F28" t="str">
        <f t="shared" si="2"/>
        <v>A</v>
      </c>
      <c r="G28">
        <f t="shared" si="3"/>
        <v>1</v>
      </c>
      <c r="H28">
        <f t="shared" si="4"/>
        <v>1</v>
      </c>
      <c r="I28">
        <f t="shared" si="5"/>
        <v>3</v>
      </c>
      <c r="J28">
        <f t="shared" si="6"/>
        <v>1</v>
      </c>
    </row>
    <row r="29" spans="1:26" x14ac:dyDescent="0.25">
      <c r="A29">
        <v>27</v>
      </c>
      <c r="B29" t="str">
        <f t="shared" si="0"/>
        <v>NOK</v>
      </c>
      <c r="C29" t="str">
        <f t="shared" si="8"/>
        <v>A</v>
      </c>
      <c r="D29" t="str">
        <f t="shared" si="8"/>
        <v>A</v>
      </c>
      <c r="E29" t="str">
        <f t="shared" si="8"/>
        <v>C</v>
      </c>
      <c r="F29" t="str">
        <f t="shared" si="2"/>
        <v>B</v>
      </c>
      <c r="G29">
        <f t="shared" si="3"/>
        <v>1</v>
      </c>
      <c r="H29">
        <f t="shared" si="4"/>
        <v>1</v>
      </c>
      <c r="I29">
        <f t="shared" si="5"/>
        <v>3</v>
      </c>
      <c r="J29">
        <f t="shared" si="6"/>
        <v>2</v>
      </c>
    </row>
    <row r="30" spans="1:26" x14ac:dyDescent="0.25">
      <c r="A30">
        <v>28</v>
      </c>
      <c r="B30" t="str">
        <f t="shared" si="0"/>
        <v>OK</v>
      </c>
      <c r="C30" t="str">
        <f t="shared" si="8"/>
        <v>A</v>
      </c>
      <c r="D30" t="str">
        <f t="shared" si="8"/>
        <v>A</v>
      </c>
      <c r="E30" t="str">
        <f t="shared" si="8"/>
        <v>C</v>
      </c>
      <c r="F30" t="str">
        <f t="shared" si="2"/>
        <v>C</v>
      </c>
      <c r="G30">
        <f t="shared" si="3"/>
        <v>1</v>
      </c>
      <c r="H30">
        <f t="shared" si="4"/>
        <v>1</v>
      </c>
      <c r="I30">
        <f t="shared" si="5"/>
        <v>3</v>
      </c>
      <c r="J30">
        <f t="shared" si="6"/>
        <v>3</v>
      </c>
    </row>
    <row r="31" spans="1:26" x14ac:dyDescent="0.25">
      <c r="A31">
        <v>29</v>
      </c>
      <c r="B31" t="str">
        <f t="shared" si="0"/>
        <v>NOK</v>
      </c>
      <c r="C31" t="str">
        <f t="shared" si="8"/>
        <v>A</v>
      </c>
      <c r="D31" t="str">
        <f t="shared" si="8"/>
        <v>A</v>
      </c>
      <c r="E31" t="str">
        <f t="shared" si="8"/>
        <v>C</v>
      </c>
      <c r="F31" t="str">
        <f t="shared" si="2"/>
        <v>D</v>
      </c>
      <c r="G31">
        <f t="shared" si="3"/>
        <v>1</v>
      </c>
      <c r="H31">
        <f t="shared" si="4"/>
        <v>1</v>
      </c>
      <c r="I31">
        <f t="shared" si="5"/>
        <v>3</v>
      </c>
      <c r="J31">
        <f t="shared" si="6"/>
        <v>4</v>
      </c>
    </row>
    <row r="32" spans="1:26" x14ac:dyDescent="0.25">
      <c r="A32">
        <v>30</v>
      </c>
      <c r="B32" t="str">
        <f t="shared" si="0"/>
        <v>NOK</v>
      </c>
      <c r="C32" t="str">
        <f t="shared" si="8"/>
        <v>A</v>
      </c>
      <c r="D32" t="str">
        <f t="shared" si="8"/>
        <v>A</v>
      </c>
      <c r="E32" t="str">
        <f t="shared" si="8"/>
        <v>C</v>
      </c>
      <c r="F32" t="str">
        <f t="shared" si="2"/>
        <v>E</v>
      </c>
      <c r="G32">
        <f t="shared" si="3"/>
        <v>1</v>
      </c>
      <c r="H32">
        <f t="shared" si="4"/>
        <v>1</v>
      </c>
      <c r="I32">
        <f t="shared" si="5"/>
        <v>3</v>
      </c>
      <c r="J32">
        <f t="shared" si="6"/>
        <v>5</v>
      </c>
    </row>
    <row r="33" spans="1:10" x14ac:dyDescent="0.25">
      <c r="A33">
        <v>31</v>
      </c>
      <c r="B33" t="str">
        <f t="shared" si="0"/>
        <v>NOK</v>
      </c>
      <c r="C33" t="str">
        <f t="shared" si="8"/>
        <v>A</v>
      </c>
      <c r="D33" t="str">
        <f t="shared" si="8"/>
        <v>A</v>
      </c>
      <c r="E33" t="str">
        <f t="shared" si="8"/>
        <v>C</v>
      </c>
      <c r="F33" t="str">
        <f t="shared" si="2"/>
        <v>F</v>
      </c>
      <c r="G33">
        <f t="shared" si="3"/>
        <v>1</v>
      </c>
      <c r="H33">
        <f t="shared" si="4"/>
        <v>1</v>
      </c>
      <c r="I33">
        <f t="shared" si="5"/>
        <v>3</v>
      </c>
      <c r="J33">
        <f t="shared" si="6"/>
        <v>6</v>
      </c>
    </row>
    <row r="34" spans="1:10" x14ac:dyDescent="0.25">
      <c r="A34">
        <v>32</v>
      </c>
      <c r="B34" t="str">
        <f t="shared" si="0"/>
        <v>NOK</v>
      </c>
      <c r="C34" t="str">
        <f t="shared" si="8"/>
        <v>A</v>
      </c>
      <c r="D34" t="str">
        <f t="shared" si="8"/>
        <v>A</v>
      </c>
      <c r="E34" t="str">
        <f t="shared" si="8"/>
        <v>C</v>
      </c>
      <c r="F34" t="str">
        <f t="shared" si="2"/>
        <v>G</v>
      </c>
      <c r="G34">
        <f t="shared" si="3"/>
        <v>1</v>
      </c>
      <c r="H34">
        <f t="shared" si="4"/>
        <v>1</v>
      </c>
      <c r="I34">
        <f t="shared" si="5"/>
        <v>3</v>
      </c>
      <c r="J34">
        <f t="shared" si="6"/>
        <v>7</v>
      </c>
    </row>
    <row r="35" spans="1:10" x14ac:dyDescent="0.25">
      <c r="A35">
        <v>33</v>
      </c>
      <c r="B35" t="str">
        <f t="shared" si="0"/>
        <v>NOK</v>
      </c>
      <c r="C35" t="str">
        <f t="shared" si="8"/>
        <v>A</v>
      </c>
      <c r="D35" t="str">
        <f t="shared" si="8"/>
        <v>A</v>
      </c>
      <c r="E35" t="str">
        <f t="shared" si="8"/>
        <v>C</v>
      </c>
      <c r="F35" t="str">
        <f t="shared" si="2"/>
        <v>H</v>
      </c>
      <c r="G35">
        <f t="shared" si="3"/>
        <v>1</v>
      </c>
      <c r="H35">
        <f t="shared" si="4"/>
        <v>1</v>
      </c>
      <c r="I35">
        <f t="shared" si="5"/>
        <v>3</v>
      </c>
      <c r="J35">
        <f t="shared" si="6"/>
        <v>8</v>
      </c>
    </row>
    <row r="36" spans="1:10" x14ac:dyDescent="0.25">
      <c r="A36">
        <v>34</v>
      </c>
      <c r="B36" t="str">
        <f t="shared" si="0"/>
        <v>NOK</v>
      </c>
      <c r="C36" t="str">
        <f t="shared" si="8"/>
        <v>A</v>
      </c>
      <c r="D36" t="str">
        <f t="shared" si="8"/>
        <v>A</v>
      </c>
      <c r="E36" t="str">
        <f t="shared" si="8"/>
        <v>C</v>
      </c>
      <c r="F36" t="str">
        <f t="shared" si="2"/>
        <v>I</v>
      </c>
      <c r="G36">
        <f t="shared" si="3"/>
        <v>1</v>
      </c>
      <c r="H36">
        <f t="shared" si="4"/>
        <v>1</v>
      </c>
      <c r="I36">
        <f t="shared" si="5"/>
        <v>3</v>
      </c>
      <c r="J36">
        <f t="shared" si="6"/>
        <v>9</v>
      </c>
    </row>
    <row r="37" spans="1:10" x14ac:dyDescent="0.25">
      <c r="A37">
        <v>35</v>
      </c>
      <c r="B37" t="str">
        <f t="shared" si="0"/>
        <v>NOK</v>
      </c>
      <c r="C37" t="str">
        <f t="shared" si="8"/>
        <v>A</v>
      </c>
      <c r="D37" t="str">
        <f t="shared" si="8"/>
        <v>A</v>
      </c>
      <c r="E37" t="str">
        <f t="shared" si="8"/>
        <v>C</v>
      </c>
      <c r="F37" t="str">
        <f t="shared" si="2"/>
        <v>J</v>
      </c>
      <c r="G37">
        <f t="shared" si="3"/>
        <v>1</v>
      </c>
      <c r="H37">
        <f t="shared" si="4"/>
        <v>1</v>
      </c>
      <c r="I37">
        <f t="shared" si="5"/>
        <v>3</v>
      </c>
      <c r="J37">
        <f t="shared" si="6"/>
        <v>10</v>
      </c>
    </row>
    <row r="38" spans="1:10" x14ac:dyDescent="0.25">
      <c r="A38">
        <v>36</v>
      </c>
      <c r="B38" t="str">
        <f t="shared" si="0"/>
        <v>NOK</v>
      </c>
      <c r="C38" t="str">
        <f t="shared" si="8"/>
        <v>A</v>
      </c>
      <c r="D38" t="str">
        <f t="shared" si="8"/>
        <v>A</v>
      </c>
      <c r="E38" t="str">
        <f t="shared" si="8"/>
        <v>C</v>
      </c>
      <c r="F38" t="str">
        <f t="shared" si="2"/>
        <v>K</v>
      </c>
      <c r="G38">
        <f t="shared" si="3"/>
        <v>1</v>
      </c>
      <c r="H38">
        <f t="shared" si="4"/>
        <v>1</v>
      </c>
      <c r="I38">
        <f t="shared" si="5"/>
        <v>3</v>
      </c>
      <c r="J38">
        <f t="shared" si="6"/>
        <v>11</v>
      </c>
    </row>
    <row r="39" spans="1:10" x14ac:dyDescent="0.25">
      <c r="A39">
        <v>37</v>
      </c>
      <c r="B39" t="str">
        <f t="shared" si="0"/>
        <v>NOK</v>
      </c>
      <c r="C39" t="str">
        <f t="shared" si="8"/>
        <v>A</v>
      </c>
      <c r="D39" t="str">
        <f t="shared" si="8"/>
        <v>A</v>
      </c>
      <c r="E39" t="str">
        <f t="shared" si="8"/>
        <v>C</v>
      </c>
      <c r="F39" t="str">
        <f t="shared" si="2"/>
        <v>L</v>
      </c>
      <c r="G39">
        <f t="shared" si="3"/>
        <v>1</v>
      </c>
      <c r="H39">
        <f t="shared" si="4"/>
        <v>1</v>
      </c>
      <c r="I39">
        <f t="shared" si="5"/>
        <v>3</v>
      </c>
      <c r="J39">
        <f t="shared" si="6"/>
        <v>12</v>
      </c>
    </row>
    <row r="40" spans="1:10" x14ac:dyDescent="0.25">
      <c r="A40">
        <v>38</v>
      </c>
      <c r="B40" t="str">
        <f t="shared" si="0"/>
        <v>NOK</v>
      </c>
      <c r="C40" t="str">
        <f t="shared" si="8"/>
        <v>A</v>
      </c>
      <c r="D40" t="str">
        <f t="shared" si="8"/>
        <v>A</v>
      </c>
      <c r="E40" t="str">
        <f t="shared" si="8"/>
        <v>C</v>
      </c>
      <c r="F40" t="str">
        <f t="shared" si="2"/>
        <v>M</v>
      </c>
      <c r="G40">
        <f t="shared" si="3"/>
        <v>1</v>
      </c>
      <c r="H40">
        <f t="shared" si="4"/>
        <v>1</v>
      </c>
      <c r="I40">
        <f t="shared" si="5"/>
        <v>3</v>
      </c>
      <c r="J40">
        <f t="shared" si="6"/>
        <v>13</v>
      </c>
    </row>
    <row r="41" spans="1:10" x14ac:dyDescent="0.25">
      <c r="A41">
        <v>39</v>
      </c>
      <c r="B41" t="str">
        <f t="shared" si="0"/>
        <v>NOK</v>
      </c>
      <c r="C41" t="str">
        <f t="shared" si="8"/>
        <v>A</v>
      </c>
      <c r="D41" t="str">
        <f t="shared" si="8"/>
        <v>A</v>
      </c>
      <c r="E41" t="str">
        <f t="shared" si="8"/>
        <v>D</v>
      </c>
      <c r="F41" t="str">
        <f t="shared" si="2"/>
        <v>A</v>
      </c>
      <c r="G41">
        <f t="shared" si="3"/>
        <v>1</v>
      </c>
      <c r="H41">
        <f t="shared" si="4"/>
        <v>1</v>
      </c>
      <c r="I41">
        <f t="shared" si="5"/>
        <v>4</v>
      </c>
      <c r="J41">
        <f t="shared" si="6"/>
        <v>1</v>
      </c>
    </row>
    <row r="42" spans="1:10" x14ac:dyDescent="0.25">
      <c r="A42">
        <v>40</v>
      </c>
      <c r="B42" t="str">
        <f t="shared" si="0"/>
        <v>NOK</v>
      </c>
      <c r="C42" t="str">
        <f t="shared" si="8"/>
        <v>A</v>
      </c>
      <c r="D42" t="str">
        <f t="shared" si="8"/>
        <v>A</v>
      </c>
      <c r="E42" t="str">
        <f t="shared" si="8"/>
        <v>D</v>
      </c>
      <c r="F42" t="str">
        <f t="shared" si="2"/>
        <v>B</v>
      </c>
      <c r="G42">
        <f t="shared" si="3"/>
        <v>1</v>
      </c>
      <c r="H42">
        <f t="shared" si="4"/>
        <v>1</v>
      </c>
      <c r="I42">
        <f t="shared" si="5"/>
        <v>4</v>
      </c>
      <c r="J42">
        <f t="shared" si="6"/>
        <v>2</v>
      </c>
    </row>
    <row r="43" spans="1:10" x14ac:dyDescent="0.25">
      <c r="A43">
        <v>41</v>
      </c>
      <c r="B43" t="str">
        <f t="shared" si="0"/>
        <v>NOK</v>
      </c>
      <c r="C43" t="str">
        <f t="shared" si="8"/>
        <v>A</v>
      </c>
      <c r="D43" t="str">
        <f t="shared" si="8"/>
        <v>A</v>
      </c>
      <c r="E43" t="str">
        <f t="shared" si="8"/>
        <v>D</v>
      </c>
      <c r="F43" t="str">
        <f t="shared" si="2"/>
        <v>C</v>
      </c>
      <c r="G43">
        <f t="shared" si="3"/>
        <v>1</v>
      </c>
      <c r="H43">
        <f t="shared" si="4"/>
        <v>1</v>
      </c>
      <c r="I43">
        <f t="shared" si="5"/>
        <v>4</v>
      </c>
      <c r="J43">
        <f t="shared" si="6"/>
        <v>3</v>
      </c>
    </row>
    <row r="44" spans="1:10" x14ac:dyDescent="0.25">
      <c r="A44">
        <v>42</v>
      </c>
      <c r="B44" t="str">
        <f t="shared" si="0"/>
        <v>OK</v>
      </c>
      <c r="C44" t="str">
        <f t="shared" si="8"/>
        <v>A</v>
      </c>
      <c r="D44" t="str">
        <f t="shared" si="8"/>
        <v>A</v>
      </c>
      <c r="E44" t="str">
        <f t="shared" si="8"/>
        <v>D</v>
      </c>
      <c r="F44" t="str">
        <f t="shared" si="2"/>
        <v>D</v>
      </c>
      <c r="G44">
        <f t="shared" si="3"/>
        <v>1</v>
      </c>
      <c r="H44">
        <f t="shared" si="4"/>
        <v>1</v>
      </c>
      <c r="I44">
        <f t="shared" si="5"/>
        <v>4</v>
      </c>
      <c r="J44">
        <f t="shared" si="6"/>
        <v>4</v>
      </c>
    </row>
    <row r="45" spans="1:10" x14ac:dyDescent="0.25">
      <c r="A45">
        <v>43</v>
      </c>
      <c r="B45" t="str">
        <f t="shared" si="0"/>
        <v>NOK</v>
      </c>
      <c r="C45" t="str">
        <f t="shared" si="8"/>
        <v>A</v>
      </c>
      <c r="D45" t="str">
        <f t="shared" si="8"/>
        <v>A</v>
      </c>
      <c r="E45" t="str">
        <f t="shared" si="8"/>
        <v>D</v>
      </c>
      <c r="F45" t="str">
        <f t="shared" si="2"/>
        <v>E</v>
      </c>
      <c r="G45">
        <f t="shared" si="3"/>
        <v>1</v>
      </c>
      <c r="H45">
        <f t="shared" si="4"/>
        <v>1</v>
      </c>
      <c r="I45">
        <f t="shared" si="5"/>
        <v>4</v>
      </c>
      <c r="J45">
        <f t="shared" si="6"/>
        <v>5</v>
      </c>
    </row>
    <row r="46" spans="1:10" x14ac:dyDescent="0.25">
      <c r="A46">
        <v>44</v>
      </c>
      <c r="B46" t="str">
        <f t="shared" si="0"/>
        <v>NOK</v>
      </c>
      <c r="C46" t="str">
        <f t="shared" si="8"/>
        <v>A</v>
      </c>
      <c r="D46" t="str">
        <f t="shared" si="8"/>
        <v>A</v>
      </c>
      <c r="E46" t="str">
        <f t="shared" si="8"/>
        <v>D</v>
      </c>
      <c r="F46" t="str">
        <f t="shared" si="2"/>
        <v>F</v>
      </c>
      <c r="G46">
        <f t="shared" si="3"/>
        <v>1</v>
      </c>
      <c r="H46">
        <f t="shared" si="4"/>
        <v>1</v>
      </c>
      <c r="I46">
        <f t="shared" si="5"/>
        <v>4</v>
      </c>
      <c r="J46">
        <f t="shared" si="6"/>
        <v>6</v>
      </c>
    </row>
    <row r="47" spans="1:10" x14ac:dyDescent="0.25">
      <c r="A47">
        <v>45</v>
      </c>
      <c r="B47" t="str">
        <f t="shared" si="0"/>
        <v>NOK</v>
      </c>
      <c r="C47" t="str">
        <f t="shared" si="8"/>
        <v>A</v>
      </c>
      <c r="D47" t="str">
        <f t="shared" si="8"/>
        <v>A</v>
      </c>
      <c r="E47" t="str">
        <f t="shared" si="8"/>
        <v>D</v>
      </c>
      <c r="F47" t="str">
        <f t="shared" si="2"/>
        <v>G</v>
      </c>
      <c r="G47">
        <f t="shared" si="3"/>
        <v>1</v>
      </c>
      <c r="H47">
        <f t="shared" si="4"/>
        <v>1</v>
      </c>
      <c r="I47">
        <f t="shared" si="5"/>
        <v>4</v>
      </c>
      <c r="J47">
        <f t="shared" si="6"/>
        <v>7</v>
      </c>
    </row>
    <row r="48" spans="1:10" x14ac:dyDescent="0.25">
      <c r="A48">
        <v>46</v>
      </c>
      <c r="B48" t="str">
        <f t="shared" si="0"/>
        <v>NOK</v>
      </c>
      <c r="C48" t="str">
        <f t="shared" si="8"/>
        <v>A</v>
      </c>
      <c r="D48" t="str">
        <f t="shared" si="8"/>
        <v>A</v>
      </c>
      <c r="E48" t="str">
        <f t="shared" si="8"/>
        <v>D</v>
      </c>
      <c r="F48" t="str">
        <f t="shared" si="2"/>
        <v>H</v>
      </c>
      <c r="G48">
        <f t="shared" si="3"/>
        <v>1</v>
      </c>
      <c r="H48">
        <f t="shared" si="4"/>
        <v>1</v>
      </c>
      <c r="I48">
        <f t="shared" si="5"/>
        <v>4</v>
      </c>
      <c r="J48">
        <f t="shared" si="6"/>
        <v>8</v>
      </c>
    </row>
    <row r="49" spans="1:10" x14ac:dyDescent="0.25">
      <c r="A49">
        <v>47</v>
      </c>
      <c r="B49" t="str">
        <f t="shared" si="0"/>
        <v>NOK</v>
      </c>
      <c r="C49" t="str">
        <f t="shared" si="8"/>
        <v>A</v>
      </c>
      <c r="D49" t="str">
        <f t="shared" si="8"/>
        <v>A</v>
      </c>
      <c r="E49" t="str">
        <f t="shared" si="8"/>
        <v>D</v>
      </c>
      <c r="F49" t="str">
        <f t="shared" si="2"/>
        <v>I</v>
      </c>
      <c r="G49">
        <f t="shared" si="3"/>
        <v>1</v>
      </c>
      <c r="H49">
        <f t="shared" si="4"/>
        <v>1</v>
      </c>
      <c r="I49">
        <f t="shared" si="5"/>
        <v>4</v>
      </c>
      <c r="J49">
        <f t="shared" si="6"/>
        <v>9</v>
      </c>
    </row>
    <row r="50" spans="1:10" x14ac:dyDescent="0.25">
      <c r="A50">
        <v>48</v>
      </c>
      <c r="B50" t="str">
        <f t="shared" si="0"/>
        <v>NOK</v>
      </c>
      <c r="C50" t="str">
        <f t="shared" si="8"/>
        <v>A</v>
      </c>
      <c r="D50" t="str">
        <f t="shared" si="8"/>
        <v>A</v>
      </c>
      <c r="E50" t="str">
        <f t="shared" si="8"/>
        <v>D</v>
      </c>
      <c r="F50" t="str">
        <f t="shared" si="2"/>
        <v>J</v>
      </c>
      <c r="G50">
        <f t="shared" si="3"/>
        <v>1</v>
      </c>
      <c r="H50">
        <f t="shared" si="4"/>
        <v>1</v>
      </c>
      <c r="I50">
        <f t="shared" si="5"/>
        <v>4</v>
      </c>
      <c r="J50">
        <f t="shared" si="6"/>
        <v>10</v>
      </c>
    </row>
    <row r="51" spans="1:10" x14ac:dyDescent="0.25">
      <c r="A51">
        <v>49</v>
      </c>
      <c r="B51" t="str">
        <f t="shared" si="0"/>
        <v>NOK</v>
      </c>
      <c r="C51" t="str">
        <f t="shared" si="8"/>
        <v>A</v>
      </c>
      <c r="D51" t="str">
        <f t="shared" si="8"/>
        <v>A</v>
      </c>
      <c r="E51" t="str">
        <f t="shared" si="8"/>
        <v>D</v>
      </c>
      <c r="F51" t="str">
        <f t="shared" si="2"/>
        <v>K</v>
      </c>
      <c r="G51">
        <f t="shared" si="3"/>
        <v>1</v>
      </c>
      <c r="H51">
        <f t="shared" si="4"/>
        <v>1</v>
      </c>
      <c r="I51">
        <f t="shared" si="5"/>
        <v>4</v>
      </c>
      <c r="J51">
        <f t="shared" si="6"/>
        <v>11</v>
      </c>
    </row>
    <row r="52" spans="1:10" x14ac:dyDescent="0.25">
      <c r="A52">
        <v>50</v>
      </c>
      <c r="B52" t="str">
        <f t="shared" si="0"/>
        <v>NOK</v>
      </c>
      <c r="C52" t="str">
        <f t="shared" si="8"/>
        <v>A</v>
      </c>
      <c r="D52" t="str">
        <f t="shared" si="8"/>
        <v>A</v>
      </c>
      <c r="E52" t="str">
        <f t="shared" si="8"/>
        <v>D</v>
      </c>
      <c r="F52" t="str">
        <f t="shared" si="2"/>
        <v>L</v>
      </c>
      <c r="G52">
        <f t="shared" si="3"/>
        <v>1</v>
      </c>
      <c r="H52">
        <f t="shared" si="4"/>
        <v>1</v>
      </c>
      <c r="I52">
        <f t="shared" si="5"/>
        <v>4</v>
      </c>
      <c r="J52">
        <f t="shared" si="6"/>
        <v>12</v>
      </c>
    </row>
    <row r="53" spans="1:10" x14ac:dyDescent="0.25">
      <c r="A53">
        <v>51</v>
      </c>
      <c r="B53" t="str">
        <f t="shared" si="0"/>
        <v>NOK</v>
      </c>
      <c r="C53" t="str">
        <f t="shared" si="8"/>
        <v>A</v>
      </c>
      <c r="D53" t="str">
        <f t="shared" si="8"/>
        <v>A</v>
      </c>
      <c r="E53" t="str">
        <f t="shared" si="8"/>
        <v>D</v>
      </c>
      <c r="F53" t="str">
        <f t="shared" si="2"/>
        <v>M</v>
      </c>
      <c r="G53">
        <f t="shared" si="3"/>
        <v>1</v>
      </c>
      <c r="H53">
        <f t="shared" si="4"/>
        <v>1</v>
      </c>
      <c r="I53">
        <f t="shared" si="5"/>
        <v>4</v>
      </c>
      <c r="J53">
        <f t="shared" si="6"/>
        <v>13</v>
      </c>
    </row>
    <row r="54" spans="1:10" x14ac:dyDescent="0.25">
      <c r="A54">
        <v>52</v>
      </c>
      <c r="B54" t="str">
        <f t="shared" si="0"/>
        <v>NOK</v>
      </c>
      <c r="C54" t="str">
        <f t="shared" si="8"/>
        <v>A</v>
      </c>
      <c r="D54" t="str">
        <f t="shared" si="8"/>
        <v>A</v>
      </c>
      <c r="E54" t="str">
        <f t="shared" si="8"/>
        <v>E</v>
      </c>
      <c r="F54" t="str">
        <f t="shared" si="2"/>
        <v>A</v>
      </c>
      <c r="G54">
        <f t="shared" si="3"/>
        <v>1</v>
      </c>
      <c r="H54">
        <f t="shared" si="4"/>
        <v>1</v>
      </c>
      <c r="I54">
        <f t="shared" si="5"/>
        <v>5</v>
      </c>
      <c r="J54">
        <f t="shared" si="6"/>
        <v>1</v>
      </c>
    </row>
    <row r="55" spans="1:10" x14ac:dyDescent="0.25">
      <c r="A55">
        <v>53</v>
      </c>
      <c r="B55" t="str">
        <f t="shared" si="0"/>
        <v>NOK</v>
      </c>
      <c r="C55" t="str">
        <f t="shared" si="8"/>
        <v>A</v>
      </c>
      <c r="D55" t="str">
        <f t="shared" si="8"/>
        <v>A</v>
      </c>
      <c r="E55" t="str">
        <f t="shared" si="8"/>
        <v>E</v>
      </c>
      <c r="F55" t="str">
        <f t="shared" si="2"/>
        <v>B</v>
      </c>
      <c r="G55">
        <f t="shared" si="3"/>
        <v>1</v>
      </c>
      <c r="H55">
        <f t="shared" si="4"/>
        <v>1</v>
      </c>
      <c r="I55">
        <f t="shared" si="5"/>
        <v>5</v>
      </c>
      <c r="J55">
        <f t="shared" si="6"/>
        <v>2</v>
      </c>
    </row>
    <row r="56" spans="1:10" x14ac:dyDescent="0.25">
      <c r="A56">
        <v>54</v>
      </c>
      <c r="B56" t="str">
        <f t="shared" si="0"/>
        <v>NOK</v>
      </c>
      <c r="C56" t="str">
        <f t="shared" si="8"/>
        <v>A</v>
      </c>
      <c r="D56" t="str">
        <f t="shared" si="8"/>
        <v>A</v>
      </c>
      <c r="E56" t="str">
        <f t="shared" si="8"/>
        <v>E</v>
      </c>
      <c r="F56" t="str">
        <f t="shared" si="2"/>
        <v>C</v>
      </c>
      <c r="G56">
        <f t="shared" si="3"/>
        <v>1</v>
      </c>
      <c r="H56">
        <f t="shared" si="4"/>
        <v>1</v>
      </c>
      <c r="I56">
        <f t="shared" si="5"/>
        <v>5</v>
      </c>
      <c r="J56">
        <f t="shared" si="6"/>
        <v>3</v>
      </c>
    </row>
    <row r="57" spans="1:10" x14ac:dyDescent="0.25">
      <c r="A57">
        <v>55</v>
      </c>
      <c r="B57" t="str">
        <f t="shared" si="0"/>
        <v>NOK</v>
      </c>
      <c r="C57" t="str">
        <f t="shared" si="8"/>
        <v>A</v>
      </c>
      <c r="D57" t="str">
        <f t="shared" si="8"/>
        <v>A</v>
      </c>
      <c r="E57" t="str">
        <f t="shared" si="8"/>
        <v>E</v>
      </c>
      <c r="F57" t="str">
        <f t="shared" si="2"/>
        <v>D</v>
      </c>
      <c r="G57">
        <f t="shared" si="3"/>
        <v>1</v>
      </c>
      <c r="H57">
        <f t="shared" si="4"/>
        <v>1</v>
      </c>
      <c r="I57">
        <f t="shared" si="5"/>
        <v>5</v>
      </c>
      <c r="J57">
        <f t="shared" si="6"/>
        <v>4</v>
      </c>
    </row>
    <row r="58" spans="1:10" x14ac:dyDescent="0.25">
      <c r="A58">
        <v>56</v>
      </c>
      <c r="B58" t="str">
        <f t="shared" si="0"/>
        <v>OK</v>
      </c>
      <c r="C58" t="str">
        <f t="shared" si="8"/>
        <v>A</v>
      </c>
      <c r="D58" t="str">
        <f t="shared" si="8"/>
        <v>A</v>
      </c>
      <c r="E58" t="str">
        <f t="shared" si="8"/>
        <v>E</v>
      </c>
      <c r="F58" t="str">
        <f t="shared" si="2"/>
        <v>E</v>
      </c>
      <c r="G58">
        <f t="shared" si="3"/>
        <v>1</v>
      </c>
      <c r="H58">
        <f t="shared" si="4"/>
        <v>1</v>
      </c>
      <c r="I58">
        <f t="shared" si="5"/>
        <v>5</v>
      </c>
      <c r="J58">
        <f t="shared" si="6"/>
        <v>5</v>
      </c>
    </row>
    <row r="59" spans="1:10" x14ac:dyDescent="0.25">
      <c r="A59">
        <v>57</v>
      </c>
      <c r="B59" t="str">
        <f t="shared" si="0"/>
        <v>NOK</v>
      </c>
      <c r="C59" t="str">
        <f t="shared" si="8"/>
        <v>A</v>
      </c>
      <c r="D59" t="str">
        <f t="shared" si="8"/>
        <v>A</v>
      </c>
      <c r="E59" t="str">
        <f t="shared" si="8"/>
        <v>E</v>
      </c>
      <c r="F59" t="str">
        <f t="shared" si="2"/>
        <v>F</v>
      </c>
      <c r="G59">
        <f t="shared" si="3"/>
        <v>1</v>
      </c>
      <c r="H59">
        <f t="shared" si="4"/>
        <v>1</v>
      </c>
      <c r="I59">
        <f t="shared" si="5"/>
        <v>5</v>
      </c>
      <c r="J59">
        <f t="shared" si="6"/>
        <v>6</v>
      </c>
    </row>
    <row r="60" spans="1:10" x14ac:dyDescent="0.25">
      <c r="A60">
        <v>58</v>
      </c>
      <c r="B60" t="str">
        <f t="shared" si="0"/>
        <v>NOK</v>
      </c>
      <c r="C60" t="str">
        <f t="shared" si="8"/>
        <v>A</v>
      </c>
      <c r="D60" t="str">
        <f t="shared" si="8"/>
        <v>A</v>
      </c>
      <c r="E60" t="str">
        <f t="shared" si="8"/>
        <v>E</v>
      </c>
      <c r="F60" t="str">
        <f t="shared" si="2"/>
        <v>G</v>
      </c>
      <c r="G60">
        <f t="shared" si="3"/>
        <v>1</v>
      </c>
      <c r="H60">
        <f t="shared" si="4"/>
        <v>1</v>
      </c>
      <c r="I60">
        <f t="shared" si="5"/>
        <v>5</v>
      </c>
      <c r="J60">
        <f t="shared" si="6"/>
        <v>7</v>
      </c>
    </row>
    <row r="61" spans="1:10" x14ac:dyDescent="0.25">
      <c r="A61">
        <v>59</v>
      </c>
      <c r="B61" t="str">
        <f t="shared" si="0"/>
        <v>NOK</v>
      </c>
      <c r="C61" t="str">
        <f t="shared" si="8"/>
        <v>A</v>
      </c>
      <c r="D61" t="str">
        <f t="shared" si="8"/>
        <v>A</v>
      </c>
      <c r="E61" t="str">
        <f t="shared" si="8"/>
        <v>E</v>
      </c>
      <c r="F61" t="str">
        <f t="shared" si="2"/>
        <v>H</v>
      </c>
      <c r="G61">
        <f t="shared" si="3"/>
        <v>1</v>
      </c>
      <c r="H61">
        <f t="shared" si="4"/>
        <v>1</v>
      </c>
      <c r="I61">
        <f t="shared" si="5"/>
        <v>5</v>
      </c>
      <c r="J61">
        <f t="shared" si="6"/>
        <v>8</v>
      </c>
    </row>
    <row r="62" spans="1:10" x14ac:dyDescent="0.25">
      <c r="A62">
        <v>60</v>
      </c>
      <c r="B62" t="str">
        <f t="shared" si="0"/>
        <v>NOK</v>
      </c>
      <c r="C62" t="str">
        <f t="shared" si="8"/>
        <v>A</v>
      </c>
      <c r="D62" t="str">
        <f t="shared" si="8"/>
        <v>A</v>
      </c>
      <c r="E62" t="str">
        <f t="shared" si="8"/>
        <v>E</v>
      </c>
      <c r="F62" t="str">
        <f t="shared" si="2"/>
        <v>I</v>
      </c>
      <c r="G62">
        <f t="shared" si="3"/>
        <v>1</v>
      </c>
      <c r="H62">
        <f t="shared" si="4"/>
        <v>1</v>
      </c>
      <c r="I62">
        <f t="shared" si="5"/>
        <v>5</v>
      </c>
      <c r="J62">
        <f t="shared" si="6"/>
        <v>9</v>
      </c>
    </row>
    <row r="63" spans="1:10" x14ac:dyDescent="0.25">
      <c r="A63">
        <v>61</v>
      </c>
      <c r="B63" t="str">
        <f t="shared" si="0"/>
        <v>NOK</v>
      </c>
      <c r="C63" t="str">
        <f t="shared" si="8"/>
        <v>A</v>
      </c>
      <c r="D63" t="str">
        <f t="shared" si="8"/>
        <v>A</v>
      </c>
      <c r="E63" t="str">
        <f t="shared" si="8"/>
        <v>E</v>
      </c>
      <c r="F63" t="str">
        <f t="shared" si="2"/>
        <v>J</v>
      </c>
      <c r="G63">
        <f t="shared" si="3"/>
        <v>1</v>
      </c>
      <c r="H63">
        <f t="shared" si="4"/>
        <v>1</v>
      </c>
      <c r="I63">
        <f t="shared" si="5"/>
        <v>5</v>
      </c>
      <c r="J63">
        <f t="shared" si="6"/>
        <v>10</v>
      </c>
    </row>
    <row r="64" spans="1:10" x14ac:dyDescent="0.25">
      <c r="A64">
        <v>62</v>
      </c>
      <c r="B64" t="str">
        <f t="shared" si="0"/>
        <v>NOK</v>
      </c>
      <c r="C64" t="str">
        <f t="shared" si="8"/>
        <v>A</v>
      </c>
      <c r="D64" t="str">
        <f t="shared" si="8"/>
        <v>A</v>
      </c>
      <c r="E64" t="str">
        <f t="shared" si="8"/>
        <v>E</v>
      </c>
      <c r="F64" t="str">
        <f t="shared" si="2"/>
        <v>K</v>
      </c>
      <c r="G64">
        <f t="shared" si="3"/>
        <v>1</v>
      </c>
      <c r="H64">
        <f t="shared" si="4"/>
        <v>1</v>
      </c>
      <c r="I64">
        <f t="shared" si="5"/>
        <v>5</v>
      </c>
      <c r="J64">
        <f t="shared" si="6"/>
        <v>11</v>
      </c>
    </row>
    <row r="65" spans="1:10" x14ac:dyDescent="0.25">
      <c r="A65">
        <v>63</v>
      </c>
      <c r="B65" t="str">
        <f t="shared" si="0"/>
        <v>NOK</v>
      </c>
      <c r="C65" t="str">
        <f t="shared" si="8"/>
        <v>A</v>
      </c>
      <c r="D65" t="str">
        <f t="shared" si="8"/>
        <v>A</v>
      </c>
      <c r="E65" t="str">
        <f t="shared" si="8"/>
        <v>E</v>
      </c>
      <c r="F65" t="str">
        <f t="shared" si="2"/>
        <v>L</v>
      </c>
      <c r="G65">
        <f t="shared" si="3"/>
        <v>1</v>
      </c>
      <c r="H65">
        <f t="shared" si="4"/>
        <v>1</v>
      </c>
      <c r="I65">
        <f t="shared" si="5"/>
        <v>5</v>
      </c>
      <c r="J65">
        <f t="shared" si="6"/>
        <v>12</v>
      </c>
    </row>
    <row r="66" spans="1:10" x14ac:dyDescent="0.25">
      <c r="A66">
        <v>64</v>
      </c>
      <c r="B66" t="str">
        <f t="shared" ref="B66:B129" si="9">IF(ROUND(_xlfn.XLOOKUP(C66,$U$1:$U$5,$T$1:$T$5,,0,1)+_xlfn.XLOOKUP(D66,$W$1:$W$5,$V$1:$V$5,,0,1)+_xlfn.XLOOKUP(E66,$Y$1:$Y$5,$X$1:$X$5,,0,1)-_xlfn.XLOOKUP(F66,$AA$1:$AA$13,$Z$1:$Z$13,,0,1),3)=0.325,"OK","NOK")</f>
        <v>NOK</v>
      </c>
      <c r="C66" t="str">
        <f t="shared" si="8"/>
        <v>A</v>
      </c>
      <c r="D66" t="str">
        <f t="shared" si="8"/>
        <v>A</v>
      </c>
      <c r="E66" t="str">
        <f t="shared" si="8"/>
        <v>E</v>
      </c>
      <c r="F66" t="str">
        <f t="shared" ref="F66:F129" si="10">IF(J66=1,"A",IF(J66=2,"B",IF(J66=3,"C",IF(J66=4,"D",IF(J66=5,"E",IF(J66=6,"F",IF(J66=7,"G",IF(J66=8,"H",IF(J66=9,"I",IF(J66=10,"J",IF(J66=11,"K",IF(J66=12,"L",IF(J66=13,"M","ERRO")))))))))))))</f>
        <v>M</v>
      </c>
      <c r="G66">
        <f t="shared" ref="G66:G129" si="11">INT($A66/325)+1</f>
        <v>1</v>
      </c>
      <c r="H66">
        <f t="shared" ref="H66:H129" si="12">INT(MOD($A66,325)/65)+1</f>
        <v>1</v>
      </c>
      <c r="I66">
        <f t="shared" ref="I66:I129" si="13">INT(MOD($A66,65)/13)+1</f>
        <v>5</v>
      </c>
      <c r="J66">
        <f t="shared" ref="J66:J129" si="14">MOD($A66,13)+1</f>
        <v>13</v>
      </c>
    </row>
    <row r="67" spans="1:10" x14ac:dyDescent="0.25">
      <c r="A67">
        <v>65</v>
      </c>
      <c r="B67" t="str">
        <f t="shared" si="9"/>
        <v>NOK</v>
      </c>
      <c r="C67" t="str">
        <f t="shared" ref="C67:E130" si="15">IF(G67=1,"A",IF(G67=2,"B",IF(G67=3,"C",IF(G67=4,"D",IF(G67=5,"E","ERRO")))))</f>
        <v>A</v>
      </c>
      <c r="D67" t="str">
        <f t="shared" si="15"/>
        <v>B</v>
      </c>
      <c r="E67" t="str">
        <f t="shared" si="15"/>
        <v>A</v>
      </c>
      <c r="F67" t="str">
        <f t="shared" si="10"/>
        <v>A</v>
      </c>
      <c r="G67">
        <f t="shared" si="11"/>
        <v>1</v>
      </c>
      <c r="H67">
        <f t="shared" si="12"/>
        <v>2</v>
      </c>
      <c r="I67">
        <f t="shared" si="13"/>
        <v>1</v>
      </c>
      <c r="J67">
        <f t="shared" si="14"/>
        <v>1</v>
      </c>
    </row>
    <row r="68" spans="1:10" x14ac:dyDescent="0.25">
      <c r="A68">
        <v>66</v>
      </c>
      <c r="B68" t="str">
        <f t="shared" si="9"/>
        <v>OK</v>
      </c>
      <c r="C68" t="str">
        <f t="shared" si="15"/>
        <v>A</v>
      </c>
      <c r="D68" t="str">
        <f t="shared" si="15"/>
        <v>B</v>
      </c>
      <c r="E68" t="str">
        <f t="shared" si="15"/>
        <v>A</v>
      </c>
      <c r="F68" t="str">
        <f t="shared" si="10"/>
        <v>B</v>
      </c>
      <c r="G68">
        <f t="shared" si="11"/>
        <v>1</v>
      </c>
      <c r="H68">
        <f t="shared" si="12"/>
        <v>2</v>
      </c>
      <c r="I68">
        <f t="shared" si="13"/>
        <v>1</v>
      </c>
      <c r="J68">
        <f t="shared" si="14"/>
        <v>2</v>
      </c>
    </row>
    <row r="69" spans="1:10" x14ac:dyDescent="0.25">
      <c r="A69">
        <v>67</v>
      </c>
      <c r="B69" t="str">
        <f t="shared" si="9"/>
        <v>NOK</v>
      </c>
      <c r="C69" t="str">
        <f t="shared" si="15"/>
        <v>A</v>
      </c>
      <c r="D69" t="str">
        <f t="shared" si="15"/>
        <v>B</v>
      </c>
      <c r="E69" t="str">
        <f t="shared" si="15"/>
        <v>A</v>
      </c>
      <c r="F69" t="str">
        <f t="shared" si="10"/>
        <v>C</v>
      </c>
      <c r="G69">
        <f t="shared" si="11"/>
        <v>1</v>
      </c>
      <c r="H69">
        <f t="shared" si="12"/>
        <v>2</v>
      </c>
      <c r="I69">
        <f t="shared" si="13"/>
        <v>1</v>
      </c>
      <c r="J69">
        <f t="shared" si="14"/>
        <v>3</v>
      </c>
    </row>
    <row r="70" spans="1:10" x14ac:dyDescent="0.25">
      <c r="A70">
        <v>68</v>
      </c>
      <c r="B70" t="str">
        <f t="shared" si="9"/>
        <v>NOK</v>
      </c>
      <c r="C70" t="str">
        <f t="shared" si="15"/>
        <v>A</v>
      </c>
      <c r="D70" t="str">
        <f t="shared" si="15"/>
        <v>B</v>
      </c>
      <c r="E70" t="str">
        <f t="shared" si="15"/>
        <v>A</v>
      </c>
      <c r="F70" t="str">
        <f t="shared" si="10"/>
        <v>D</v>
      </c>
      <c r="G70">
        <f t="shared" si="11"/>
        <v>1</v>
      </c>
      <c r="H70">
        <f t="shared" si="12"/>
        <v>2</v>
      </c>
      <c r="I70">
        <f t="shared" si="13"/>
        <v>1</v>
      </c>
      <c r="J70">
        <f t="shared" si="14"/>
        <v>4</v>
      </c>
    </row>
    <row r="71" spans="1:10" x14ac:dyDescent="0.25">
      <c r="A71">
        <v>69</v>
      </c>
      <c r="B71" t="str">
        <f t="shared" si="9"/>
        <v>NOK</v>
      </c>
      <c r="C71" t="str">
        <f t="shared" si="15"/>
        <v>A</v>
      </c>
      <c r="D71" t="str">
        <f t="shared" si="15"/>
        <v>B</v>
      </c>
      <c r="E71" t="str">
        <f t="shared" si="15"/>
        <v>A</v>
      </c>
      <c r="F71" t="str">
        <f t="shared" si="10"/>
        <v>E</v>
      </c>
      <c r="G71">
        <f t="shared" si="11"/>
        <v>1</v>
      </c>
      <c r="H71">
        <f t="shared" si="12"/>
        <v>2</v>
      </c>
      <c r="I71">
        <f t="shared" si="13"/>
        <v>1</v>
      </c>
      <c r="J71">
        <f t="shared" si="14"/>
        <v>5</v>
      </c>
    </row>
    <row r="72" spans="1:10" x14ac:dyDescent="0.25">
      <c r="A72">
        <v>70</v>
      </c>
      <c r="B72" t="str">
        <f t="shared" si="9"/>
        <v>NOK</v>
      </c>
      <c r="C72" t="str">
        <f t="shared" si="15"/>
        <v>A</v>
      </c>
      <c r="D72" t="str">
        <f t="shared" si="15"/>
        <v>B</v>
      </c>
      <c r="E72" t="str">
        <f t="shared" si="15"/>
        <v>A</v>
      </c>
      <c r="F72" t="str">
        <f t="shared" si="10"/>
        <v>F</v>
      </c>
      <c r="G72">
        <f t="shared" si="11"/>
        <v>1</v>
      </c>
      <c r="H72">
        <f t="shared" si="12"/>
        <v>2</v>
      </c>
      <c r="I72">
        <f t="shared" si="13"/>
        <v>1</v>
      </c>
      <c r="J72">
        <f t="shared" si="14"/>
        <v>6</v>
      </c>
    </row>
    <row r="73" spans="1:10" x14ac:dyDescent="0.25">
      <c r="A73">
        <v>71</v>
      </c>
      <c r="B73" t="str">
        <f t="shared" si="9"/>
        <v>NOK</v>
      </c>
      <c r="C73" t="str">
        <f t="shared" si="15"/>
        <v>A</v>
      </c>
      <c r="D73" t="str">
        <f t="shared" si="15"/>
        <v>B</v>
      </c>
      <c r="E73" t="str">
        <f t="shared" si="15"/>
        <v>A</v>
      </c>
      <c r="F73" t="str">
        <f t="shared" si="10"/>
        <v>G</v>
      </c>
      <c r="G73">
        <f t="shared" si="11"/>
        <v>1</v>
      </c>
      <c r="H73">
        <f t="shared" si="12"/>
        <v>2</v>
      </c>
      <c r="I73">
        <f t="shared" si="13"/>
        <v>1</v>
      </c>
      <c r="J73">
        <f t="shared" si="14"/>
        <v>7</v>
      </c>
    </row>
    <row r="74" spans="1:10" x14ac:dyDescent="0.25">
      <c r="A74">
        <v>72</v>
      </c>
      <c r="B74" t="str">
        <f t="shared" si="9"/>
        <v>NOK</v>
      </c>
      <c r="C74" t="str">
        <f t="shared" si="15"/>
        <v>A</v>
      </c>
      <c r="D74" t="str">
        <f t="shared" si="15"/>
        <v>B</v>
      </c>
      <c r="E74" t="str">
        <f t="shared" si="15"/>
        <v>A</v>
      </c>
      <c r="F74" t="str">
        <f t="shared" si="10"/>
        <v>H</v>
      </c>
      <c r="G74">
        <f t="shared" si="11"/>
        <v>1</v>
      </c>
      <c r="H74">
        <f t="shared" si="12"/>
        <v>2</v>
      </c>
      <c r="I74">
        <f t="shared" si="13"/>
        <v>1</v>
      </c>
      <c r="J74">
        <f t="shared" si="14"/>
        <v>8</v>
      </c>
    </row>
    <row r="75" spans="1:10" x14ac:dyDescent="0.25">
      <c r="A75">
        <v>73</v>
      </c>
      <c r="B75" t="str">
        <f t="shared" si="9"/>
        <v>NOK</v>
      </c>
      <c r="C75" t="str">
        <f t="shared" si="15"/>
        <v>A</v>
      </c>
      <c r="D75" t="str">
        <f t="shared" si="15"/>
        <v>B</v>
      </c>
      <c r="E75" t="str">
        <f t="shared" si="15"/>
        <v>A</v>
      </c>
      <c r="F75" t="str">
        <f t="shared" si="10"/>
        <v>I</v>
      </c>
      <c r="G75">
        <f t="shared" si="11"/>
        <v>1</v>
      </c>
      <c r="H75">
        <f t="shared" si="12"/>
        <v>2</v>
      </c>
      <c r="I75">
        <f t="shared" si="13"/>
        <v>1</v>
      </c>
      <c r="J75">
        <f t="shared" si="14"/>
        <v>9</v>
      </c>
    </row>
    <row r="76" spans="1:10" x14ac:dyDescent="0.25">
      <c r="A76">
        <v>74</v>
      </c>
      <c r="B76" t="str">
        <f t="shared" si="9"/>
        <v>NOK</v>
      </c>
      <c r="C76" t="str">
        <f t="shared" si="15"/>
        <v>A</v>
      </c>
      <c r="D76" t="str">
        <f t="shared" si="15"/>
        <v>B</v>
      </c>
      <c r="E76" t="str">
        <f t="shared" si="15"/>
        <v>A</v>
      </c>
      <c r="F76" t="str">
        <f t="shared" si="10"/>
        <v>J</v>
      </c>
      <c r="G76">
        <f t="shared" si="11"/>
        <v>1</v>
      </c>
      <c r="H76">
        <f t="shared" si="12"/>
        <v>2</v>
      </c>
      <c r="I76">
        <f t="shared" si="13"/>
        <v>1</v>
      </c>
      <c r="J76">
        <f t="shared" si="14"/>
        <v>10</v>
      </c>
    </row>
    <row r="77" spans="1:10" x14ac:dyDescent="0.25">
      <c r="A77">
        <v>75</v>
      </c>
      <c r="B77" t="str">
        <f t="shared" si="9"/>
        <v>NOK</v>
      </c>
      <c r="C77" t="str">
        <f t="shared" si="15"/>
        <v>A</v>
      </c>
      <c r="D77" t="str">
        <f t="shared" si="15"/>
        <v>B</v>
      </c>
      <c r="E77" t="str">
        <f t="shared" si="15"/>
        <v>A</v>
      </c>
      <c r="F77" t="str">
        <f t="shared" si="10"/>
        <v>K</v>
      </c>
      <c r="G77">
        <f t="shared" si="11"/>
        <v>1</v>
      </c>
      <c r="H77">
        <f t="shared" si="12"/>
        <v>2</v>
      </c>
      <c r="I77">
        <f t="shared" si="13"/>
        <v>1</v>
      </c>
      <c r="J77">
        <f t="shared" si="14"/>
        <v>11</v>
      </c>
    </row>
    <row r="78" spans="1:10" x14ac:dyDescent="0.25">
      <c r="A78">
        <v>76</v>
      </c>
      <c r="B78" t="str">
        <f t="shared" si="9"/>
        <v>NOK</v>
      </c>
      <c r="C78" t="str">
        <f t="shared" si="15"/>
        <v>A</v>
      </c>
      <c r="D78" t="str">
        <f t="shared" si="15"/>
        <v>B</v>
      </c>
      <c r="E78" t="str">
        <f t="shared" si="15"/>
        <v>A</v>
      </c>
      <c r="F78" t="str">
        <f t="shared" si="10"/>
        <v>L</v>
      </c>
      <c r="G78">
        <f t="shared" si="11"/>
        <v>1</v>
      </c>
      <c r="H78">
        <f t="shared" si="12"/>
        <v>2</v>
      </c>
      <c r="I78">
        <f t="shared" si="13"/>
        <v>1</v>
      </c>
      <c r="J78">
        <f t="shared" si="14"/>
        <v>12</v>
      </c>
    </row>
    <row r="79" spans="1:10" x14ac:dyDescent="0.25">
      <c r="A79">
        <v>77</v>
      </c>
      <c r="B79" t="str">
        <f t="shared" si="9"/>
        <v>NOK</v>
      </c>
      <c r="C79" t="str">
        <f t="shared" si="15"/>
        <v>A</v>
      </c>
      <c r="D79" t="str">
        <f t="shared" si="15"/>
        <v>B</v>
      </c>
      <c r="E79" t="str">
        <f t="shared" si="15"/>
        <v>A</v>
      </c>
      <c r="F79" t="str">
        <f t="shared" si="10"/>
        <v>M</v>
      </c>
      <c r="G79">
        <f t="shared" si="11"/>
        <v>1</v>
      </c>
      <c r="H79">
        <f t="shared" si="12"/>
        <v>2</v>
      </c>
      <c r="I79">
        <f t="shared" si="13"/>
        <v>1</v>
      </c>
      <c r="J79">
        <f t="shared" si="14"/>
        <v>13</v>
      </c>
    </row>
    <row r="80" spans="1:10" x14ac:dyDescent="0.25">
      <c r="A80">
        <v>78</v>
      </c>
      <c r="B80" t="str">
        <f t="shared" si="9"/>
        <v>NOK</v>
      </c>
      <c r="C80" t="str">
        <f t="shared" si="15"/>
        <v>A</v>
      </c>
      <c r="D80" t="str">
        <f t="shared" si="15"/>
        <v>B</v>
      </c>
      <c r="E80" t="str">
        <f t="shared" si="15"/>
        <v>B</v>
      </c>
      <c r="F80" t="str">
        <f t="shared" si="10"/>
        <v>A</v>
      </c>
      <c r="G80">
        <f t="shared" si="11"/>
        <v>1</v>
      </c>
      <c r="H80">
        <f t="shared" si="12"/>
        <v>2</v>
      </c>
      <c r="I80">
        <f t="shared" si="13"/>
        <v>2</v>
      </c>
      <c r="J80">
        <f t="shared" si="14"/>
        <v>1</v>
      </c>
    </row>
    <row r="81" spans="1:10" x14ac:dyDescent="0.25">
      <c r="A81">
        <v>79</v>
      </c>
      <c r="B81" t="str">
        <f t="shared" si="9"/>
        <v>NOK</v>
      </c>
      <c r="C81" t="str">
        <f t="shared" si="15"/>
        <v>A</v>
      </c>
      <c r="D81" t="str">
        <f t="shared" si="15"/>
        <v>B</v>
      </c>
      <c r="E81" t="str">
        <f t="shared" si="15"/>
        <v>B</v>
      </c>
      <c r="F81" t="str">
        <f t="shared" si="10"/>
        <v>B</v>
      </c>
      <c r="G81">
        <f t="shared" si="11"/>
        <v>1</v>
      </c>
      <c r="H81">
        <f t="shared" si="12"/>
        <v>2</v>
      </c>
      <c r="I81">
        <f t="shared" si="13"/>
        <v>2</v>
      </c>
      <c r="J81">
        <f t="shared" si="14"/>
        <v>2</v>
      </c>
    </row>
    <row r="82" spans="1:10" x14ac:dyDescent="0.25">
      <c r="A82">
        <v>80</v>
      </c>
      <c r="B82" t="str">
        <f t="shared" si="9"/>
        <v>OK</v>
      </c>
      <c r="C82" t="str">
        <f t="shared" si="15"/>
        <v>A</v>
      </c>
      <c r="D82" t="str">
        <f t="shared" si="15"/>
        <v>B</v>
      </c>
      <c r="E82" t="str">
        <f t="shared" si="15"/>
        <v>B</v>
      </c>
      <c r="F82" t="str">
        <f t="shared" si="10"/>
        <v>C</v>
      </c>
      <c r="G82">
        <f t="shared" si="11"/>
        <v>1</v>
      </c>
      <c r="H82">
        <f t="shared" si="12"/>
        <v>2</v>
      </c>
      <c r="I82">
        <f t="shared" si="13"/>
        <v>2</v>
      </c>
      <c r="J82">
        <f t="shared" si="14"/>
        <v>3</v>
      </c>
    </row>
    <row r="83" spans="1:10" x14ac:dyDescent="0.25">
      <c r="A83">
        <v>81</v>
      </c>
      <c r="B83" t="str">
        <f t="shared" si="9"/>
        <v>NOK</v>
      </c>
      <c r="C83" t="str">
        <f t="shared" si="15"/>
        <v>A</v>
      </c>
      <c r="D83" t="str">
        <f t="shared" si="15"/>
        <v>B</v>
      </c>
      <c r="E83" t="str">
        <f t="shared" si="15"/>
        <v>B</v>
      </c>
      <c r="F83" t="str">
        <f t="shared" si="10"/>
        <v>D</v>
      </c>
      <c r="G83">
        <f t="shared" si="11"/>
        <v>1</v>
      </c>
      <c r="H83">
        <f t="shared" si="12"/>
        <v>2</v>
      </c>
      <c r="I83">
        <f t="shared" si="13"/>
        <v>2</v>
      </c>
      <c r="J83">
        <f t="shared" si="14"/>
        <v>4</v>
      </c>
    </row>
    <row r="84" spans="1:10" x14ac:dyDescent="0.25">
      <c r="A84">
        <v>82</v>
      </c>
      <c r="B84" t="str">
        <f t="shared" si="9"/>
        <v>NOK</v>
      </c>
      <c r="C84" t="str">
        <f t="shared" si="15"/>
        <v>A</v>
      </c>
      <c r="D84" t="str">
        <f t="shared" si="15"/>
        <v>B</v>
      </c>
      <c r="E84" t="str">
        <f t="shared" si="15"/>
        <v>B</v>
      </c>
      <c r="F84" t="str">
        <f t="shared" si="10"/>
        <v>E</v>
      </c>
      <c r="G84">
        <f t="shared" si="11"/>
        <v>1</v>
      </c>
      <c r="H84">
        <f t="shared" si="12"/>
        <v>2</v>
      </c>
      <c r="I84">
        <f t="shared" si="13"/>
        <v>2</v>
      </c>
      <c r="J84">
        <f t="shared" si="14"/>
        <v>5</v>
      </c>
    </row>
    <row r="85" spans="1:10" x14ac:dyDescent="0.25">
      <c r="A85">
        <v>83</v>
      </c>
      <c r="B85" t="str">
        <f t="shared" si="9"/>
        <v>NOK</v>
      </c>
      <c r="C85" t="str">
        <f t="shared" si="15"/>
        <v>A</v>
      </c>
      <c r="D85" t="str">
        <f t="shared" si="15"/>
        <v>B</v>
      </c>
      <c r="E85" t="str">
        <f t="shared" si="15"/>
        <v>B</v>
      </c>
      <c r="F85" t="str">
        <f t="shared" si="10"/>
        <v>F</v>
      </c>
      <c r="G85">
        <f t="shared" si="11"/>
        <v>1</v>
      </c>
      <c r="H85">
        <f t="shared" si="12"/>
        <v>2</v>
      </c>
      <c r="I85">
        <f t="shared" si="13"/>
        <v>2</v>
      </c>
      <c r="J85">
        <f t="shared" si="14"/>
        <v>6</v>
      </c>
    </row>
    <row r="86" spans="1:10" x14ac:dyDescent="0.25">
      <c r="A86">
        <v>84</v>
      </c>
      <c r="B86" t="str">
        <f t="shared" si="9"/>
        <v>NOK</v>
      </c>
      <c r="C86" t="str">
        <f t="shared" si="15"/>
        <v>A</v>
      </c>
      <c r="D86" t="str">
        <f t="shared" si="15"/>
        <v>B</v>
      </c>
      <c r="E86" t="str">
        <f t="shared" si="15"/>
        <v>B</v>
      </c>
      <c r="F86" t="str">
        <f t="shared" si="10"/>
        <v>G</v>
      </c>
      <c r="G86">
        <f t="shared" si="11"/>
        <v>1</v>
      </c>
      <c r="H86">
        <f t="shared" si="12"/>
        <v>2</v>
      </c>
      <c r="I86">
        <f t="shared" si="13"/>
        <v>2</v>
      </c>
      <c r="J86">
        <f t="shared" si="14"/>
        <v>7</v>
      </c>
    </row>
    <row r="87" spans="1:10" x14ac:dyDescent="0.25">
      <c r="A87">
        <v>85</v>
      </c>
      <c r="B87" t="str">
        <f t="shared" si="9"/>
        <v>NOK</v>
      </c>
      <c r="C87" t="str">
        <f t="shared" si="15"/>
        <v>A</v>
      </c>
      <c r="D87" t="str">
        <f t="shared" si="15"/>
        <v>B</v>
      </c>
      <c r="E87" t="str">
        <f t="shared" si="15"/>
        <v>B</v>
      </c>
      <c r="F87" t="str">
        <f t="shared" si="10"/>
        <v>H</v>
      </c>
      <c r="G87">
        <f t="shared" si="11"/>
        <v>1</v>
      </c>
      <c r="H87">
        <f t="shared" si="12"/>
        <v>2</v>
      </c>
      <c r="I87">
        <f t="shared" si="13"/>
        <v>2</v>
      </c>
      <c r="J87">
        <f t="shared" si="14"/>
        <v>8</v>
      </c>
    </row>
    <row r="88" spans="1:10" x14ac:dyDescent="0.25">
      <c r="A88">
        <v>86</v>
      </c>
      <c r="B88" t="str">
        <f t="shared" si="9"/>
        <v>NOK</v>
      </c>
      <c r="C88" t="str">
        <f t="shared" si="15"/>
        <v>A</v>
      </c>
      <c r="D88" t="str">
        <f t="shared" si="15"/>
        <v>B</v>
      </c>
      <c r="E88" t="str">
        <f t="shared" si="15"/>
        <v>B</v>
      </c>
      <c r="F88" t="str">
        <f t="shared" si="10"/>
        <v>I</v>
      </c>
      <c r="G88">
        <f t="shared" si="11"/>
        <v>1</v>
      </c>
      <c r="H88">
        <f t="shared" si="12"/>
        <v>2</v>
      </c>
      <c r="I88">
        <f t="shared" si="13"/>
        <v>2</v>
      </c>
      <c r="J88">
        <f t="shared" si="14"/>
        <v>9</v>
      </c>
    </row>
    <row r="89" spans="1:10" x14ac:dyDescent="0.25">
      <c r="A89">
        <v>87</v>
      </c>
      <c r="B89" t="str">
        <f t="shared" si="9"/>
        <v>NOK</v>
      </c>
      <c r="C89" t="str">
        <f t="shared" si="15"/>
        <v>A</v>
      </c>
      <c r="D89" t="str">
        <f t="shared" si="15"/>
        <v>B</v>
      </c>
      <c r="E89" t="str">
        <f t="shared" si="15"/>
        <v>B</v>
      </c>
      <c r="F89" t="str">
        <f t="shared" si="10"/>
        <v>J</v>
      </c>
      <c r="G89">
        <f t="shared" si="11"/>
        <v>1</v>
      </c>
      <c r="H89">
        <f t="shared" si="12"/>
        <v>2</v>
      </c>
      <c r="I89">
        <f t="shared" si="13"/>
        <v>2</v>
      </c>
      <c r="J89">
        <f t="shared" si="14"/>
        <v>10</v>
      </c>
    </row>
    <row r="90" spans="1:10" x14ac:dyDescent="0.25">
      <c r="A90">
        <v>88</v>
      </c>
      <c r="B90" t="str">
        <f t="shared" si="9"/>
        <v>NOK</v>
      </c>
      <c r="C90" t="str">
        <f t="shared" si="15"/>
        <v>A</v>
      </c>
      <c r="D90" t="str">
        <f t="shared" si="15"/>
        <v>B</v>
      </c>
      <c r="E90" t="str">
        <f t="shared" si="15"/>
        <v>B</v>
      </c>
      <c r="F90" t="str">
        <f t="shared" si="10"/>
        <v>K</v>
      </c>
      <c r="G90">
        <f t="shared" si="11"/>
        <v>1</v>
      </c>
      <c r="H90">
        <f t="shared" si="12"/>
        <v>2</v>
      </c>
      <c r="I90">
        <f t="shared" si="13"/>
        <v>2</v>
      </c>
      <c r="J90">
        <f t="shared" si="14"/>
        <v>11</v>
      </c>
    </row>
    <row r="91" spans="1:10" x14ac:dyDescent="0.25">
      <c r="A91">
        <v>89</v>
      </c>
      <c r="B91" t="str">
        <f t="shared" si="9"/>
        <v>NOK</v>
      </c>
      <c r="C91" t="str">
        <f t="shared" si="15"/>
        <v>A</v>
      </c>
      <c r="D91" t="str">
        <f t="shared" si="15"/>
        <v>B</v>
      </c>
      <c r="E91" t="str">
        <f t="shared" si="15"/>
        <v>B</v>
      </c>
      <c r="F91" t="str">
        <f t="shared" si="10"/>
        <v>L</v>
      </c>
      <c r="G91">
        <f t="shared" si="11"/>
        <v>1</v>
      </c>
      <c r="H91">
        <f t="shared" si="12"/>
        <v>2</v>
      </c>
      <c r="I91">
        <f t="shared" si="13"/>
        <v>2</v>
      </c>
      <c r="J91">
        <f t="shared" si="14"/>
        <v>12</v>
      </c>
    </row>
    <row r="92" spans="1:10" x14ac:dyDescent="0.25">
      <c r="A92">
        <v>90</v>
      </c>
      <c r="B92" t="str">
        <f t="shared" si="9"/>
        <v>NOK</v>
      </c>
      <c r="C92" t="str">
        <f t="shared" si="15"/>
        <v>A</v>
      </c>
      <c r="D92" t="str">
        <f t="shared" si="15"/>
        <v>B</v>
      </c>
      <c r="E92" t="str">
        <f t="shared" si="15"/>
        <v>B</v>
      </c>
      <c r="F92" t="str">
        <f t="shared" si="10"/>
        <v>M</v>
      </c>
      <c r="G92">
        <f t="shared" si="11"/>
        <v>1</v>
      </c>
      <c r="H92">
        <f t="shared" si="12"/>
        <v>2</v>
      </c>
      <c r="I92">
        <f t="shared" si="13"/>
        <v>2</v>
      </c>
      <c r="J92">
        <f t="shared" si="14"/>
        <v>13</v>
      </c>
    </row>
    <row r="93" spans="1:10" x14ac:dyDescent="0.25">
      <c r="A93">
        <v>91</v>
      </c>
      <c r="B93" t="str">
        <f t="shared" si="9"/>
        <v>NOK</v>
      </c>
      <c r="C93" t="str">
        <f t="shared" si="15"/>
        <v>A</v>
      </c>
      <c r="D93" t="str">
        <f t="shared" si="15"/>
        <v>B</v>
      </c>
      <c r="E93" t="str">
        <f t="shared" si="15"/>
        <v>C</v>
      </c>
      <c r="F93" t="str">
        <f t="shared" si="10"/>
        <v>A</v>
      </c>
      <c r="G93">
        <f t="shared" si="11"/>
        <v>1</v>
      </c>
      <c r="H93">
        <f t="shared" si="12"/>
        <v>2</v>
      </c>
      <c r="I93">
        <f t="shared" si="13"/>
        <v>3</v>
      </c>
      <c r="J93">
        <f t="shared" si="14"/>
        <v>1</v>
      </c>
    </row>
    <row r="94" spans="1:10" x14ac:dyDescent="0.25">
      <c r="A94">
        <v>92</v>
      </c>
      <c r="B94" t="str">
        <f t="shared" si="9"/>
        <v>NOK</v>
      </c>
      <c r="C94" t="str">
        <f t="shared" si="15"/>
        <v>A</v>
      </c>
      <c r="D94" t="str">
        <f t="shared" si="15"/>
        <v>B</v>
      </c>
      <c r="E94" t="str">
        <f t="shared" si="15"/>
        <v>C</v>
      </c>
      <c r="F94" t="str">
        <f t="shared" si="10"/>
        <v>B</v>
      </c>
      <c r="G94">
        <f t="shared" si="11"/>
        <v>1</v>
      </c>
      <c r="H94">
        <f t="shared" si="12"/>
        <v>2</v>
      </c>
      <c r="I94">
        <f t="shared" si="13"/>
        <v>3</v>
      </c>
      <c r="J94">
        <f t="shared" si="14"/>
        <v>2</v>
      </c>
    </row>
    <row r="95" spans="1:10" x14ac:dyDescent="0.25">
      <c r="A95">
        <v>93</v>
      </c>
      <c r="B95" t="str">
        <f t="shared" si="9"/>
        <v>NOK</v>
      </c>
      <c r="C95" t="str">
        <f t="shared" si="15"/>
        <v>A</v>
      </c>
      <c r="D95" t="str">
        <f t="shared" si="15"/>
        <v>B</v>
      </c>
      <c r="E95" t="str">
        <f t="shared" si="15"/>
        <v>C</v>
      </c>
      <c r="F95" t="str">
        <f t="shared" si="10"/>
        <v>C</v>
      </c>
      <c r="G95">
        <f t="shared" si="11"/>
        <v>1</v>
      </c>
      <c r="H95">
        <f t="shared" si="12"/>
        <v>2</v>
      </c>
      <c r="I95">
        <f t="shared" si="13"/>
        <v>3</v>
      </c>
      <c r="J95">
        <f t="shared" si="14"/>
        <v>3</v>
      </c>
    </row>
    <row r="96" spans="1:10" x14ac:dyDescent="0.25">
      <c r="A96">
        <v>94</v>
      </c>
      <c r="B96" t="str">
        <f t="shared" si="9"/>
        <v>OK</v>
      </c>
      <c r="C96" t="str">
        <f t="shared" si="15"/>
        <v>A</v>
      </c>
      <c r="D96" t="str">
        <f t="shared" si="15"/>
        <v>B</v>
      </c>
      <c r="E96" t="str">
        <f t="shared" si="15"/>
        <v>C</v>
      </c>
      <c r="F96" t="str">
        <f t="shared" si="10"/>
        <v>D</v>
      </c>
      <c r="G96">
        <f t="shared" si="11"/>
        <v>1</v>
      </c>
      <c r="H96">
        <f t="shared" si="12"/>
        <v>2</v>
      </c>
      <c r="I96">
        <f t="shared" si="13"/>
        <v>3</v>
      </c>
      <c r="J96">
        <f t="shared" si="14"/>
        <v>4</v>
      </c>
    </row>
    <row r="97" spans="1:10" x14ac:dyDescent="0.25">
      <c r="A97">
        <v>95</v>
      </c>
      <c r="B97" t="str">
        <f t="shared" si="9"/>
        <v>NOK</v>
      </c>
      <c r="C97" t="str">
        <f t="shared" si="15"/>
        <v>A</v>
      </c>
      <c r="D97" t="str">
        <f t="shared" si="15"/>
        <v>B</v>
      </c>
      <c r="E97" t="str">
        <f t="shared" si="15"/>
        <v>C</v>
      </c>
      <c r="F97" t="str">
        <f t="shared" si="10"/>
        <v>E</v>
      </c>
      <c r="G97">
        <f t="shared" si="11"/>
        <v>1</v>
      </c>
      <c r="H97">
        <f t="shared" si="12"/>
        <v>2</v>
      </c>
      <c r="I97">
        <f t="shared" si="13"/>
        <v>3</v>
      </c>
      <c r="J97">
        <f t="shared" si="14"/>
        <v>5</v>
      </c>
    </row>
    <row r="98" spans="1:10" x14ac:dyDescent="0.25">
      <c r="A98">
        <v>96</v>
      </c>
      <c r="B98" t="str">
        <f t="shared" si="9"/>
        <v>NOK</v>
      </c>
      <c r="C98" t="str">
        <f t="shared" si="15"/>
        <v>A</v>
      </c>
      <c r="D98" t="str">
        <f t="shared" si="15"/>
        <v>B</v>
      </c>
      <c r="E98" t="str">
        <f t="shared" si="15"/>
        <v>C</v>
      </c>
      <c r="F98" t="str">
        <f t="shared" si="10"/>
        <v>F</v>
      </c>
      <c r="G98">
        <f t="shared" si="11"/>
        <v>1</v>
      </c>
      <c r="H98">
        <f t="shared" si="12"/>
        <v>2</v>
      </c>
      <c r="I98">
        <f t="shared" si="13"/>
        <v>3</v>
      </c>
      <c r="J98">
        <f t="shared" si="14"/>
        <v>6</v>
      </c>
    </row>
    <row r="99" spans="1:10" x14ac:dyDescent="0.25">
      <c r="A99">
        <v>97</v>
      </c>
      <c r="B99" t="str">
        <f t="shared" si="9"/>
        <v>NOK</v>
      </c>
      <c r="C99" t="str">
        <f t="shared" si="15"/>
        <v>A</v>
      </c>
      <c r="D99" t="str">
        <f t="shared" si="15"/>
        <v>B</v>
      </c>
      <c r="E99" t="str">
        <f t="shared" si="15"/>
        <v>C</v>
      </c>
      <c r="F99" t="str">
        <f t="shared" si="10"/>
        <v>G</v>
      </c>
      <c r="G99">
        <f t="shared" si="11"/>
        <v>1</v>
      </c>
      <c r="H99">
        <f t="shared" si="12"/>
        <v>2</v>
      </c>
      <c r="I99">
        <f t="shared" si="13"/>
        <v>3</v>
      </c>
      <c r="J99">
        <f t="shared" si="14"/>
        <v>7</v>
      </c>
    </row>
    <row r="100" spans="1:10" x14ac:dyDescent="0.25">
      <c r="A100">
        <v>98</v>
      </c>
      <c r="B100" t="str">
        <f t="shared" si="9"/>
        <v>NOK</v>
      </c>
      <c r="C100" t="str">
        <f t="shared" si="15"/>
        <v>A</v>
      </c>
      <c r="D100" t="str">
        <f t="shared" si="15"/>
        <v>B</v>
      </c>
      <c r="E100" t="str">
        <f t="shared" si="15"/>
        <v>C</v>
      </c>
      <c r="F100" t="str">
        <f t="shared" si="10"/>
        <v>H</v>
      </c>
      <c r="G100">
        <f t="shared" si="11"/>
        <v>1</v>
      </c>
      <c r="H100">
        <f t="shared" si="12"/>
        <v>2</v>
      </c>
      <c r="I100">
        <f t="shared" si="13"/>
        <v>3</v>
      </c>
      <c r="J100">
        <f t="shared" si="14"/>
        <v>8</v>
      </c>
    </row>
    <row r="101" spans="1:10" x14ac:dyDescent="0.25">
      <c r="A101">
        <v>99</v>
      </c>
      <c r="B101" t="str">
        <f t="shared" si="9"/>
        <v>NOK</v>
      </c>
      <c r="C101" t="str">
        <f t="shared" si="15"/>
        <v>A</v>
      </c>
      <c r="D101" t="str">
        <f t="shared" si="15"/>
        <v>B</v>
      </c>
      <c r="E101" t="str">
        <f t="shared" si="15"/>
        <v>C</v>
      </c>
      <c r="F101" t="str">
        <f t="shared" si="10"/>
        <v>I</v>
      </c>
      <c r="G101">
        <f t="shared" si="11"/>
        <v>1</v>
      </c>
      <c r="H101">
        <f t="shared" si="12"/>
        <v>2</v>
      </c>
      <c r="I101">
        <f t="shared" si="13"/>
        <v>3</v>
      </c>
      <c r="J101">
        <f t="shared" si="14"/>
        <v>9</v>
      </c>
    </row>
    <row r="102" spans="1:10" x14ac:dyDescent="0.25">
      <c r="A102">
        <v>100</v>
      </c>
      <c r="B102" t="str">
        <f t="shared" si="9"/>
        <v>NOK</v>
      </c>
      <c r="C102" t="str">
        <f t="shared" si="15"/>
        <v>A</v>
      </c>
      <c r="D102" t="str">
        <f t="shared" si="15"/>
        <v>B</v>
      </c>
      <c r="E102" t="str">
        <f t="shared" si="15"/>
        <v>C</v>
      </c>
      <c r="F102" t="str">
        <f t="shared" si="10"/>
        <v>J</v>
      </c>
      <c r="G102">
        <f t="shared" si="11"/>
        <v>1</v>
      </c>
      <c r="H102">
        <f t="shared" si="12"/>
        <v>2</v>
      </c>
      <c r="I102">
        <f t="shared" si="13"/>
        <v>3</v>
      </c>
      <c r="J102">
        <f t="shared" si="14"/>
        <v>10</v>
      </c>
    </row>
    <row r="103" spans="1:10" x14ac:dyDescent="0.25">
      <c r="A103">
        <v>101</v>
      </c>
      <c r="B103" t="str">
        <f t="shared" si="9"/>
        <v>NOK</v>
      </c>
      <c r="C103" t="str">
        <f t="shared" si="15"/>
        <v>A</v>
      </c>
      <c r="D103" t="str">
        <f t="shared" si="15"/>
        <v>B</v>
      </c>
      <c r="E103" t="str">
        <f t="shared" si="15"/>
        <v>C</v>
      </c>
      <c r="F103" t="str">
        <f t="shared" si="10"/>
        <v>K</v>
      </c>
      <c r="G103">
        <f t="shared" si="11"/>
        <v>1</v>
      </c>
      <c r="H103">
        <f t="shared" si="12"/>
        <v>2</v>
      </c>
      <c r="I103">
        <f t="shared" si="13"/>
        <v>3</v>
      </c>
      <c r="J103">
        <f t="shared" si="14"/>
        <v>11</v>
      </c>
    </row>
    <row r="104" spans="1:10" x14ac:dyDescent="0.25">
      <c r="A104">
        <v>102</v>
      </c>
      <c r="B104" t="str">
        <f t="shared" si="9"/>
        <v>NOK</v>
      </c>
      <c r="C104" t="str">
        <f t="shared" si="15"/>
        <v>A</v>
      </c>
      <c r="D104" t="str">
        <f t="shared" si="15"/>
        <v>B</v>
      </c>
      <c r="E104" t="str">
        <f t="shared" si="15"/>
        <v>C</v>
      </c>
      <c r="F104" t="str">
        <f t="shared" si="10"/>
        <v>L</v>
      </c>
      <c r="G104">
        <f t="shared" si="11"/>
        <v>1</v>
      </c>
      <c r="H104">
        <f t="shared" si="12"/>
        <v>2</v>
      </c>
      <c r="I104">
        <f t="shared" si="13"/>
        <v>3</v>
      </c>
      <c r="J104">
        <f t="shared" si="14"/>
        <v>12</v>
      </c>
    </row>
    <row r="105" spans="1:10" x14ac:dyDescent="0.25">
      <c r="A105">
        <v>103</v>
      </c>
      <c r="B105" t="str">
        <f t="shared" si="9"/>
        <v>NOK</v>
      </c>
      <c r="C105" t="str">
        <f t="shared" si="15"/>
        <v>A</v>
      </c>
      <c r="D105" t="str">
        <f t="shared" si="15"/>
        <v>B</v>
      </c>
      <c r="E105" t="str">
        <f t="shared" si="15"/>
        <v>C</v>
      </c>
      <c r="F105" t="str">
        <f t="shared" si="10"/>
        <v>M</v>
      </c>
      <c r="G105">
        <f t="shared" si="11"/>
        <v>1</v>
      </c>
      <c r="H105">
        <f t="shared" si="12"/>
        <v>2</v>
      </c>
      <c r="I105">
        <f t="shared" si="13"/>
        <v>3</v>
      </c>
      <c r="J105">
        <f t="shared" si="14"/>
        <v>13</v>
      </c>
    </row>
    <row r="106" spans="1:10" x14ac:dyDescent="0.25">
      <c r="A106">
        <v>104</v>
      </c>
      <c r="B106" t="str">
        <f t="shared" si="9"/>
        <v>NOK</v>
      </c>
      <c r="C106" t="str">
        <f t="shared" si="15"/>
        <v>A</v>
      </c>
      <c r="D106" t="str">
        <f t="shared" si="15"/>
        <v>B</v>
      </c>
      <c r="E106" t="str">
        <f t="shared" si="15"/>
        <v>D</v>
      </c>
      <c r="F106" t="str">
        <f t="shared" si="10"/>
        <v>A</v>
      </c>
      <c r="G106">
        <f t="shared" si="11"/>
        <v>1</v>
      </c>
      <c r="H106">
        <f t="shared" si="12"/>
        <v>2</v>
      </c>
      <c r="I106">
        <f t="shared" si="13"/>
        <v>4</v>
      </c>
      <c r="J106">
        <f t="shared" si="14"/>
        <v>1</v>
      </c>
    </row>
    <row r="107" spans="1:10" x14ac:dyDescent="0.25">
      <c r="A107">
        <v>105</v>
      </c>
      <c r="B107" t="str">
        <f t="shared" si="9"/>
        <v>NOK</v>
      </c>
      <c r="C107" t="str">
        <f t="shared" si="15"/>
        <v>A</v>
      </c>
      <c r="D107" t="str">
        <f t="shared" si="15"/>
        <v>B</v>
      </c>
      <c r="E107" t="str">
        <f t="shared" si="15"/>
        <v>D</v>
      </c>
      <c r="F107" t="str">
        <f t="shared" si="10"/>
        <v>B</v>
      </c>
      <c r="G107">
        <f t="shared" si="11"/>
        <v>1</v>
      </c>
      <c r="H107">
        <f t="shared" si="12"/>
        <v>2</v>
      </c>
      <c r="I107">
        <f t="shared" si="13"/>
        <v>4</v>
      </c>
      <c r="J107">
        <f t="shared" si="14"/>
        <v>2</v>
      </c>
    </row>
    <row r="108" spans="1:10" x14ac:dyDescent="0.25">
      <c r="A108">
        <v>106</v>
      </c>
      <c r="B108" t="str">
        <f t="shared" si="9"/>
        <v>NOK</v>
      </c>
      <c r="C108" t="str">
        <f t="shared" si="15"/>
        <v>A</v>
      </c>
      <c r="D108" t="str">
        <f t="shared" si="15"/>
        <v>B</v>
      </c>
      <c r="E108" t="str">
        <f t="shared" si="15"/>
        <v>D</v>
      </c>
      <c r="F108" t="str">
        <f t="shared" si="10"/>
        <v>C</v>
      </c>
      <c r="G108">
        <f t="shared" si="11"/>
        <v>1</v>
      </c>
      <c r="H108">
        <f t="shared" si="12"/>
        <v>2</v>
      </c>
      <c r="I108">
        <f t="shared" si="13"/>
        <v>4</v>
      </c>
      <c r="J108">
        <f t="shared" si="14"/>
        <v>3</v>
      </c>
    </row>
    <row r="109" spans="1:10" x14ac:dyDescent="0.25">
      <c r="A109">
        <v>107</v>
      </c>
      <c r="B109" t="str">
        <f t="shared" si="9"/>
        <v>NOK</v>
      </c>
      <c r="C109" t="str">
        <f t="shared" si="15"/>
        <v>A</v>
      </c>
      <c r="D109" t="str">
        <f t="shared" si="15"/>
        <v>B</v>
      </c>
      <c r="E109" t="str">
        <f t="shared" si="15"/>
        <v>D</v>
      </c>
      <c r="F109" t="str">
        <f t="shared" si="10"/>
        <v>D</v>
      </c>
      <c r="G109">
        <f t="shared" si="11"/>
        <v>1</v>
      </c>
      <c r="H109">
        <f t="shared" si="12"/>
        <v>2</v>
      </c>
      <c r="I109">
        <f t="shared" si="13"/>
        <v>4</v>
      </c>
      <c r="J109">
        <f t="shared" si="14"/>
        <v>4</v>
      </c>
    </row>
    <row r="110" spans="1:10" x14ac:dyDescent="0.25">
      <c r="A110">
        <v>108</v>
      </c>
      <c r="B110" t="str">
        <f t="shared" si="9"/>
        <v>OK</v>
      </c>
      <c r="C110" t="str">
        <f t="shared" si="15"/>
        <v>A</v>
      </c>
      <c r="D110" t="str">
        <f t="shared" si="15"/>
        <v>B</v>
      </c>
      <c r="E110" t="str">
        <f t="shared" si="15"/>
        <v>D</v>
      </c>
      <c r="F110" t="str">
        <f t="shared" si="10"/>
        <v>E</v>
      </c>
      <c r="G110">
        <f t="shared" si="11"/>
        <v>1</v>
      </c>
      <c r="H110">
        <f t="shared" si="12"/>
        <v>2</v>
      </c>
      <c r="I110">
        <f t="shared" si="13"/>
        <v>4</v>
      </c>
      <c r="J110">
        <f t="shared" si="14"/>
        <v>5</v>
      </c>
    </row>
    <row r="111" spans="1:10" x14ac:dyDescent="0.25">
      <c r="A111">
        <v>109</v>
      </c>
      <c r="B111" t="str">
        <f t="shared" si="9"/>
        <v>NOK</v>
      </c>
      <c r="C111" t="str">
        <f t="shared" si="15"/>
        <v>A</v>
      </c>
      <c r="D111" t="str">
        <f t="shared" si="15"/>
        <v>B</v>
      </c>
      <c r="E111" t="str">
        <f t="shared" si="15"/>
        <v>D</v>
      </c>
      <c r="F111" t="str">
        <f t="shared" si="10"/>
        <v>F</v>
      </c>
      <c r="G111">
        <f t="shared" si="11"/>
        <v>1</v>
      </c>
      <c r="H111">
        <f t="shared" si="12"/>
        <v>2</v>
      </c>
      <c r="I111">
        <f t="shared" si="13"/>
        <v>4</v>
      </c>
      <c r="J111">
        <f t="shared" si="14"/>
        <v>6</v>
      </c>
    </row>
    <row r="112" spans="1:10" x14ac:dyDescent="0.25">
      <c r="A112">
        <v>110</v>
      </c>
      <c r="B112" t="str">
        <f t="shared" si="9"/>
        <v>NOK</v>
      </c>
      <c r="C112" t="str">
        <f t="shared" si="15"/>
        <v>A</v>
      </c>
      <c r="D112" t="str">
        <f t="shared" si="15"/>
        <v>B</v>
      </c>
      <c r="E112" t="str">
        <f t="shared" si="15"/>
        <v>D</v>
      </c>
      <c r="F112" t="str">
        <f t="shared" si="10"/>
        <v>G</v>
      </c>
      <c r="G112">
        <f t="shared" si="11"/>
        <v>1</v>
      </c>
      <c r="H112">
        <f t="shared" si="12"/>
        <v>2</v>
      </c>
      <c r="I112">
        <f t="shared" si="13"/>
        <v>4</v>
      </c>
      <c r="J112">
        <f t="shared" si="14"/>
        <v>7</v>
      </c>
    </row>
    <row r="113" spans="1:10" x14ac:dyDescent="0.25">
      <c r="A113">
        <v>111</v>
      </c>
      <c r="B113" t="str">
        <f t="shared" si="9"/>
        <v>NOK</v>
      </c>
      <c r="C113" t="str">
        <f t="shared" si="15"/>
        <v>A</v>
      </c>
      <c r="D113" t="str">
        <f t="shared" si="15"/>
        <v>B</v>
      </c>
      <c r="E113" t="str">
        <f t="shared" si="15"/>
        <v>D</v>
      </c>
      <c r="F113" t="str">
        <f t="shared" si="10"/>
        <v>H</v>
      </c>
      <c r="G113">
        <f t="shared" si="11"/>
        <v>1</v>
      </c>
      <c r="H113">
        <f t="shared" si="12"/>
        <v>2</v>
      </c>
      <c r="I113">
        <f t="shared" si="13"/>
        <v>4</v>
      </c>
      <c r="J113">
        <f t="shared" si="14"/>
        <v>8</v>
      </c>
    </row>
    <row r="114" spans="1:10" x14ac:dyDescent="0.25">
      <c r="A114">
        <v>112</v>
      </c>
      <c r="B114" t="str">
        <f t="shared" si="9"/>
        <v>NOK</v>
      </c>
      <c r="C114" t="str">
        <f t="shared" si="15"/>
        <v>A</v>
      </c>
      <c r="D114" t="str">
        <f t="shared" si="15"/>
        <v>B</v>
      </c>
      <c r="E114" t="str">
        <f t="shared" si="15"/>
        <v>D</v>
      </c>
      <c r="F114" t="str">
        <f t="shared" si="10"/>
        <v>I</v>
      </c>
      <c r="G114">
        <f t="shared" si="11"/>
        <v>1</v>
      </c>
      <c r="H114">
        <f t="shared" si="12"/>
        <v>2</v>
      </c>
      <c r="I114">
        <f t="shared" si="13"/>
        <v>4</v>
      </c>
      <c r="J114">
        <f t="shared" si="14"/>
        <v>9</v>
      </c>
    </row>
    <row r="115" spans="1:10" x14ac:dyDescent="0.25">
      <c r="A115">
        <v>113</v>
      </c>
      <c r="B115" t="str">
        <f t="shared" si="9"/>
        <v>NOK</v>
      </c>
      <c r="C115" t="str">
        <f t="shared" si="15"/>
        <v>A</v>
      </c>
      <c r="D115" t="str">
        <f t="shared" si="15"/>
        <v>B</v>
      </c>
      <c r="E115" t="str">
        <f t="shared" si="15"/>
        <v>D</v>
      </c>
      <c r="F115" t="str">
        <f t="shared" si="10"/>
        <v>J</v>
      </c>
      <c r="G115">
        <f t="shared" si="11"/>
        <v>1</v>
      </c>
      <c r="H115">
        <f t="shared" si="12"/>
        <v>2</v>
      </c>
      <c r="I115">
        <f t="shared" si="13"/>
        <v>4</v>
      </c>
      <c r="J115">
        <f t="shared" si="14"/>
        <v>10</v>
      </c>
    </row>
    <row r="116" spans="1:10" x14ac:dyDescent="0.25">
      <c r="A116">
        <v>114</v>
      </c>
      <c r="B116" t="str">
        <f t="shared" si="9"/>
        <v>NOK</v>
      </c>
      <c r="C116" t="str">
        <f t="shared" si="15"/>
        <v>A</v>
      </c>
      <c r="D116" t="str">
        <f t="shared" si="15"/>
        <v>B</v>
      </c>
      <c r="E116" t="str">
        <f t="shared" si="15"/>
        <v>D</v>
      </c>
      <c r="F116" t="str">
        <f t="shared" si="10"/>
        <v>K</v>
      </c>
      <c r="G116">
        <f t="shared" si="11"/>
        <v>1</v>
      </c>
      <c r="H116">
        <f t="shared" si="12"/>
        <v>2</v>
      </c>
      <c r="I116">
        <f t="shared" si="13"/>
        <v>4</v>
      </c>
      <c r="J116">
        <f t="shared" si="14"/>
        <v>11</v>
      </c>
    </row>
    <row r="117" spans="1:10" x14ac:dyDescent="0.25">
      <c r="A117">
        <v>115</v>
      </c>
      <c r="B117" t="str">
        <f t="shared" si="9"/>
        <v>NOK</v>
      </c>
      <c r="C117" t="str">
        <f t="shared" si="15"/>
        <v>A</v>
      </c>
      <c r="D117" t="str">
        <f t="shared" si="15"/>
        <v>B</v>
      </c>
      <c r="E117" t="str">
        <f t="shared" si="15"/>
        <v>D</v>
      </c>
      <c r="F117" t="str">
        <f t="shared" si="10"/>
        <v>L</v>
      </c>
      <c r="G117">
        <f t="shared" si="11"/>
        <v>1</v>
      </c>
      <c r="H117">
        <f t="shared" si="12"/>
        <v>2</v>
      </c>
      <c r="I117">
        <f t="shared" si="13"/>
        <v>4</v>
      </c>
      <c r="J117">
        <f t="shared" si="14"/>
        <v>12</v>
      </c>
    </row>
    <row r="118" spans="1:10" x14ac:dyDescent="0.25">
      <c r="A118">
        <v>116</v>
      </c>
      <c r="B118" t="str">
        <f t="shared" si="9"/>
        <v>NOK</v>
      </c>
      <c r="C118" t="str">
        <f t="shared" si="15"/>
        <v>A</v>
      </c>
      <c r="D118" t="str">
        <f t="shared" si="15"/>
        <v>B</v>
      </c>
      <c r="E118" t="str">
        <f t="shared" si="15"/>
        <v>D</v>
      </c>
      <c r="F118" t="str">
        <f t="shared" si="10"/>
        <v>M</v>
      </c>
      <c r="G118">
        <f t="shared" si="11"/>
        <v>1</v>
      </c>
      <c r="H118">
        <f t="shared" si="12"/>
        <v>2</v>
      </c>
      <c r="I118">
        <f t="shared" si="13"/>
        <v>4</v>
      </c>
      <c r="J118">
        <f t="shared" si="14"/>
        <v>13</v>
      </c>
    </row>
    <row r="119" spans="1:10" x14ac:dyDescent="0.25">
      <c r="A119">
        <v>117</v>
      </c>
      <c r="B119" t="str">
        <f t="shared" si="9"/>
        <v>NOK</v>
      </c>
      <c r="C119" t="str">
        <f t="shared" si="15"/>
        <v>A</v>
      </c>
      <c r="D119" t="str">
        <f t="shared" si="15"/>
        <v>B</v>
      </c>
      <c r="E119" t="str">
        <f t="shared" si="15"/>
        <v>E</v>
      </c>
      <c r="F119" t="str">
        <f t="shared" si="10"/>
        <v>A</v>
      </c>
      <c r="G119">
        <f t="shared" si="11"/>
        <v>1</v>
      </c>
      <c r="H119">
        <f t="shared" si="12"/>
        <v>2</v>
      </c>
      <c r="I119">
        <f t="shared" si="13"/>
        <v>5</v>
      </c>
      <c r="J119">
        <f t="shared" si="14"/>
        <v>1</v>
      </c>
    </row>
    <row r="120" spans="1:10" x14ac:dyDescent="0.25">
      <c r="A120">
        <v>118</v>
      </c>
      <c r="B120" t="str">
        <f t="shared" si="9"/>
        <v>NOK</v>
      </c>
      <c r="C120" t="str">
        <f t="shared" si="15"/>
        <v>A</v>
      </c>
      <c r="D120" t="str">
        <f t="shared" si="15"/>
        <v>B</v>
      </c>
      <c r="E120" t="str">
        <f t="shared" si="15"/>
        <v>E</v>
      </c>
      <c r="F120" t="str">
        <f t="shared" si="10"/>
        <v>B</v>
      </c>
      <c r="G120">
        <f t="shared" si="11"/>
        <v>1</v>
      </c>
      <c r="H120">
        <f t="shared" si="12"/>
        <v>2</v>
      </c>
      <c r="I120">
        <f t="shared" si="13"/>
        <v>5</v>
      </c>
      <c r="J120">
        <f t="shared" si="14"/>
        <v>2</v>
      </c>
    </row>
    <row r="121" spans="1:10" x14ac:dyDescent="0.25">
      <c r="A121">
        <v>119</v>
      </c>
      <c r="B121" t="str">
        <f t="shared" si="9"/>
        <v>NOK</v>
      </c>
      <c r="C121" t="str">
        <f t="shared" si="15"/>
        <v>A</v>
      </c>
      <c r="D121" t="str">
        <f t="shared" si="15"/>
        <v>B</v>
      </c>
      <c r="E121" t="str">
        <f t="shared" si="15"/>
        <v>E</v>
      </c>
      <c r="F121" t="str">
        <f t="shared" si="10"/>
        <v>C</v>
      </c>
      <c r="G121">
        <f t="shared" si="11"/>
        <v>1</v>
      </c>
      <c r="H121">
        <f t="shared" si="12"/>
        <v>2</v>
      </c>
      <c r="I121">
        <f t="shared" si="13"/>
        <v>5</v>
      </c>
      <c r="J121">
        <f t="shared" si="14"/>
        <v>3</v>
      </c>
    </row>
    <row r="122" spans="1:10" x14ac:dyDescent="0.25">
      <c r="A122">
        <v>120</v>
      </c>
      <c r="B122" t="str">
        <f t="shared" si="9"/>
        <v>NOK</v>
      </c>
      <c r="C122" t="str">
        <f t="shared" si="15"/>
        <v>A</v>
      </c>
      <c r="D122" t="str">
        <f t="shared" si="15"/>
        <v>B</v>
      </c>
      <c r="E122" t="str">
        <f t="shared" si="15"/>
        <v>E</v>
      </c>
      <c r="F122" t="str">
        <f t="shared" si="10"/>
        <v>D</v>
      </c>
      <c r="G122">
        <f t="shared" si="11"/>
        <v>1</v>
      </c>
      <c r="H122">
        <f t="shared" si="12"/>
        <v>2</v>
      </c>
      <c r="I122">
        <f t="shared" si="13"/>
        <v>5</v>
      </c>
      <c r="J122">
        <f t="shared" si="14"/>
        <v>4</v>
      </c>
    </row>
    <row r="123" spans="1:10" x14ac:dyDescent="0.25">
      <c r="A123">
        <v>121</v>
      </c>
      <c r="B123" t="str">
        <f t="shared" si="9"/>
        <v>NOK</v>
      </c>
      <c r="C123" t="str">
        <f t="shared" si="15"/>
        <v>A</v>
      </c>
      <c r="D123" t="str">
        <f t="shared" si="15"/>
        <v>B</v>
      </c>
      <c r="E123" t="str">
        <f t="shared" si="15"/>
        <v>E</v>
      </c>
      <c r="F123" t="str">
        <f t="shared" si="10"/>
        <v>E</v>
      </c>
      <c r="G123">
        <f t="shared" si="11"/>
        <v>1</v>
      </c>
      <c r="H123">
        <f t="shared" si="12"/>
        <v>2</v>
      </c>
      <c r="I123">
        <f t="shared" si="13"/>
        <v>5</v>
      </c>
      <c r="J123">
        <f t="shared" si="14"/>
        <v>5</v>
      </c>
    </row>
    <row r="124" spans="1:10" x14ac:dyDescent="0.25">
      <c r="A124">
        <v>122</v>
      </c>
      <c r="B124" t="str">
        <f t="shared" si="9"/>
        <v>OK</v>
      </c>
      <c r="C124" t="str">
        <f t="shared" si="15"/>
        <v>A</v>
      </c>
      <c r="D124" t="str">
        <f t="shared" si="15"/>
        <v>B</v>
      </c>
      <c r="E124" t="str">
        <f t="shared" si="15"/>
        <v>E</v>
      </c>
      <c r="F124" t="str">
        <f t="shared" si="10"/>
        <v>F</v>
      </c>
      <c r="G124">
        <f t="shared" si="11"/>
        <v>1</v>
      </c>
      <c r="H124">
        <f t="shared" si="12"/>
        <v>2</v>
      </c>
      <c r="I124">
        <f t="shared" si="13"/>
        <v>5</v>
      </c>
      <c r="J124">
        <f t="shared" si="14"/>
        <v>6</v>
      </c>
    </row>
    <row r="125" spans="1:10" x14ac:dyDescent="0.25">
      <c r="A125">
        <v>123</v>
      </c>
      <c r="B125" t="str">
        <f t="shared" si="9"/>
        <v>NOK</v>
      </c>
      <c r="C125" t="str">
        <f t="shared" si="15"/>
        <v>A</v>
      </c>
      <c r="D125" t="str">
        <f t="shared" si="15"/>
        <v>B</v>
      </c>
      <c r="E125" t="str">
        <f t="shared" si="15"/>
        <v>E</v>
      </c>
      <c r="F125" t="str">
        <f t="shared" si="10"/>
        <v>G</v>
      </c>
      <c r="G125">
        <f t="shared" si="11"/>
        <v>1</v>
      </c>
      <c r="H125">
        <f t="shared" si="12"/>
        <v>2</v>
      </c>
      <c r="I125">
        <f t="shared" si="13"/>
        <v>5</v>
      </c>
      <c r="J125">
        <f t="shared" si="14"/>
        <v>7</v>
      </c>
    </row>
    <row r="126" spans="1:10" x14ac:dyDescent="0.25">
      <c r="A126">
        <v>124</v>
      </c>
      <c r="B126" t="str">
        <f t="shared" si="9"/>
        <v>NOK</v>
      </c>
      <c r="C126" t="str">
        <f t="shared" si="15"/>
        <v>A</v>
      </c>
      <c r="D126" t="str">
        <f t="shared" si="15"/>
        <v>B</v>
      </c>
      <c r="E126" t="str">
        <f t="shared" si="15"/>
        <v>E</v>
      </c>
      <c r="F126" t="str">
        <f t="shared" si="10"/>
        <v>H</v>
      </c>
      <c r="G126">
        <f t="shared" si="11"/>
        <v>1</v>
      </c>
      <c r="H126">
        <f t="shared" si="12"/>
        <v>2</v>
      </c>
      <c r="I126">
        <f t="shared" si="13"/>
        <v>5</v>
      </c>
      <c r="J126">
        <f t="shared" si="14"/>
        <v>8</v>
      </c>
    </row>
    <row r="127" spans="1:10" x14ac:dyDescent="0.25">
      <c r="A127">
        <v>125</v>
      </c>
      <c r="B127" t="str">
        <f t="shared" si="9"/>
        <v>NOK</v>
      </c>
      <c r="C127" t="str">
        <f t="shared" si="15"/>
        <v>A</v>
      </c>
      <c r="D127" t="str">
        <f t="shared" si="15"/>
        <v>B</v>
      </c>
      <c r="E127" t="str">
        <f t="shared" si="15"/>
        <v>E</v>
      </c>
      <c r="F127" t="str">
        <f t="shared" si="10"/>
        <v>I</v>
      </c>
      <c r="G127">
        <f t="shared" si="11"/>
        <v>1</v>
      </c>
      <c r="H127">
        <f t="shared" si="12"/>
        <v>2</v>
      </c>
      <c r="I127">
        <f t="shared" si="13"/>
        <v>5</v>
      </c>
      <c r="J127">
        <f t="shared" si="14"/>
        <v>9</v>
      </c>
    </row>
    <row r="128" spans="1:10" x14ac:dyDescent="0.25">
      <c r="A128">
        <v>126</v>
      </c>
      <c r="B128" t="str">
        <f t="shared" si="9"/>
        <v>NOK</v>
      </c>
      <c r="C128" t="str">
        <f t="shared" si="15"/>
        <v>A</v>
      </c>
      <c r="D128" t="str">
        <f t="shared" si="15"/>
        <v>B</v>
      </c>
      <c r="E128" t="str">
        <f t="shared" si="15"/>
        <v>E</v>
      </c>
      <c r="F128" t="str">
        <f t="shared" si="10"/>
        <v>J</v>
      </c>
      <c r="G128">
        <f t="shared" si="11"/>
        <v>1</v>
      </c>
      <c r="H128">
        <f t="shared" si="12"/>
        <v>2</v>
      </c>
      <c r="I128">
        <f t="shared" si="13"/>
        <v>5</v>
      </c>
      <c r="J128">
        <f t="shared" si="14"/>
        <v>10</v>
      </c>
    </row>
    <row r="129" spans="1:10" x14ac:dyDescent="0.25">
      <c r="A129">
        <v>127</v>
      </c>
      <c r="B129" t="str">
        <f t="shared" si="9"/>
        <v>NOK</v>
      </c>
      <c r="C129" t="str">
        <f t="shared" si="15"/>
        <v>A</v>
      </c>
      <c r="D129" t="str">
        <f t="shared" si="15"/>
        <v>B</v>
      </c>
      <c r="E129" t="str">
        <f t="shared" si="15"/>
        <v>E</v>
      </c>
      <c r="F129" t="str">
        <f t="shared" si="10"/>
        <v>K</v>
      </c>
      <c r="G129">
        <f t="shared" si="11"/>
        <v>1</v>
      </c>
      <c r="H129">
        <f t="shared" si="12"/>
        <v>2</v>
      </c>
      <c r="I129">
        <f t="shared" si="13"/>
        <v>5</v>
      </c>
      <c r="J129">
        <f t="shared" si="14"/>
        <v>11</v>
      </c>
    </row>
    <row r="130" spans="1:10" x14ac:dyDescent="0.25">
      <c r="A130">
        <v>128</v>
      </c>
      <c r="B130" t="str">
        <f t="shared" ref="B130:B193" si="16">IF(ROUND(_xlfn.XLOOKUP(C130,$U$1:$U$5,$T$1:$T$5,,0,1)+_xlfn.XLOOKUP(D130,$W$1:$W$5,$V$1:$V$5,,0,1)+_xlfn.XLOOKUP(E130,$Y$1:$Y$5,$X$1:$X$5,,0,1)-_xlfn.XLOOKUP(F130,$AA$1:$AA$13,$Z$1:$Z$13,,0,1),3)=0.325,"OK","NOK")</f>
        <v>NOK</v>
      </c>
      <c r="C130" t="str">
        <f t="shared" si="15"/>
        <v>A</v>
      </c>
      <c r="D130" t="str">
        <f t="shared" si="15"/>
        <v>B</v>
      </c>
      <c r="E130" t="str">
        <f t="shared" si="15"/>
        <v>E</v>
      </c>
      <c r="F130" t="str">
        <f t="shared" ref="F130:F193" si="17">IF(J130=1,"A",IF(J130=2,"B",IF(J130=3,"C",IF(J130=4,"D",IF(J130=5,"E",IF(J130=6,"F",IF(J130=7,"G",IF(J130=8,"H",IF(J130=9,"I",IF(J130=10,"J",IF(J130=11,"K",IF(J130=12,"L",IF(J130=13,"M","ERRO")))))))))))))</f>
        <v>L</v>
      </c>
      <c r="G130">
        <f t="shared" ref="G130:G193" si="18">INT($A130/325)+1</f>
        <v>1</v>
      </c>
      <c r="H130">
        <f t="shared" ref="H130:H193" si="19">INT(MOD($A130,325)/65)+1</f>
        <v>2</v>
      </c>
      <c r="I130">
        <f t="shared" ref="I130:I193" si="20">INT(MOD($A130,65)/13)+1</f>
        <v>5</v>
      </c>
      <c r="J130">
        <f t="shared" ref="J130:J193" si="21">MOD($A130,13)+1</f>
        <v>12</v>
      </c>
    </row>
    <row r="131" spans="1:10" x14ac:dyDescent="0.25">
      <c r="A131">
        <v>129</v>
      </c>
      <c r="B131" t="str">
        <f t="shared" si="16"/>
        <v>NOK</v>
      </c>
      <c r="C131" t="str">
        <f t="shared" ref="C131:E194" si="22">IF(G131=1,"A",IF(G131=2,"B",IF(G131=3,"C",IF(G131=4,"D",IF(G131=5,"E","ERRO")))))</f>
        <v>A</v>
      </c>
      <c r="D131" t="str">
        <f t="shared" si="22"/>
        <v>B</v>
      </c>
      <c r="E131" t="str">
        <f t="shared" si="22"/>
        <v>E</v>
      </c>
      <c r="F131" t="str">
        <f t="shared" si="17"/>
        <v>M</v>
      </c>
      <c r="G131">
        <f t="shared" si="18"/>
        <v>1</v>
      </c>
      <c r="H131">
        <f t="shared" si="19"/>
        <v>2</v>
      </c>
      <c r="I131">
        <f t="shared" si="20"/>
        <v>5</v>
      </c>
      <c r="J131">
        <f t="shared" si="21"/>
        <v>13</v>
      </c>
    </row>
    <row r="132" spans="1:10" x14ac:dyDescent="0.25">
      <c r="A132">
        <v>130</v>
      </c>
      <c r="B132" t="str">
        <f t="shared" si="16"/>
        <v>NOK</v>
      </c>
      <c r="C132" t="str">
        <f t="shared" si="22"/>
        <v>A</v>
      </c>
      <c r="D132" t="str">
        <f t="shared" si="22"/>
        <v>C</v>
      </c>
      <c r="E132" t="str">
        <f t="shared" si="22"/>
        <v>A</v>
      </c>
      <c r="F132" t="str">
        <f t="shared" si="17"/>
        <v>A</v>
      </c>
      <c r="G132">
        <f t="shared" si="18"/>
        <v>1</v>
      </c>
      <c r="H132">
        <f t="shared" si="19"/>
        <v>3</v>
      </c>
      <c r="I132">
        <f t="shared" si="20"/>
        <v>1</v>
      </c>
      <c r="J132">
        <f t="shared" si="21"/>
        <v>1</v>
      </c>
    </row>
    <row r="133" spans="1:10" x14ac:dyDescent="0.25">
      <c r="A133">
        <v>131</v>
      </c>
      <c r="B133" t="str">
        <f t="shared" si="16"/>
        <v>NOK</v>
      </c>
      <c r="C133" t="str">
        <f t="shared" si="22"/>
        <v>A</v>
      </c>
      <c r="D133" t="str">
        <f t="shared" si="22"/>
        <v>C</v>
      </c>
      <c r="E133" t="str">
        <f t="shared" si="22"/>
        <v>A</v>
      </c>
      <c r="F133" t="str">
        <f t="shared" si="17"/>
        <v>B</v>
      </c>
      <c r="G133">
        <f t="shared" si="18"/>
        <v>1</v>
      </c>
      <c r="H133">
        <f t="shared" si="19"/>
        <v>3</v>
      </c>
      <c r="I133">
        <f t="shared" si="20"/>
        <v>1</v>
      </c>
      <c r="J133">
        <f t="shared" si="21"/>
        <v>2</v>
      </c>
    </row>
    <row r="134" spans="1:10" x14ac:dyDescent="0.25">
      <c r="A134">
        <v>132</v>
      </c>
      <c r="B134" t="str">
        <f t="shared" si="16"/>
        <v>OK</v>
      </c>
      <c r="C134" t="str">
        <f t="shared" si="22"/>
        <v>A</v>
      </c>
      <c r="D134" t="str">
        <f t="shared" si="22"/>
        <v>C</v>
      </c>
      <c r="E134" t="str">
        <f t="shared" si="22"/>
        <v>A</v>
      </c>
      <c r="F134" t="str">
        <f t="shared" si="17"/>
        <v>C</v>
      </c>
      <c r="G134">
        <f t="shared" si="18"/>
        <v>1</v>
      </c>
      <c r="H134">
        <f t="shared" si="19"/>
        <v>3</v>
      </c>
      <c r="I134">
        <f t="shared" si="20"/>
        <v>1</v>
      </c>
      <c r="J134">
        <f t="shared" si="21"/>
        <v>3</v>
      </c>
    </row>
    <row r="135" spans="1:10" x14ac:dyDescent="0.25">
      <c r="A135">
        <v>133</v>
      </c>
      <c r="B135" t="str">
        <f t="shared" si="16"/>
        <v>NOK</v>
      </c>
      <c r="C135" t="str">
        <f t="shared" si="22"/>
        <v>A</v>
      </c>
      <c r="D135" t="str">
        <f t="shared" si="22"/>
        <v>C</v>
      </c>
      <c r="E135" t="str">
        <f t="shared" si="22"/>
        <v>A</v>
      </c>
      <c r="F135" t="str">
        <f t="shared" si="17"/>
        <v>D</v>
      </c>
      <c r="G135">
        <f t="shared" si="18"/>
        <v>1</v>
      </c>
      <c r="H135">
        <f t="shared" si="19"/>
        <v>3</v>
      </c>
      <c r="I135">
        <f t="shared" si="20"/>
        <v>1</v>
      </c>
      <c r="J135">
        <f t="shared" si="21"/>
        <v>4</v>
      </c>
    </row>
    <row r="136" spans="1:10" x14ac:dyDescent="0.25">
      <c r="A136">
        <v>134</v>
      </c>
      <c r="B136" t="str">
        <f t="shared" si="16"/>
        <v>NOK</v>
      </c>
      <c r="C136" t="str">
        <f t="shared" si="22"/>
        <v>A</v>
      </c>
      <c r="D136" t="str">
        <f t="shared" si="22"/>
        <v>C</v>
      </c>
      <c r="E136" t="str">
        <f t="shared" si="22"/>
        <v>A</v>
      </c>
      <c r="F136" t="str">
        <f t="shared" si="17"/>
        <v>E</v>
      </c>
      <c r="G136">
        <f t="shared" si="18"/>
        <v>1</v>
      </c>
      <c r="H136">
        <f t="shared" si="19"/>
        <v>3</v>
      </c>
      <c r="I136">
        <f t="shared" si="20"/>
        <v>1</v>
      </c>
      <c r="J136">
        <f t="shared" si="21"/>
        <v>5</v>
      </c>
    </row>
    <row r="137" spans="1:10" x14ac:dyDescent="0.25">
      <c r="A137">
        <v>135</v>
      </c>
      <c r="B137" t="str">
        <f t="shared" si="16"/>
        <v>NOK</v>
      </c>
      <c r="C137" t="str">
        <f t="shared" si="22"/>
        <v>A</v>
      </c>
      <c r="D137" t="str">
        <f t="shared" si="22"/>
        <v>C</v>
      </c>
      <c r="E137" t="str">
        <f t="shared" si="22"/>
        <v>A</v>
      </c>
      <c r="F137" t="str">
        <f t="shared" si="17"/>
        <v>F</v>
      </c>
      <c r="G137">
        <f t="shared" si="18"/>
        <v>1</v>
      </c>
      <c r="H137">
        <f t="shared" si="19"/>
        <v>3</v>
      </c>
      <c r="I137">
        <f t="shared" si="20"/>
        <v>1</v>
      </c>
      <c r="J137">
        <f t="shared" si="21"/>
        <v>6</v>
      </c>
    </row>
    <row r="138" spans="1:10" x14ac:dyDescent="0.25">
      <c r="A138">
        <v>136</v>
      </c>
      <c r="B138" t="str">
        <f t="shared" si="16"/>
        <v>NOK</v>
      </c>
      <c r="C138" t="str">
        <f t="shared" si="22"/>
        <v>A</v>
      </c>
      <c r="D138" t="str">
        <f t="shared" si="22"/>
        <v>C</v>
      </c>
      <c r="E138" t="str">
        <f t="shared" si="22"/>
        <v>A</v>
      </c>
      <c r="F138" t="str">
        <f t="shared" si="17"/>
        <v>G</v>
      </c>
      <c r="G138">
        <f t="shared" si="18"/>
        <v>1</v>
      </c>
      <c r="H138">
        <f t="shared" si="19"/>
        <v>3</v>
      </c>
      <c r="I138">
        <f t="shared" si="20"/>
        <v>1</v>
      </c>
      <c r="J138">
        <f t="shared" si="21"/>
        <v>7</v>
      </c>
    </row>
    <row r="139" spans="1:10" x14ac:dyDescent="0.25">
      <c r="A139">
        <v>137</v>
      </c>
      <c r="B139" t="str">
        <f t="shared" si="16"/>
        <v>NOK</v>
      </c>
      <c r="C139" t="str">
        <f t="shared" si="22"/>
        <v>A</v>
      </c>
      <c r="D139" t="str">
        <f t="shared" si="22"/>
        <v>C</v>
      </c>
      <c r="E139" t="str">
        <f t="shared" si="22"/>
        <v>A</v>
      </c>
      <c r="F139" t="str">
        <f t="shared" si="17"/>
        <v>H</v>
      </c>
      <c r="G139">
        <f t="shared" si="18"/>
        <v>1</v>
      </c>
      <c r="H139">
        <f t="shared" si="19"/>
        <v>3</v>
      </c>
      <c r="I139">
        <f t="shared" si="20"/>
        <v>1</v>
      </c>
      <c r="J139">
        <f t="shared" si="21"/>
        <v>8</v>
      </c>
    </row>
    <row r="140" spans="1:10" x14ac:dyDescent="0.25">
      <c r="A140">
        <v>138</v>
      </c>
      <c r="B140" t="str">
        <f t="shared" si="16"/>
        <v>NOK</v>
      </c>
      <c r="C140" t="str">
        <f t="shared" si="22"/>
        <v>A</v>
      </c>
      <c r="D140" t="str">
        <f t="shared" si="22"/>
        <v>C</v>
      </c>
      <c r="E140" t="str">
        <f t="shared" si="22"/>
        <v>A</v>
      </c>
      <c r="F140" t="str">
        <f t="shared" si="17"/>
        <v>I</v>
      </c>
      <c r="G140">
        <f t="shared" si="18"/>
        <v>1</v>
      </c>
      <c r="H140">
        <f t="shared" si="19"/>
        <v>3</v>
      </c>
      <c r="I140">
        <f t="shared" si="20"/>
        <v>1</v>
      </c>
      <c r="J140">
        <f t="shared" si="21"/>
        <v>9</v>
      </c>
    </row>
    <row r="141" spans="1:10" x14ac:dyDescent="0.25">
      <c r="A141">
        <v>139</v>
      </c>
      <c r="B141" t="str">
        <f t="shared" si="16"/>
        <v>NOK</v>
      </c>
      <c r="C141" t="str">
        <f t="shared" si="22"/>
        <v>A</v>
      </c>
      <c r="D141" t="str">
        <f t="shared" si="22"/>
        <v>C</v>
      </c>
      <c r="E141" t="str">
        <f t="shared" si="22"/>
        <v>A</v>
      </c>
      <c r="F141" t="str">
        <f t="shared" si="17"/>
        <v>J</v>
      </c>
      <c r="G141">
        <f t="shared" si="18"/>
        <v>1</v>
      </c>
      <c r="H141">
        <f t="shared" si="19"/>
        <v>3</v>
      </c>
      <c r="I141">
        <f t="shared" si="20"/>
        <v>1</v>
      </c>
      <c r="J141">
        <f t="shared" si="21"/>
        <v>10</v>
      </c>
    </row>
    <row r="142" spans="1:10" x14ac:dyDescent="0.25">
      <c r="A142">
        <v>140</v>
      </c>
      <c r="B142" t="str">
        <f t="shared" si="16"/>
        <v>NOK</v>
      </c>
      <c r="C142" t="str">
        <f t="shared" si="22"/>
        <v>A</v>
      </c>
      <c r="D142" t="str">
        <f t="shared" si="22"/>
        <v>C</v>
      </c>
      <c r="E142" t="str">
        <f t="shared" si="22"/>
        <v>A</v>
      </c>
      <c r="F142" t="str">
        <f t="shared" si="17"/>
        <v>K</v>
      </c>
      <c r="G142">
        <f t="shared" si="18"/>
        <v>1</v>
      </c>
      <c r="H142">
        <f t="shared" si="19"/>
        <v>3</v>
      </c>
      <c r="I142">
        <f t="shared" si="20"/>
        <v>1</v>
      </c>
      <c r="J142">
        <f t="shared" si="21"/>
        <v>11</v>
      </c>
    </row>
    <row r="143" spans="1:10" x14ac:dyDescent="0.25">
      <c r="A143">
        <v>141</v>
      </c>
      <c r="B143" t="str">
        <f t="shared" si="16"/>
        <v>NOK</v>
      </c>
      <c r="C143" t="str">
        <f t="shared" si="22"/>
        <v>A</v>
      </c>
      <c r="D143" t="str">
        <f t="shared" si="22"/>
        <v>C</v>
      </c>
      <c r="E143" t="str">
        <f t="shared" si="22"/>
        <v>A</v>
      </c>
      <c r="F143" t="str">
        <f t="shared" si="17"/>
        <v>L</v>
      </c>
      <c r="G143">
        <f t="shared" si="18"/>
        <v>1</v>
      </c>
      <c r="H143">
        <f t="shared" si="19"/>
        <v>3</v>
      </c>
      <c r="I143">
        <f t="shared" si="20"/>
        <v>1</v>
      </c>
      <c r="J143">
        <f t="shared" si="21"/>
        <v>12</v>
      </c>
    </row>
    <row r="144" spans="1:10" x14ac:dyDescent="0.25">
      <c r="A144">
        <v>142</v>
      </c>
      <c r="B144" t="str">
        <f t="shared" si="16"/>
        <v>NOK</v>
      </c>
      <c r="C144" t="str">
        <f t="shared" si="22"/>
        <v>A</v>
      </c>
      <c r="D144" t="str">
        <f t="shared" si="22"/>
        <v>C</v>
      </c>
      <c r="E144" t="str">
        <f t="shared" si="22"/>
        <v>A</v>
      </c>
      <c r="F144" t="str">
        <f t="shared" si="17"/>
        <v>M</v>
      </c>
      <c r="G144">
        <f t="shared" si="18"/>
        <v>1</v>
      </c>
      <c r="H144">
        <f t="shared" si="19"/>
        <v>3</v>
      </c>
      <c r="I144">
        <f t="shared" si="20"/>
        <v>1</v>
      </c>
      <c r="J144">
        <f t="shared" si="21"/>
        <v>13</v>
      </c>
    </row>
    <row r="145" spans="1:10" x14ac:dyDescent="0.25">
      <c r="A145">
        <v>143</v>
      </c>
      <c r="B145" t="str">
        <f t="shared" si="16"/>
        <v>NOK</v>
      </c>
      <c r="C145" t="str">
        <f t="shared" si="22"/>
        <v>A</v>
      </c>
      <c r="D145" t="str">
        <f t="shared" si="22"/>
        <v>C</v>
      </c>
      <c r="E145" t="str">
        <f t="shared" si="22"/>
        <v>B</v>
      </c>
      <c r="F145" t="str">
        <f t="shared" si="17"/>
        <v>A</v>
      </c>
      <c r="G145">
        <f t="shared" si="18"/>
        <v>1</v>
      </c>
      <c r="H145">
        <f t="shared" si="19"/>
        <v>3</v>
      </c>
      <c r="I145">
        <f t="shared" si="20"/>
        <v>2</v>
      </c>
      <c r="J145">
        <f t="shared" si="21"/>
        <v>1</v>
      </c>
    </row>
    <row r="146" spans="1:10" x14ac:dyDescent="0.25">
      <c r="A146">
        <v>144</v>
      </c>
      <c r="B146" t="str">
        <f t="shared" si="16"/>
        <v>NOK</v>
      </c>
      <c r="C146" t="str">
        <f t="shared" si="22"/>
        <v>A</v>
      </c>
      <c r="D146" t="str">
        <f t="shared" si="22"/>
        <v>C</v>
      </c>
      <c r="E146" t="str">
        <f t="shared" si="22"/>
        <v>B</v>
      </c>
      <c r="F146" t="str">
        <f t="shared" si="17"/>
        <v>B</v>
      </c>
      <c r="G146">
        <f t="shared" si="18"/>
        <v>1</v>
      </c>
      <c r="H146">
        <f t="shared" si="19"/>
        <v>3</v>
      </c>
      <c r="I146">
        <f t="shared" si="20"/>
        <v>2</v>
      </c>
      <c r="J146">
        <f t="shared" si="21"/>
        <v>2</v>
      </c>
    </row>
    <row r="147" spans="1:10" x14ac:dyDescent="0.25">
      <c r="A147">
        <v>145</v>
      </c>
      <c r="B147" t="str">
        <f t="shared" si="16"/>
        <v>NOK</v>
      </c>
      <c r="C147" t="str">
        <f t="shared" si="22"/>
        <v>A</v>
      </c>
      <c r="D147" t="str">
        <f t="shared" si="22"/>
        <v>C</v>
      </c>
      <c r="E147" t="str">
        <f t="shared" si="22"/>
        <v>B</v>
      </c>
      <c r="F147" t="str">
        <f t="shared" si="17"/>
        <v>C</v>
      </c>
      <c r="G147">
        <f t="shared" si="18"/>
        <v>1</v>
      </c>
      <c r="H147">
        <f t="shared" si="19"/>
        <v>3</v>
      </c>
      <c r="I147">
        <f t="shared" si="20"/>
        <v>2</v>
      </c>
      <c r="J147">
        <f t="shared" si="21"/>
        <v>3</v>
      </c>
    </row>
    <row r="148" spans="1:10" x14ac:dyDescent="0.25">
      <c r="A148">
        <v>146</v>
      </c>
      <c r="B148" t="str">
        <f t="shared" si="16"/>
        <v>OK</v>
      </c>
      <c r="C148" t="str">
        <f t="shared" si="22"/>
        <v>A</v>
      </c>
      <c r="D148" t="str">
        <f t="shared" si="22"/>
        <v>C</v>
      </c>
      <c r="E148" t="str">
        <f t="shared" si="22"/>
        <v>B</v>
      </c>
      <c r="F148" t="str">
        <f t="shared" si="17"/>
        <v>D</v>
      </c>
      <c r="G148">
        <f t="shared" si="18"/>
        <v>1</v>
      </c>
      <c r="H148">
        <f t="shared" si="19"/>
        <v>3</v>
      </c>
      <c r="I148">
        <f t="shared" si="20"/>
        <v>2</v>
      </c>
      <c r="J148">
        <f t="shared" si="21"/>
        <v>4</v>
      </c>
    </row>
    <row r="149" spans="1:10" x14ac:dyDescent="0.25">
      <c r="A149">
        <v>147</v>
      </c>
      <c r="B149" t="str">
        <f t="shared" si="16"/>
        <v>NOK</v>
      </c>
      <c r="C149" t="str">
        <f t="shared" si="22"/>
        <v>A</v>
      </c>
      <c r="D149" t="str">
        <f t="shared" si="22"/>
        <v>C</v>
      </c>
      <c r="E149" t="str">
        <f t="shared" si="22"/>
        <v>B</v>
      </c>
      <c r="F149" t="str">
        <f t="shared" si="17"/>
        <v>E</v>
      </c>
      <c r="G149">
        <f t="shared" si="18"/>
        <v>1</v>
      </c>
      <c r="H149">
        <f t="shared" si="19"/>
        <v>3</v>
      </c>
      <c r="I149">
        <f t="shared" si="20"/>
        <v>2</v>
      </c>
      <c r="J149">
        <f t="shared" si="21"/>
        <v>5</v>
      </c>
    </row>
    <row r="150" spans="1:10" x14ac:dyDescent="0.25">
      <c r="A150">
        <v>148</v>
      </c>
      <c r="B150" t="str">
        <f t="shared" si="16"/>
        <v>NOK</v>
      </c>
      <c r="C150" t="str">
        <f t="shared" si="22"/>
        <v>A</v>
      </c>
      <c r="D150" t="str">
        <f t="shared" si="22"/>
        <v>C</v>
      </c>
      <c r="E150" t="str">
        <f t="shared" si="22"/>
        <v>B</v>
      </c>
      <c r="F150" t="str">
        <f t="shared" si="17"/>
        <v>F</v>
      </c>
      <c r="G150">
        <f t="shared" si="18"/>
        <v>1</v>
      </c>
      <c r="H150">
        <f t="shared" si="19"/>
        <v>3</v>
      </c>
      <c r="I150">
        <f t="shared" si="20"/>
        <v>2</v>
      </c>
      <c r="J150">
        <f t="shared" si="21"/>
        <v>6</v>
      </c>
    </row>
    <row r="151" spans="1:10" x14ac:dyDescent="0.25">
      <c r="A151">
        <v>149</v>
      </c>
      <c r="B151" t="str">
        <f t="shared" si="16"/>
        <v>NOK</v>
      </c>
      <c r="C151" t="str">
        <f t="shared" si="22"/>
        <v>A</v>
      </c>
      <c r="D151" t="str">
        <f t="shared" si="22"/>
        <v>C</v>
      </c>
      <c r="E151" t="str">
        <f t="shared" si="22"/>
        <v>B</v>
      </c>
      <c r="F151" t="str">
        <f t="shared" si="17"/>
        <v>G</v>
      </c>
      <c r="G151">
        <f t="shared" si="18"/>
        <v>1</v>
      </c>
      <c r="H151">
        <f t="shared" si="19"/>
        <v>3</v>
      </c>
      <c r="I151">
        <f t="shared" si="20"/>
        <v>2</v>
      </c>
      <c r="J151">
        <f t="shared" si="21"/>
        <v>7</v>
      </c>
    </row>
    <row r="152" spans="1:10" x14ac:dyDescent="0.25">
      <c r="A152">
        <v>150</v>
      </c>
      <c r="B152" t="str">
        <f t="shared" si="16"/>
        <v>NOK</v>
      </c>
      <c r="C152" t="str">
        <f t="shared" si="22"/>
        <v>A</v>
      </c>
      <c r="D152" t="str">
        <f t="shared" si="22"/>
        <v>C</v>
      </c>
      <c r="E152" t="str">
        <f t="shared" si="22"/>
        <v>B</v>
      </c>
      <c r="F152" t="str">
        <f t="shared" si="17"/>
        <v>H</v>
      </c>
      <c r="G152">
        <f t="shared" si="18"/>
        <v>1</v>
      </c>
      <c r="H152">
        <f t="shared" si="19"/>
        <v>3</v>
      </c>
      <c r="I152">
        <f t="shared" si="20"/>
        <v>2</v>
      </c>
      <c r="J152">
        <f t="shared" si="21"/>
        <v>8</v>
      </c>
    </row>
    <row r="153" spans="1:10" x14ac:dyDescent="0.25">
      <c r="A153">
        <v>151</v>
      </c>
      <c r="B153" t="str">
        <f t="shared" si="16"/>
        <v>NOK</v>
      </c>
      <c r="C153" t="str">
        <f t="shared" si="22"/>
        <v>A</v>
      </c>
      <c r="D153" t="str">
        <f t="shared" si="22"/>
        <v>C</v>
      </c>
      <c r="E153" t="str">
        <f t="shared" si="22"/>
        <v>B</v>
      </c>
      <c r="F153" t="str">
        <f t="shared" si="17"/>
        <v>I</v>
      </c>
      <c r="G153">
        <f t="shared" si="18"/>
        <v>1</v>
      </c>
      <c r="H153">
        <f t="shared" si="19"/>
        <v>3</v>
      </c>
      <c r="I153">
        <f t="shared" si="20"/>
        <v>2</v>
      </c>
      <c r="J153">
        <f t="shared" si="21"/>
        <v>9</v>
      </c>
    </row>
    <row r="154" spans="1:10" x14ac:dyDescent="0.25">
      <c r="A154">
        <v>152</v>
      </c>
      <c r="B154" t="str">
        <f t="shared" si="16"/>
        <v>NOK</v>
      </c>
      <c r="C154" t="str">
        <f t="shared" si="22"/>
        <v>A</v>
      </c>
      <c r="D154" t="str">
        <f t="shared" si="22"/>
        <v>C</v>
      </c>
      <c r="E154" t="str">
        <f t="shared" si="22"/>
        <v>B</v>
      </c>
      <c r="F154" t="str">
        <f t="shared" si="17"/>
        <v>J</v>
      </c>
      <c r="G154">
        <f t="shared" si="18"/>
        <v>1</v>
      </c>
      <c r="H154">
        <f t="shared" si="19"/>
        <v>3</v>
      </c>
      <c r="I154">
        <f t="shared" si="20"/>
        <v>2</v>
      </c>
      <c r="J154">
        <f t="shared" si="21"/>
        <v>10</v>
      </c>
    </row>
    <row r="155" spans="1:10" x14ac:dyDescent="0.25">
      <c r="A155">
        <v>153</v>
      </c>
      <c r="B155" t="str">
        <f t="shared" si="16"/>
        <v>NOK</v>
      </c>
      <c r="C155" t="str">
        <f t="shared" si="22"/>
        <v>A</v>
      </c>
      <c r="D155" t="str">
        <f t="shared" si="22"/>
        <v>C</v>
      </c>
      <c r="E155" t="str">
        <f t="shared" si="22"/>
        <v>B</v>
      </c>
      <c r="F155" t="str">
        <f t="shared" si="17"/>
        <v>K</v>
      </c>
      <c r="G155">
        <f t="shared" si="18"/>
        <v>1</v>
      </c>
      <c r="H155">
        <f t="shared" si="19"/>
        <v>3</v>
      </c>
      <c r="I155">
        <f t="shared" si="20"/>
        <v>2</v>
      </c>
      <c r="J155">
        <f t="shared" si="21"/>
        <v>11</v>
      </c>
    </row>
    <row r="156" spans="1:10" x14ac:dyDescent="0.25">
      <c r="A156">
        <v>154</v>
      </c>
      <c r="B156" t="str">
        <f t="shared" si="16"/>
        <v>NOK</v>
      </c>
      <c r="C156" t="str">
        <f t="shared" si="22"/>
        <v>A</v>
      </c>
      <c r="D156" t="str">
        <f t="shared" si="22"/>
        <v>C</v>
      </c>
      <c r="E156" t="str">
        <f t="shared" si="22"/>
        <v>B</v>
      </c>
      <c r="F156" t="str">
        <f t="shared" si="17"/>
        <v>L</v>
      </c>
      <c r="G156">
        <f t="shared" si="18"/>
        <v>1</v>
      </c>
      <c r="H156">
        <f t="shared" si="19"/>
        <v>3</v>
      </c>
      <c r="I156">
        <f t="shared" si="20"/>
        <v>2</v>
      </c>
      <c r="J156">
        <f t="shared" si="21"/>
        <v>12</v>
      </c>
    </row>
    <row r="157" spans="1:10" x14ac:dyDescent="0.25">
      <c r="A157">
        <v>155</v>
      </c>
      <c r="B157" t="str">
        <f t="shared" si="16"/>
        <v>NOK</v>
      </c>
      <c r="C157" t="str">
        <f t="shared" si="22"/>
        <v>A</v>
      </c>
      <c r="D157" t="str">
        <f t="shared" si="22"/>
        <v>C</v>
      </c>
      <c r="E157" t="str">
        <f t="shared" si="22"/>
        <v>B</v>
      </c>
      <c r="F157" t="str">
        <f t="shared" si="17"/>
        <v>M</v>
      </c>
      <c r="G157">
        <f t="shared" si="18"/>
        <v>1</v>
      </c>
      <c r="H157">
        <f t="shared" si="19"/>
        <v>3</v>
      </c>
      <c r="I157">
        <f t="shared" si="20"/>
        <v>2</v>
      </c>
      <c r="J157">
        <f t="shared" si="21"/>
        <v>13</v>
      </c>
    </row>
    <row r="158" spans="1:10" x14ac:dyDescent="0.25">
      <c r="A158">
        <v>156</v>
      </c>
      <c r="B158" t="str">
        <f t="shared" si="16"/>
        <v>NOK</v>
      </c>
      <c r="C158" t="str">
        <f t="shared" si="22"/>
        <v>A</v>
      </c>
      <c r="D158" t="str">
        <f t="shared" si="22"/>
        <v>C</v>
      </c>
      <c r="E158" t="str">
        <f t="shared" si="22"/>
        <v>C</v>
      </c>
      <c r="F158" t="str">
        <f t="shared" si="17"/>
        <v>A</v>
      </c>
      <c r="G158">
        <f t="shared" si="18"/>
        <v>1</v>
      </c>
      <c r="H158">
        <f t="shared" si="19"/>
        <v>3</v>
      </c>
      <c r="I158">
        <f t="shared" si="20"/>
        <v>3</v>
      </c>
      <c r="J158">
        <f t="shared" si="21"/>
        <v>1</v>
      </c>
    </row>
    <row r="159" spans="1:10" x14ac:dyDescent="0.25">
      <c r="A159">
        <v>157</v>
      </c>
      <c r="B159" t="str">
        <f t="shared" si="16"/>
        <v>NOK</v>
      </c>
      <c r="C159" t="str">
        <f t="shared" si="22"/>
        <v>A</v>
      </c>
      <c r="D159" t="str">
        <f t="shared" si="22"/>
        <v>C</v>
      </c>
      <c r="E159" t="str">
        <f t="shared" si="22"/>
        <v>C</v>
      </c>
      <c r="F159" t="str">
        <f t="shared" si="17"/>
        <v>B</v>
      </c>
      <c r="G159">
        <f t="shared" si="18"/>
        <v>1</v>
      </c>
      <c r="H159">
        <f t="shared" si="19"/>
        <v>3</v>
      </c>
      <c r="I159">
        <f t="shared" si="20"/>
        <v>3</v>
      </c>
      <c r="J159">
        <f t="shared" si="21"/>
        <v>2</v>
      </c>
    </row>
    <row r="160" spans="1:10" x14ac:dyDescent="0.25">
      <c r="A160">
        <v>158</v>
      </c>
      <c r="B160" t="str">
        <f t="shared" si="16"/>
        <v>NOK</v>
      </c>
      <c r="C160" t="str">
        <f t="shared" si="22"/>
        <v>A</v>
      </c>
      <c r="D160" t="str">
        <f t="shared" si="22"/>
        <v>C</v>
      </c>
      <c r="E160" t="str">
        <f t="shared" si="22"/>
        <v>C</v>
      </c>
      <c r="F160" t="str">
        <f t="shared" si="17"/>
        <v>C</v>
      </c>
      <c r="G160">
        <f t="shared" si="18"/>
        <v>1</v>
      </c>
      <c r="H160">
        <f t="shared" si="19"/>
        <v>3</v>
      </c>
      <c r="I160">
        <f t="shared" si="20"/>
        <v>3</v>
      </c>
      <c r="J160">
        <f t="shared" si="21"/>
        <v>3</v>
      </c>
    </row>
    <row r="161" spans="1:10" x14ac:dyDescent="0.25">
      <c r="A161">
        <v>159</v>
      </c>
      <c r="B161" t="str">
        <f t="shared" si="16"/>
        <v>NOK</v>
      </c>
      <c r="C161" t="str">
        <f t="shared" si="22"/>
        <v>A</v>
      </c>
      <c r="D161" t="str">
        <f t="shared" si="22"/>
        <v>C</v>
      </c>
      <c r="E161" t="str">
        <f t="shared" si="22"/>
        <v>C</v>
      </c>
      <c r="F161" t="str">
        <f t="shared" si="17"/>
        <v>D</v>
      </c>
      <c r="G161">
        <f t="shared" si="18"/>
        <v>1</v>
      </c>
      <c r="H161">
        <f t="shared" si="19"/>
        <v>3</v>
      </c>
      <c r="I161">
        <f t="shared" si="20"/>
        <v>3</v>
      </c>
      <c r="J161">
        <f t="shared" si="21"/>
        <v>4</v>
      </c>
    </row>
    <row r="162" spans="1:10" x14ac:dyDescent="0.25">
      <c r="A162">
        <v>160</v>
      </c>
      <c r="B162" t="str">
        <f t="shared" si="16"/>
        <v>OK</v>
      </c>
      <c r="C162" t="str">
        <f t="shared" si="22"/>
        <v>A</v>
      </c>
      <c r="D162" t="str">
        <f t="shared" si="22"/>
        <v>C</v>
      </c>
      <c r="E162" t="str">
        <f t="shared" si="22"/>
        <v>C</v>
      </c>
      <c r="F162" t="str">
        <f t="shared" si="17"/>
        <v>E</v>
      </c>
      <c r="G162">
        <f t="shared" si="18"/>
        <v>1</v>
      </c>
      <c r="H162">
        <f t="shared" si="19"/>
        <v>3</v>
      </c>
      <c r="I162">
        <f t="shared" si="20"/>
        <v>3</v>
      </c>
      <c r="J162">
        <f t="shared" si="21"/>
        <v>5</v>
      </c>
    </row>
    <row r="163" spans="1:10" x14ac:dyDescent="0.25">
      <c r="A163">
        <v>161</v>
      </c>
      <c r="B163" t="str">
        <f t="shared" si="16"/>
        <v>NOK</v>
      </c>
      <c r="C163" t="str">
        <f t="shared" si="22"/>
        <v>A</v>
      </c>
      <c r="D163" t="str">
        <f t="shared" si="22"/>
        <v>C</v>
      </c>
      <c r="E163" t="str">
        <f t="shared" si="22"/>
        <v>C</v>
      </c>
      <c r="F163" t="str">
        <f t="shared" si="17"/>
        <v>F</v>
      </c>
      <c r="G163">
        <f t="shared" si="18"/>
        <v>1</v>
      </c>
      <c r="H163">
        <f t="shared" si="19"/>
        <v>3</v>
      </c>
      <c r="I163">
        <f t="shared" si="20"/>
        <v>3</v>
      </c>
      <c r="J163">
        <f t="shared" si="21"/>
        <v>6</v>
      </c>
    </row>
    <row r="164" spans="1:10" x14ac:dyDescent="0.25">
      <c r="A164">
        <v>162</v>
      </c>
      <c r="B164" t="str">
        <f t="shared" si="16"/>
        <v>NOK</v>
      </c>
      <c r="C164" t="str">
        <f t="shared" si="22"/>
        <v>A</v>
      </c>
      <c r="D164" t="str">
        <f t="shared" si="22"/>
        <v>C</v>
      </c>
      <c r="E164" t="str">
        <f t="shared" si="22"/>
        <v>C</v>
      </c>
      <c r="F164" t="str">
        <f t="shared" si="17"/>
        <v>G</v>
      </c>
      <c r="G164">
        <f t="shared" si="18"/>
        <v>1</v>
      </c>
      <c r="H164">
        <f t="shared" si="19"/>
        <v>3</v>
      </c>
      <c r="I164">
        <f t="shared" si="20"/>
        <v>3</v>
      </c>
      <c r="J164">
        <f t="shared" si="21"/>
        <v>7</v>
      </c>
    </row>
    <row r="165" spans="1:10" x14ac:dyDescent="0.25">
      <c r="A165">
        <v>163</v>
      </c>
      <c r="B165" t="str">
        <f t="shared" si="16"/>
        <v>NOK</v>
      </c>
      <c r="C165" t="str">
        <f t="shared" si="22"/>
        <v>A</v>
      </c>
      <c r="D165" t="str">
        <f t="shared" si="22"/>
        <v>C</v>
      </c>
      <c r="E165" t="str">
        <f t="shared" si="22"/>
        <v>C</v>
      </c>
      <c r="F165" t="str">
        <f t="shared" si="17"/>
        <v>H</v>
      </c>
      <c r="G165">
        <f t="shared" si="18"/>
        <v>1</v>
      </c>
      <c r="H165">
        <f t="shared" si="19"/>
        <v>3</v>
      </c>
      <c r="I165">
        <f t="shared" si="20"/>
        <v>3</v>
      </c>
      <c r="J165">
        <f t="shared" si="21"/>
        <v>8</v>
      </c>
    </row>
    <row r="166" spans="1:10" x14ac:dyDescent="0.25">
      <c r="A166">
        <v>164</v>
      </c>
      <c r="B166" t="str">
        <f t="shared" si="16"/>
        <v>NOK</v>
      </c>
      <c r="C166" t="str">
        <f t="shared" si="22"/>
        <v>A</v>
      </c>
      <c r="D166" t="str">
        <f t="shared" si="22"/>
        <v>C</v>
      </c>
      <c r="E166" t="str">
        <f t="shared" si="22"/>
        <v>C</v>
      </c>
      <c r="F166" t="str">
        <f t="shared" si="17"/>
        <v>I</v>
      </c>
      <c r="G166">
        <f t="shared" si="18"/>
        <v>1</v>
      </c>
      <c r="H166">
        <f t="shared" si="19"/>
        <v>3</v>
      </c>
      <c r="I166">
        <f t="shared" si="20"/>
        <v>3</v>
      </c>
      <c r="J166">
        <f t="shared" si="21"/>
        <v>9</v>
      </c>
    </row>
    <row r="167" spans="1:10" x14ac:dyDescent="0.25">
      <c r="A167">
        <v>165</v>
      </c>
      <c r="B167" t="str">
        <f t="shared" si="16"/>
        <v>NOK</v>
      </c>
      <c r="C167" t="str">
        <f t="shared" si="22"/>
        <v>A</v>
      </c>
      <c r="D167" t="str">
        <f t="shared" si="22"/>
        <v>C</v>
      </c>
      <c r="E167" t="str">
        <f t="shared" si="22"/>
        <v>C</v>
      </c>
      <c r="F167" t="str">
        <f t="shared" si="17"/>
        <v>J</v>
      </c>
      <c r="G167">
        <f t="shared" si="18"/>
        <v>1</v>
      </c>
      <c r="H167">
        <f t="shared" si="19"/>
        <v>3</v>
      </c>
      <c r="I167">
        <f t="shared" si="20"/>
        <v>3</v>
      </c>
      <c r="J167">
        <f t="shared" si="21"/>
        <v>10</v>
      </c>
    </row>
    <row r="168" spans="1:10" x14ac:dyDescent="0.25">
      <c r="A168">
        <v>166</v>
      </c>
      <c r="B168" t="str">
        <f t="shared" si="16"/>
        <v>NOK</v>
      </c>
      <c r="C168" t="str">
        <f t="shared" si="22"/>
        <v>A</v>
      </c>
      <c r="D168" t="str">
        <f t="shared" si="22"/>
        <v>C</v>
      </c>
      <c r="E168" t="str">
        <f t="shared" si="22"/>
        <v>C</v>
      </c>
      <c r="F168" t="str">
        <f t="shared" si="17"/>
        <v>K</v>
      </c>
      <c r="G168">
        <f t="shared" si="18"/>
        <v>1</v>
      </c>
      <c r="H168">
        <f t="shared" si="19"/>
        <v>3</v>
      </c>
      <c r="I168">
        <f t="shared" si="20"/>
        <v>3</v>
      </c>
      <c r="J168">
        <f t="shared" si="21"/>
        <v>11</v>
      </c>
    </row>
    <row r="169" spans="1:10" x14ac:dyDescent="0.25">
      <c r="A169">
        <v>167</v>
      </c>
      <c r="B169" t="str">
        <f t="shared" si="16"/>
        <v>NOK</v>
      </c>
      <c r="C169" t="str">
        <f t="shared" si="22"/>
        <v>A</v>
      </c>
      <c r="D169" t="str">
        <f t="shared" si="22"/>
        <v>C</v>
      </c>
      <c r="E169" t="str">
        <f t="shared" si="22"/>
        <v>C</v>
      </c>
      <c r="F169" t="str">
        <f t="shared" si="17"/>
        <v>L</v>
      </c>
      <c r="G169">
        <f t="shared" si="18"/>
        <v>1</v>
      </c>
      <c r="H169">
        <f t="shared" si="19"/>
        <v>3</v>
      </c>
      <c r="I169">
        <f t="shared" si="20"/>
        <v>3</v>
      </c>
      <c r="J169">
        <f t="shared" si="21"/>
        <v>12</v>
      </c>
    </row>
    <row r="170" spans="1:10" x14ac:dyDescent="0.25">
      <c r="A170">
        <v>168</v>
      </c>
      <c r="B170" t="str">
        <f t="shared" si="16"/>
        <v>NOK</v>
      </c>
      <c r="C170" t="str">
        <f t="shared" si="22"/>
        <v>A</v>
      </c>
      <c r="D170" t="str">
        <f t="shared" si="22"/>
        <v>C</v>
      </c>
      <c r="E170" t="str">
        <f t="shared" si="22"/>
        <v>C</v>
      </c>
      <c r="F170" t="str">
        <f t="shared" si="17"/>
        <v>M</v>
      </c>
      <c r="G170">
        <f t="shared" si="18"/>
        <v>1</v>
      </c>
      <c r="H170">
        <f t="shared" si="19"/>
        <v>3</v>
      </c>
      <c r="I170">
        <f t="shared" si="20"/>
        <v>3</v>
      </c>
      <c r="J170">
        <f t="shared" si="21"/>
        <v>13</v>
      </c>
    </row>
    <row r="171" spans="1:10" x14ac:dyDescent="0.25">
      <c r="A171">
        <v>169</v>
      </c>
      <c r="B171" t="str">
        <f t="shared" si="16"/>
        <v>NOK</v>
      </c>
      <c r="C171" t="str">
        <f t="shared" si="22"/>
        <v>A</v>
      </c>
      <c r="D171" t="str">
        <f t="shared" si="22"/>
        <v>C</v>
      </c>
      <c r="E171" t="str">
        <f t="shared" si="22"/>
        <v>D</v>
      </c>
      <c r="F171" t="str">
        <f t="shared" si="17"/>
        <v>A</v>
      </c>
      <c r="G171">
        <f t="shared" si="18"/>
        <v>1</v>
      </c>
      <c r="H171">
        <f t="shared" si="19"/>
        <v>3</v>
      </c>
      <c r="I171">
        <f t="shared" si="20"/>
        <v>4</v>
      </c>
      <c r="J171">
        <f t="shared" si="21"/>
        <v>1</v>
      </c>
    </row>
    <row r="172" spans="1:10" x14ac:dyDescent="0.25">
      <c r="A172">
        <v>170</v>
      </c>
      <c r="B172" t="str">
        <f t="shared" si="16"/>
        <v>NOK</v>
      </c>
      <c r="C172" t="str">
        <f t="shared" si="22"/>
        <v>A</v>
      </c>
      <c r="D172" t="str">
        <f t="shared" si="22"/>
        <v>C</v>
      </c>
      <c r="E172" t="str">
        <f t="shared" si="22"/>
        <v>D</v>
      </c>
      <c r="F172" t="str">
        <f t="shared" si="17"/>
        <v>B</v>
      </c>
      <c r="G172">
        <f t="shared" si="18"/>
        <v>1</v>
      </c>
      <c r="H172">
        <f t="shared" si="19"/>
        <v>3</v>
      </c>
      <c r="I172">
        <f t="shared" si="20"/>
        <v>4</v>
      </c>
      <c r="J172">
        <f t="shared" si="21"/>
        <v>2</v>
      </c>
    </row>
    <row r="173" spans="1:10" x14ac:dyDescent="0.25">
      <c r="A173">
        <v>171</v>
      </c>
      <c r="B173" t="str">
        <f t="shared" si="16"/>
        <v>NOK</v>
      </c>
      <c r="C173" t="str">
        <f t="shared" si="22"/>
        <v>A</v>
      </c>
      <c r="D173" t="str">
        <f t="shared" si="22"/>
        <v>C</v>
      </c>
      <c r="E173" t="str">
        <f t="shared" si="22"/>
        <v>D</v>
      </c>
      <c r="F173" t="str">
        <f t="shared" si="17"/>
        <v>C</v>
      </c>
      <c r="G173">
        <f t="shared" si="18"/>
        <v>1</v>
      </c>
      <c r="H173">
        <f t="shared" si="19"/>
        <v>3</v>
      </c>
      <c r="I173">
        <f t="shared" si="20"/>
        <v>4</v>
      </c>
      <c r="J173">
        <f t="shared" si="21"/>
        <v>3</v>
      </c>
    </row>
    <row r="174" spans="1:10" x14ac:dyDescent="0.25">
      <c r="A174">
        <v>172</v>
      </c>
      <c r="B174" t="str">
        <f t="shared" si="16"/>
        <v>NOK</v>
      </c>
      <c r="C174" t="str">
        <f t="shared" si="22"/>
        <v>A</v>
      </c>
      <c r="D174" t="str">
        <f t="shared" si="22"/>
        <v>C</v>
      </c>
      <c r="E174" t="str">
        <f t="shared" si="22"/>
        <v>D</v>
      </c>
      <c r="F174" t="str">
        <f t="shared" si="17"/>
        <v>D</v>
      </c>
      <c r="G174">
        <f t="shared" si="18"/>
        <v>1</v>
      </c>
      <c r="H174">
        <f t="shared" si="19"/>
        <v>3</v>
      </c>
      <c r="I174">
        <f t="shared" si="20"/>
        <v>4</v>
      </c>
      <c r="J174">
        <f t="shared" si="21"/>
        <v>4</v>
      </c>
    </row>
    <row r="175" spans="1:10" x14ac:dyDescent="0.25">
      <c r="A175">
        <v>173</v>
      </c>
      <c r="B175" t="str">
        <f t="shared" si="16"/>
        <v>NOK</v>
      </c>
      <c r="C175" t="str">
        <f t="shared" si="22"/>
        <v>A</v>
      </c>
      <c r="D175" t="str">
        <f t="shared" si="22"/>
        <v>C</v>
      </c>
      <c r="E175" t="str">
        <f t="shared" si="22"/>
        <v>D</v>
      </c>
      <c r="F175" t="str">
        <f t="shared" si="17"/>
        <v>E</v>
      </c>
      <c r="G175">
        <f t="shared" si="18"/>
        <v>1</v>
      </c>
      <c r="H175">
        <f t="shared" si="19"/>
        <v>3</v>
      </c>
      <c r="I175">
        <f t="shared" si="20"/>
        <v>4</v>
      </c>
      <c r="J175">
        <f t="shared" si="21"/>
        <v>5</v>
      </c>
    </row>
    <row r="176" spans="1:10" x14ac:dyDescent="0.25">
      <c r="A176">
        <v>174</v>
      </c>
      <c r="B176" t="str">
        <f t="shared" si="16"/>
        <v>OK</v>
      </c>
      <c r="C176" t="str">
        <f t="shared" si="22"/>
        <v>A</v>
      </c>
      <c r="D176" t="str">
        <f t="shared" si="22"/>
        <v>C</v>
      </c>
      <c r="E176" t="str">
        <f t="shared" si="22"/>
        <v>D</v>
      </c>
      <c r="F176" t="str">
        <f t="shared" si="17"/>
        <v>F</v>
      </c>
      <c r="G176">
        <f t="shared" si="18"/>
        <v>1</v>
      </c>
      <c r="H176">
        <f t="shared" si="19"/>
        <v>3</v>
      </c>
      <c r="I176">
        <f t="shared" si="20"/>
        <v>4</v>
      </c>
      <c r="J176">
        <f t="shared" si="21"/>
        <v>6</v>
      </c>
    </row>
    <row r="177" spans="1:10" x14ac:dyDescent="0.25">
      <c r="A177">
        <v>175</v>
      </c>
      <c r="B177" t="str">
        <f t="shared" si="16"/>
        <v>NOK</v>
      </c>
      <c r="C177" t="str">
        <f t="shared" si="22"/>
        <v>A</v>
      </c>
      <c r="D177" t="str">
        <f t="shared" si="22"/>
        <v>C</v>
      </c>
      <c r="E177" t="str">
        <f t="shared" si="22"/>
        <v>D</v>
      </c>
      <c r="F177" t="str">
        <f t="shared" si="17"/>
        <v>G</v>
      </c>
      <c r="G177">
        <f t="shared" si="18"/>
        <v>1</v>
      </c>
      <c r="H177">
        <f t="shared" si="19"/>
        <v>3</v>
      </c>
      <c r="I177">
        <f t="shared" si="20"/>
        <v>4</v>
      </c>
      <c r="J177">
        <f t="shared" si="21"/>
        <v>7</v>
      </c>
    </row>
    <row r="178" spans="1:10" x14ac:dyDescent="0.25">
      <c r="A178">
        <v>176</v>
      </c>
      <c r="B178" t="str">
        <f t="shared" si="16"/>
        <v>NOK</v>
      </c>
      <c r="C178" t="str">
        <f t="shared" si="22"/>
        <v>A</v>
      </c>
      <c r="D178" t="str">
        <f t="shared" si="22"/>
        <v>C</v>
      </c>
      <c r="E178" t="str">
        <f t="shared" si="22"/>
        <v>D</v>
      </c>
      <c r="F178" t="str">
        <f t="shared" si="17"/>
        <v>H</v>
      </c>
      <c r="G178">
        <f t="shared" si="18"/>
        <v>1</v>
      </c>
      <c r="H178">
        <f t="shared" si="19"/>
        <v>3</v>
      </c>
      <c r="I178">
        <f t="shared" si="20"/>
        <v>4</v>
      </c>
      <c r="J178">
        <f t="shared" si="21"/>
        <v>8</v>
      </c>
    </row>
    <row r="179" spans="1:10" x14ac:dyDescent="0.25">
      <c r="A179">
        <v>177</v>
      </c>
      <c r="B179" t="str">
        <f t="shared" si="16"/>
        <v>NOK</v>
      </c>
      <c r="C179" t="str">
        <f t="shared" si="22"/>
        <v>A</v>
      </c>
      <c r="D179" t="str">
        <f t="shared" si="22"/>
        <v>C</v>
      </c>
      <c r="E179" t="str">
        <f t="shared" si="22"/>
        <v>D</v>
      </c>
      <c r="F179" t="str">
        <f t="shared" si="17"/>
        <v>I</v>
      </c>
      <c r="G179">
        <f t="shared" si="18"/>
        <v>1</v>
      </c>
      <c r="H179">
        <f t="shared" si="19"/>
        <v>3</v>
      </c>
      <c r="I179">
        <f t="shared" si="20"/>
        <v>4</v>
      </c>
      <c r="J179">
        <f t="shared" si="21"/>
        <v>9</v>
      </c>
    </row>
    <row r="180" spans="1:10" x14ac:dyDescent="0.25">
      <c r="A180">
        <v>178</v>
      </c>
      <c r="B180" t="str">
        <f t="shared" si="16"/>
        <v>NOK</v>
      </c>
      <c r="C180" t="str">
        <f t="shared" si="22"/>
        <v>A</v>
      </c>
      <c r="D180" t="str">
        <f t="shared" si="22"/>
        <v>C</v>
      </c>
      <c r="E180" t="str">
        <f t="shared" si="22"/>
        <v>D</v>
      </c>
      <c r="F180" t="str">
        <f t="shared" si="17"/>
        <v>J</v>
      </c>
      <c r="G180">
        <f t="shared" si="18"/>
        <v>1</v>
      </c>
      <c r="H180">
        <f t="shared" si="19"/>
        <v>3</v>
      </c>
      <c r="I180">
        <f t="shared" si="20"/>
        <v>4</v>
      </c>
      <c r="J180">
        <f t="shared" si="21"/>
        <v>10</v>
      </c>
    </row>
    <row r="181" spans="1:10" x14ac:dyDescent="0.25">
      <c r="A181">
        <v>179</v>
      </c>
      <c r="B181" t="str">
        <f t="shared" si="16"/>
        <v>NOK</v>
      </c>
      <c r="C181" t="str">
        <f t="shared" si="22"/>
        <v>A</v>
      </c>
      <c r="D181" t="str">
        <f t="shared" si="22"/>
        <v>C</v>
      </c>
      <c r="E181" t="str">
        <f t="shared" si="22"/>
        <v>D</v>
      </c>
      <c r="F181" t="str">
        <f t="shared" si="17"/>
        <v>K</v>
      </c>
      <c r="G181">
        <f t="shared" si="18"/>
        <v>1</v>
      </c>
      <c r="H181">
        <f t="shared" si="19"/>
        <v>3</v>
      </c>
      <c r="I181">
        <f t="shared" si="20"/>
        <v>4</v>
      </c>
      <c r="J181">
        <f t="shared" si="21"/>
        <v>11</v>
      </c>
    </row>
    <row r="182" spans="1:10" x14ac:dyDescent="0.25">
      <c r="A182">
        <v>180</v>
      </c>
      <c r="B182" t="str">
        <f t="shared" si="16"/>
        <v>NOK</v>
      </c>
      <c r="C182" t="str">
        <f t="shared" si="22"/>
        <v>A</v>
      </c>
      <c r="D182" t="str">
        <f t="shared" si="22"/>
        <v>C</v>
      </c>
      <c r="E182" t="str">
        <f t="shared" si="22"/>
        <v>D</v>
      </c>
      <c r="F182" t="str">
        <f t="shared" si="17"/>
        <v>L</v>
      </c>
      <c r="G182">
        <f t="shared" si="18"/>
        <v>1</v>
      </c>
      <c r="H182">
        <f t="shared" si="19"/>
        <v>3</v>
      </c>
      <c r="I182">
        <f t="shared" si="20"/>
        <v>4</v>
      </c>
      <c r="J182">
        <f t="shared" si="21"/>
        <v>12</v>
      </c>
    </row>
    <row r="183" spans="1:10" x14ac:dyDescent="0.25">
      <c r="A183">
        <v>181</v>
      </c>
      <c r="B183" t="str">
        <f t="shared" si="16"/>
        <v>NOK</v>
      </c>
      <c r="C183" t="str">
        <f t="shared" si="22"/>
        <v>A</v>
      </c>
      <c r="D183" t="str">
        <f t="shared" si="22"/>
        <v>C</v>
      </c>
      <c r="E183" t="str">
        <f t="shared" si="22"/>
        <v>D</v>
      </c>
      <c r="F183" t="str">
        <f t="shared" si="17"/>
        <v>M</v>
      </c>
      <c r="G183">
        <f t="shared" si="18"/>
        <v>1</v>
      </c>
      <c r="H183">
        <f t="shared" si="19"/>
        <v>3</v>
      </c>
      <c r="I183">
        <f t="shared" si="20"/>
        <v>4</v>
      </c>
      <c r="J183">
        <f t="shared" si="21"/>
        <v>13</v>
      </c>
    </row>
    <row r="184" spans="1:10" x14ac:dyDescent="0.25">
      <c r="A184">
        <v>182</v>
      </c>
      <c r="B184" t="str">
        <f t="shared" si="16"/>
        <v>NOK</v>
      </c>
      <c r="C184" t="str">
        <f t="shared" si="22"/>
        <v>A</v>
      </c>
      <c r="D184" t="str">
        <f t="shared" si="22"/>
        <v>C</v>
      </c>
      <c r="E184" t="str">
        <f t="shared" si="22"/>
        <v>E</v>
      </c>
      <c r="F184" t="str">
        <f t="shared" si="17"/>
        <v>A</v>
      </c>
      <c r="G184">
        <f t="shared" si="18"/>
        <v>1</v>
      </c>
      <c r="H184">
        <f t="shared" si="19"/>
        <v>3</v>
      </c>
      <c r="I184">
        <f t="shared" si="20"/>
        <v>5</v>
      </c>
      <c r="J184">
        <f t="shared" si="21"/>
        <v>1</v>
      </c>
    </row>
    <row r="185" spans="1:10" x14ac:dyDescent="0.25">
      <c r="A185">
        <v>183</v>
      </c>
      <c r="B185" t="str">
        <f t="shared" si="16"/>
        <v>NOK</v>
      </c>
      <c r="C185" t="str">
        <f t="shared" si="22"/>
        <v>A</v>
      </c>
      <c r="D185" t="str">
        <f t="shared" si="22"/>
        <v>C</v>
      </c>
      <c r="E185" t="str">
        <f t="shared" si="22"/>
        <v>E</v>
      </c>
      <c r="F185" t="str">
        <f t="shared" si="17"/>
        <v>B</v>
      </c>
      <c r="G185">
        <f t="shared" si="18"/>
        <v>1</v>
      </c>
      <c r="H185">
        <f t="shared" si="19"/>
        <v>3</v>
      </c>
      <c r="I185">
        <f t="shared" si="20"/>
        <v>5</v>
      </c>
      <c r="J185">
        <f t="shared" si="21"/>
        <v>2</v>
      </c>
    </row>
    <row r="186" spans="1:10" x14ac:dyDescent="0.25">
      <c r="A186">
        <v>184</v>
      </c>
      <c r="B186" t="str">
        <f t="shared" si="16"/>
        <v>NOK</v>
      </c>
      <c r="C186" t="str">
        <f t="shared" si="22"/>
        <v>A</v>
      </c>
      <c r="D186" t="str">
        <f t="shared" si="22"/>
        <v>C</v>
      </c>
      <c r="E186" t="str">
        <f t="shared" si="22"/>
        <v>E</v>
      </c>
      <c r="F186" t="str">
        <f t="shared" si="17"/>
        <v>C</v>
      </c>
      <c r="G186">
        <f t="shared" si="18"/>
        <v>1</v>
      </c>
      <c r="H186">
        <f t="shared" si="19"/>
        <v>3</v>
      </c>
      <c r="I186">
        <f t="shared" si="20"/>
        <v>5</v>
      </c>
      <c r="J186">
        <f t="shared" si="21"/>
        <v>3</v>
      </c>
    </row>
    <row r="187" spans="1:10" x14ac:dyDescent="0.25">
      <c r="A187">
        <v>185</v>
      </c>
      <c r="B187" t="str">
        <f t="shared" si="16"/>
        <v>NOK</v>
      </c>
      <c r="C187" t="str">
        <f t="shared" si="22"/>
        <v>A</v>
      </c>
      <c r="D187" t="str">
        <f t="shared" si="22"/>
        <v>C</v>
      </c>
      <c r="E187" t="str">
        <f t="shared" si="22"/>
        <v>E</v>
      </c>
      <c r="F187" t="str">
        <f t="shared" si="17"/>
        <v>D</v>
      </c>
      <c r="G187">
        <f t="shared" si="18"/>
        <v>1</v>
      </c>
      <c r="H187">
        <f t="shared" si="19"/>
        <v>3</v>
      </c>
      <c r="I187">
        <f t="shared" si="20"/>
        <v>5</v>
      </c>
      <c r="J187">
        <f t="shared" si="21"/>
        <v>4</v>
      </c>
    </row>
    <row r="188" spans="1:10" x14ac:dyDescent="0.25">
      <c r="A188">
        <v>186</v>
      </c>
      <c r="B188" t="str">
        <f t="shared" si="16"/>
        <v>NOK</v>
      </c>
      <c r="C188" t="str">
        <f t="shared" si="22"/>
        <v>A</v>
      </c>
      <c r="D188" t="str">
        <f t="shared" si="22"/>
        <v>C</v>
      </c>
      <c r="E188" t="str">
        <f t="shared" si="22"/>
        <v>E</v>
      </c>
      <c r="F188" t="str">
        <f t="shared" si="17"/>
        <v>E</v>
      </c>
      <c r="G188">
        <f t="shared" si="18"/>
        <v>1</v>
      </c>
      <c r="H188">
        <f t="shared" si="19"/>
        <v>3</v>
      </c>
      <c r="I188">
        <f t="shared" si="20"/>
        <v>5</v>
      </c>
      <c r="J188">
        <f t="shared" si="21"/>
        <v>5</v>
      </c>
    </row>
    <row r="189" spans="1:10" x14ac:dyDescent="0.25">
      <c r="A189">
        <v>187</v>
      </c>
      <c r="B189" t="str">
        <f t="shared" si="16"/>
        <v>NOK</v>
      </c>
      <c r="C189" t="str">
        <f t="shared" si="22"/>
        <v>A</v>
      </c>
      <c r="D189" t="str">
        <f t="shared" si="22"/>
        <v>C</v>
      </c>
      <c r="E189" t="str">
        <f t="shared" si="22"/>
        <v>E</v>
      </c>
      <c r="F189" t="str">
        <f t="shared" si="17"/>
        <v>F</v>
      </c>
      <c r="G189">
        <f t="shared" si="18"/>
        <v>1</v>
      </c>
      <c r="H189">
        <f t="shared" si="19"/>
        <v>3</v>
      </c>
      <c r="I189">
        <f t="shared" si="20"/>
        <v>5</v>
      </c>
      <c r="J189">
        <f t="shared" si="21"/>
        <v>6</v>
      </c>
    </row>
    <row r="190" spans="1:10" x14ac:dyDescent="0.25">
      <c r="A190">
        <v>188</v>
      </c>
      <c r="B190" t="str">
        <f t="shared" si="16"/>
        <v>OK</v>
      </c>
      <c r="C190" t="str">
        <f t="shared" si="22"/>
        <v>A</v>
      </c>
      <c r="D190" t="str">
        <f t="shared" si="22"/>
        <v>C</v>
      </c>
      <c r="E190" t="str">
        <f t="shared" si="22"/>
        <v>E</v>
      </c>
      <c r="F190" t="str">
        <f t="shared" si="17"/>
        <v>G</v>
      </c>
      <c r="G190">
        <f t="shared" si="18"/>
        <v>1</v>
      </c>
      <c r="H190">
        <f t="shared" si="19"/>
        <v>3</v>
      </c>
      <c r="I190">
        <f t="shared" si="20"/>
        <v>5</v>
      </c>
      <c r="J190">
        <f t="shared" si="21"/>
        <v>7</v>
      </c>
    </row>
    <row r="191" spans="1:10" x14ac:dyDescent="0.25">
      <c r="A191">
        <v>189</v>
      </c>
      <c r="B191" t="str">
        <f t="shared" si="16"/>
        <v>NOK</v>
      </c>
      <c r="C191" t="str">
        <f t="shared" si="22"/>
        <v>A</v>
      </c>
      <c r="D191" t="str">
        <f t="shared" si="22"/>
        <v>C</v>
      </c>
      <c r="E191" t="str">
        <f t="shared" si="22"/>
        <v>E</v>
      </c>
      <c r="F191" t="str">
        <f t="shared" si="17"/>
        <v>H</v>
      </c>
      <c r="G191">
        <f t="shared" si="18"/>
        <v>1</v>
      </c>
      <c r="H191">
        <f t="shared" si="19"/>
        <v>3</v>
      </c>
      <c r="I191">
        <f t="shared" si="20"/>
        <v>5</v>
      </c>
      <c r="J191">
        <f t="shared" si="21"/>
        <v>8</v>
      </c>
    </row>
    <row r="192" spans="1:10" x14ac:dyDescent="0.25">
      <c r="A192">
        <v>190</v>
      </c>
      <c r="B192" t="str">
        <f t="shared" si="16"/>
        <v>NOK</v>
      </c>
      <c r="C192" t="str">
        <f t="shared" si="22"/>
        <v>A</v>
      </c>
      <c r="D192" t="str">
        <f t="shared" si="22"/>
        <v>C</v>
      </c>
      <c r="E192" t="str">
        <f t="shared" si="22"/>
        <v>E</v>
      </c>
      <c r="F192" t="str">
        <f t="shared" si="17"/>
        <v>I</v>
      </c>
      <c r="G192">
        <f t="shared" si="18"/>
        <v>1</v>
      </c>
      <c r="H192">
        <f t="shared" si="19"/>
        <v>3</v>
      </c>
      <c r="I192">
        <f t="shared" si="20"/>
        <v>5</v>
      </c>
      <c r="J192">
        <f t="shared" si="21"/>
        <v>9</v>
      </c>
    </row>
    <row r="193" spans="1:10" x14ac:dyDescent="0.25">
      <c r="A193">
        <v>191</v>
      </c>
      <c r="B193" t="str">
        <f t="shared" si="16"/>
        <v>NOK</v>
      </c>
      <c r="C193" t="str">
        <f t="shared" si="22"/>
        <v>A</v>
      </c>
      <c r="D193" t="str">
        <f t="shared" si="22"/>
        <v>C</v>
      </c>
      <c r="E193" t="str">
        <f t="shared" si="22"/>
        <v>E</v>
      </c>
      <c r="F193" t="str">
        <f t="shared" si="17"/>
        <v>J</v>
      </c>
      <c r="G193">
        <f t="shared" si="18"/>
        <v>1</v>
      </c>
      <c r="H193">
        <f t="shared" si="19"/>
        <v>3</v>
      </c>
      <c r="I193">
        <f t="shared" si="20"/>
        <v>5</v>
      </c>
      <c r="J193">
        <f t="shared" si="21"/>
        <v>10</v>
      </c>
    </row>
    <row r="194" spans="1:10" x14ac:dyDescent="0.25">
      <c r="A194">
        <v>192</v>
      </c>
      <c r="B194" t="str">
        <f t="shared" ref="B194:B257" si="23">IF(ROUND(_xlfn.XLOOKUP(C194,$U$1:$U$5,$T$1:$T$5,,0,1)+_xlfn.XLOOKUP(D194,$W$1:$W$5,$V$1:$V$5,,0,1)+_xlfn.XLOOKUP(E194,$Y$1:$Y$5,$X$1:$X$5,,0,1)-_xlfn.XLOOKUP(F194,$AA$1:$AA$13,$Z$1:$Z$13,,0,1),3)=0.325,"OK","NOK")</f>
        <v>NOK</v>
      </c>
      <c r="C194" t="str">
        <f t="shared" si="22"/>
        <v>A</v>
      </c>
      <c r="D194" t="str">
        <f t="shared" si="22"/>
        <v>C</v>
      </c>
      <c r="E194" t="str">
        <f t="shared" si="22"/>
        <v>E</v>
      </c>
      <c r="F194" t="str">
        <f t="shared" ref="F194:F257" si="24">IF(J194=1,"A",IF(J194=2,"B",IF(J194=3,"C",IF(J194=4,"D",IF(J194=5,"E",IF(J194=6,"F",IF(J194=7,"G",IF(J194=8,"H",IF(J194=9,"I",IF(J194=10,"J",IF(J194=11,"K",IF(J194=12,"L",IF(J194=13,"M","ERRO")))))))))))))</f>
        <v>K</v>
      </c>
      <c r="G194">
        <f t="shared" ref="G194:G257" si="25">INT($A194/325)+1</f>
        <v>1</v>
      </c>
      <c r="H194">
        <f t="shared" ref="H194:H257" si="26">INT(MOD($A194,325)/65)+1</f>
        <v>3</v>
      </c>
      <c r="I194">
        <f t="shared" ref="I194:I257" si="27">INT(MOD($A194,65)/13)+1</f>
        <v>5</v>
      </c>
      <c r="J194">
        <f t="shared" ref="J194:J257" si="28">MOD($A194,13)+1</f>
        <v>11</v>
      </c>
    </row>
    <row r="195" spans="1:10" x14ac:dyDescent="0.25">
      <c r="A195">
        <v>193</v>
      </c>
      <c r="B195" t="str">
        <f t="shared" si="23"/>
        <v>NOK</v>
      </c>
      <c r="C195" t="str">
        <f t="shared" ref="C195:E258" si="29">IF(G195=1,"A",IF(G195=2,"B",IF(G195=3,"C",IF(G195=4,"D",IF(G195=5,"E","ERRO")))))</f>
        <v>A</v>
      </c>
      <c r="D195" t="str">
        <f t="shared" si="29"/>
        <v>C</v>
      </c>
      <c r="E195" t="str">
        <f t="shared" si="29"/>
        <v>E</v>
      </c>
      <c r="F195" t="str">
        <f t="shared" si="24"/>
        <v>L</v>
      </c>
      <c r="G195">
        <f t="shared" si="25"/>
        <v>1</v>
      </c>
      <c r="H195">
        <f t="shared" si="26"/>
        <v>3</v>
      </c>
      <c r="I195">
        <f t="shared" si="27"/>
        <v>5</v>
      </c>
      <c r="J195">
        <f t="shared" si="28"/>
        <v>12</v>
      </c>
    </row>
    <row r="196" spans="1:10" x14ac:dyDescent="0.25">
      <c r="A196">
        <v>194</v>
      </c>
      <c r="B196" t="str">
        <f t="shared" si="23"/>
        <v>NOK</v>
      </c>
      <c r="C196" t="str">
        <f t="shared" si="29"/>
        <v>A</v>
      </c>
      <c r="D196" t="str">
        <f t="shared" si="29"/>
        <v>C</v>
      </c>
      <c r="E196" t="str">
        <f t="shared" si="29"/>
        <v>E</v>
      </c>
      <c r="F196" t="str">
        <f t="shared" si="24"/>
        <v>M</v>
      </c>
      <c r="G196">
        <f t="shared" si="25"/>
        <v>1</v>
      </c>
      <c r="H196">
        <f t="shared" si="26"/>
        <v>3</v>
      </c>
      <c r="I196">
        <f t="shared" si="27"/>
        <v>5</v>
      </c>
      <c r="J196">
        <f t="shared" si="28"/>
        <v>13</v>
      </c>
    </row>
    <row r="197" spans="1:10" x14ac:dyDescent="0.25">
      <c r="A197">
        <v>195</v>
      </c>
      <c r="B197" t="str">
        <f t="shared" si="23"/>
        <v>NOK</v>
      </c>
      <c r="C197" t="str">
        <f t="shared" si="29"/>
        <v>A</v>
      </c>
      <c r="D197" t="str">
        <f t="shared" si="29"/>
        <v>D</v>
      </c>
      <c r="E197" t="str">
        <f t="shared" si="29"/>
        <v>A</v>
      </c>
      <c r="F197" t="str">
        <f t="shared" si="24"/>
        <v>A</v>
      </c>
      <c r="G197">
        <f t="shared" si="25"/>
        <v>1</v>
      </c>
      <c r="H197">
        <f t="shared" si="26"/>
        <v>4</v>
      </c>
      <c r="I197">
        <f t="shared" si="27"/>
        <v>1</v>
      </c>
      <c r="J197">
        <f t="shared" si="28"/>
        <v>1</v>
      </c>
    </row>
    <row r="198" spans="1:10" x14ac:dyDescent="0.25">
      <c r="A198">
        <v>196</v>
      </c>
      <c r="B198" t="str">
        <f t="shared" si="23"/>
        <v>NOK</v>
      </c>
      <c r="C198" t="str">
        <f t="shared" si="29"/>
        <v>A</v>
      </c>
      <c r="D198" t="str">
        <f t="shared" si="29"/>
        <v>D</v>
      </c>
      <c r="E198" t="str">
        <f t="shared" si="29"/>
        <v>A</v>
      </c>
      <c r="F198" t="str">
        <f t="shared" si="24"/>
        <v>B</v>
      </c>
      <c r="G198">
        <f t="shared" si="25"/>
        <v>1</v>
      </c>
      <c r="H198">
        <f t="shared" si="26"/>
        <v>4</v>
      </c>
      <c r="I198">
        <f t="shared" si="27"/>
        <v>1</v>
      </c>
      <c r="J198">
        <f t="shared" si="28"/>
        <v>2</v>
      </c>
    </row>
    <row r="199" spans="1:10" x14ac:dyDescent="0.25">
      <c r="A199">
        <v>197</v>
      </c>
      <c r="B199" t="str">
        <f t="shared" si="23"/>
        <v>NOK</v>
      </c>
      <c r="C199" t="str">
        <f t="shared" si="29"/>
        <v>A</v>
      </c>
      <c r="D199" t="str">
        <f t="shared" si="29"/>
        <v>D</v>
      </c>
      <c r="E199" t="str">
        <f t="shared" si="29"/>
        <v>A</v>
      </c>
      <c r="F199" t="str">
        <f t="shared" si="24"/>
        <v>C</v>
      </c>
      <c r="G199">
        <f t="shared" si="25"/>
        <v>1</v>
      </c>
      <c r="H199">
        <f t="shared" si="26"/>
        <v>4</v>
      </c>
      <c r="I199">
        <f t="shared" si="27"/>
        <v>1</v>
      </c>
      <c r="J199">
        <f t="shared" si="28"/>
        <v>3</v>
      </c>
    </row>
    <row r="200" spans="1:10" x14ac:dyDescent="0.25">
      <c r="A200">
        <v>198</v>
      </c>
      <c r="B200" t="str">
        <f t="shared" si="23"/>
        <v>OK</v>
      </c>
      <c r="C200" t="str">
        <f t="shared" si="29"/>
        <v>A</v>
      </c>
      <c r="D200" t="str">
        <f t="shared" si="29"/>
        <v>D</v>
      </c>
      <c r="E200" t="str">
        <f t="shared" si="29"/>
        <v>A</v>
      </c>
      <c r="F200" t="str">
        <f t="shared" si="24"/>
        <v>D</v>
      </c>
      <c r="G200">
        <f t="shared" si="25"/>
        <v>1</v>
      </c>
      <c r="H200">
        <f t="shared" si="26"/>
        <v>4</v>
      </c>
      <c r="I200">
        <f t="shared" si="27"/>
        <v>1</v>
      </c>
      <c r="J200">
        <f t="shared" si="28"/>
        <v>4</v>
      </c>
    </row>
    <row r="201" spans="1:10" x14ac:dyDescent="0.25">
      <c r="A201">
        <v>199</v>
      </c>
      <c r="B201" t="str">
        <f t="shared" si="23"/>
        <v>NOK</v>
      </c>
      <c r="C201" t="str">
        <f t="shared" si="29"/>
        <v>A</v>
      </c>
      <c r="D201" t="str">
        <f t="shared" si="29"/>
        <v>D</v>
      </c>
      <c r="E201" t="str">
        <f t="shared" si="29"/>
        <v>A</v>
      </c>
      <c r="F201" t="str">
        <f t="shared" si="24"/>
        <v>E</v>
      </c>
      <c r="G201">
        <f t="shared" si="25"/>
        <v>1</v>
      </c>
      <c r="H201">
        <f t="shared" si="26"/>
        <v>4</v>
      </c>
      <c r="I201">
        <f t="shared" si="27"/>
        <v>1</v>
      </c>
      <c r="J201">
        <f t="shared" si="28"/>
        <v>5</v>
      </c>
    </row>
    <row r="202" spans="1:10" x14ac:dyDescent="0.25">
      <c r="A202">
        <v>200</v>
      </c>
      <c r="B202" t="str">
        <f t="shared" si="23"/>
        <v>NOK</v>
      </c>
      <c r="C202" t="str">
        <f t="shared" si="29"/>
        <v>A</v>
      </c>
      <c r="D202" t="str">
        <f t="shared" si="29"/>
        <v>D</v>
      </c>
      <c r="E202" t="str">
        <f t="shared" si="29"/>
        <v>A</v>
      </c>
      <c r="F202" t="str">
        <f t="shared" si="24"/>
        <v>F</v>
      </c>
      <c r="G202">
        <f t="shared" si="25"/>
        <v>1</v>
      </c>
      <c r="H202">
        <f t="shared" si="26"/>
        <v>4</v>
      </c>
      <c r="I202">
        <f t="shared" si="27"/>
        <v>1</v>
      </c>
      <c r="J202">
        <f t="shared" si="28"/>
        <v>6</v>
      </c>
    </row>
    <row r="203" spans="1:10" x14ac:dyDescent="0.25">
      <c r="A203">
        <v>201</v>
      </c>
      <c r="B203" t="str">
        <f t="shared" si="23"/>
        <v>NOK</v>
      </c>
      <c r="C203" t="str">
        <f t="shared" si="29"/>
        <v>A</v>
      </c>
      <c r="D203" t="str">
        <f t="shared" si="29"/>
        <v>D</v>
      </c>
      <c r="E203" t="str">
        <f t="shared" si="29"/>
        <v>A</v>
      </c>
      <c r="F203" t="str">
        <f t="shared" si="24"/>
        <v>G</v>
      </c>
      <c r="G203">
        <f t="shared" si="25"/>
        <v>1</v>
      </c>
      <c r="H203">
        <f t="shared" si="26"/>
        <v>4</v>
      </c>
      <c r="I203">
        <f t="shared" si="27"/>
        <v>1</v>
      </c>
      <c r="J203">
        <f t="shared" si="28"/>
        <v>7</v>
      </c>
    </row>
    <row r="204" spans="1:10" x14ac:dyDescent="0.25">
      <c r="A204">
        <v>202</v>
      </c>
      <c r="B204" t="str">
        <f t="shared" si="23"/>
        <v>NOK</v>
      </c>
      <c r="C204" t="str">
        <f t="shared" si="29"/>
        <v>A</v>
      </c>
      <c r="D204" t="str">
        <f t="shared" si="29"/>
        <v>D</v>
      </c>
      <c r="E204" t="str">
        <f t="shared" si="29"/>
        <v>A</v>
      </c>
      <c r="F204" t="str">
        <f t="shared" si="24"/>
        <v>H</v>
      </c>
      <c r="G204">
        <f t="shared" si="25"/>
        <v>1</v>
      </c>
      <c r="H204">
        <f t="shared" si="26"/>
        <v>4</v>
      </c>
      <c r="I204">
        <f t="shared" si="27"/>
        <v>1</v>
      </c>
      <c r="J204">
        <f t="shared" si="28"/>
        <v>8</v>
      </c>
    </row>
    <row r="205" spans="1:10" x14ac:dyDescent="0.25">
      <c r="A205">
        <v>203</v>
      </c>
      <c r="B205" t="str">
        <f t="shared" si="23"/>
        <v>NOK</v>
      </c>
      <c r="C205" t="str">
        <f t="shared" si="29"/>
        <v>A</v>
      </c>
      <c r="D205" t="str">
        <f t="shared" si="29"/>
        <v>D</v>
      </c>
      <c r="E205" t="str">
        <f t="shared" si="29"/>
        <v>A</v>
      </c>
      <c r="F205" t="str">
        <f t="shared" si="24"/>
        <v>I</v>
      </c>
      <c r="G205">
        <f t="shared" si="25"/>
        <v>1</v>
      </c>
      <c r="H205">
        <f t="shared" si="26"/>
        <v>4</v>
      </c>
      <c r="I205">
        <f t="shared" si="27"/>
        <v>1</v>
      </c>
      <c r="J205">
        <f t="shared" si="28"/>
        <v>9</v>
      </c>
    </row>
    <row r="206" spans="1:10" x14ac:dyDescent="0.25">
      <c r="A206">
        <v>204</v>
      </c>
      <c r="B206" t="str">
        <f t="shared" si="23"/>
        <v>NOK</v>
      </c>
      <c r="C206" t="str">
        <f t="shared" si="29"/>
        <v>A</v>
      </c>
      <c r="D206" t="str">
        <f t="shared" si="29"/>
        <v>D</v>
      </c>
      <c r="E206" t="str">
        <f t="shared" si="29"/>
        <v>A</v>
      </c>
      <c r="F206" t="str">
        <f t="shared" si="24"/>
        <v>J</v>
      </c>
      <c r="G206">
        <f t="shared" si="25"/>
        <v>1</v>
      </c>
      <c r="H206">
        <f t="shared" si="26"/>
        <v>4</v>
      </c>
      <c r="I206">
        <f t="shared" si="27"/>
        <v>1</v>
      </c>
      <c r="J206">
        <f t="shared" si="28"/>
        <v>10</v>
      </c>
    </row>
    <row r="207" spans="1:10" x14ac:dyDescent="0.25">
      <c r="A207">
        <v>205</v>
      </c>
      <c r="B207" t="str">
        <f t="shared" si="23"/>
        <v>NOK</v>
      </c>
      <c r="C207" t="str">
        <f t="shared" si="29"/>
        <v>A</v>
      </c>
      <c r="D207" t="str">
        <f t="shared" si="29"/>
        <v>D</v>
      </c>
      <c r="E207" t="str">
        <f t="shared" si="29"/>
        <v>A</v>
      </c>
      <c r="F207" t="str">
        <f t="shared" si="24"/>
        <v>K</v>
      </c>
      <c r="G207">
        <f t="shared" si="25"/>
        <v>1</v>
      </c>
      <c r="H207">
        <f t="shared" si="26"/>
        <v>4</v>
      </c>
      <c r="I207">
        <f t="shared" si="27"/>
        <v>1</v>
      </c>
      <c r="J207">
        <f t="shared" si="28"/>
        <v>11</v>
      </c>
    </row>
    <row r="208" spans="1:10" x14ac:dyDescent="0.25">
      <c r="A208">
        <v>206</v>
      </c>
      <c r="B208" t="str">
        <f t="shared" si="23"/>
        <v>NOK</v>
      </c>
      <c r="C208" t="str">
        <f t="shared" si="29"/>
        <v>A</v>
      </c>
      <c r="D208" t="str">
        <f t="shared" si="29"/>
        <v>D</v>
      </c>
      <c r="E208" t="str">
        <f t="shared" si="29"/>
        <v>A</v>
      </c>
      <c r="F208" t="str">
        <f t="shared" si="24"/>
        <v>L</v>
      </c>
      <c r="G208">
        <f t="shared" si="25"/>
        <v>1</v>
      </c>
      <c r="H208">
        <f t="shared" si="26"/>
        <v>4</v>
      </c>
      <c r="I208">
        <f t="shared" si="27"/>
        <v>1</v>
      </c>
      <c r="J208">
        <f t="shared" si="28"/>
        <v>12</v>
      </c>
    </row>
    <row r="209" spans="1:10" x14ac:dyDescent="0.25">
      <c r="A209">
        <v>207</v>
      </c>
      <c r="B209" t="str">
        <f t="shared" si="23"/>
        <v>NOK</v>
      </c>
      <c r="C209" t="str">
        <f t="shared" si="29"/>
        <v>A</v>
      </c>
      <c r="D209" t="str">
        <f t="shared" si="29"/>
        <v>D</v>
      </c>
      <c r="E209" t="str">
        <f t="shared" si="29"/>
        <v>A</v>
      </c>
      <c r="F209" t="str">
        <f t="shared" si="24"/>
        <v>M</v>
      </c>
      <c r="G209">
        <f t="shared" si="25"/>
        <v>1</v>
      </c>
      <c r="H209">
        <f t="shared" si="26"/>
        <v>4</v>
      </c>
      <c r="I209">
        <f t="shared" si="27"/>
        <v>1</v>
      </c>
      <c r="J209">
        <f t="shared" si="28"/>
        <v>13</v>
      </c>
    </row>
    <row r="210" spans="1:10" x14ac:dyDescent="0.25">
      <c r="A210">
        <v>208</v>
      </c>
      <c r="B210" t="str">
        <f t="shared" si="23"/>
        <v>NOK</v>
      </c>
      <c r="C210" t="str">
        <f t="shared" si="29"/>
        <v>A</v>
      </c>
      <c r="D210" t="str">
        <f t="shared" si="29"/>
        <v>D</v>
      </c>
      <c r="E210" t="str">
        <f t="shared" si="29"/>
        <v>B</v>
      </c>
      <c r="F210" t="str">
        <f t="shared" si="24"/>
        <v>A</v>
      </c>
      <c r="G210">
        <f t="shared" si="25"/>
        <v>1</v>
      </c>
      <c r="H210">
        <f t="shared" si="26"/>
        <v>4</v>
      </c>
      <c r="I210">
        <f t="shared" si="27"/>
        <v>2</v>
      </c>
      <c r="J210">
        <f t="shared" si="28"/>
        <v>1</v>
      </c>
    </row>
    <row r="211" spans="1:10" x14ac:dyDescent="0.25">
      <c r="A211">
        <v>209</v>
      </c>
      <c r="B211" t="str">
        <f t="shared" si="23"/>
        <v>NOK</v>
      </c>
      <c r="C211" t="str">
        <f t="shared" si="29"/>
        <v>A</v>
      </c>
      <c r="D211" t="str">
        <f t="shared" si="29"/>
        <v>D</v>
      </c>
      <c r="E211" t="str">
        <f t="shared" si="29"/>
        <v>B</v>
      </c>
      <c r="F211" t="str">
        <f t="shared" si="24"/>
        <v>B</v>
      </c>
      <c r="G211">
        <f t="shared" si="25"/>
        <v>1</v>
      </c>
      <c r="H211">
        <f t="shared" si="26"/>
        <v>4</v>
      </c>
      <c r="I211">
        <f t="shared" si="27"/>
        <v>2</v>
      </c>
      <c r="J211">
        <f t="shared" si="28"/>
        <v>2</v>
      </c>
    </row>
    <row r="212" spans="1:10" x14ac:dyDescent="0.25">
      <c r="A212">
        <v>210</v>
      </c>
      <c r="B212" t="str">
        <f t="shared" si="23"/>
        <v>NOK</v>
      </c>
      <c r="C212" t="str">
        <f t="shared" si="29"/>
        <v>A</v>
      </c>
      <c r="D212" t="str">
        <f t="shared" si="29"/>
        <v>D</v>
      </c>
      <c r="E212" t="str">
        <f t="shared" si="29"/>
        <v>B</v>
      </c>
      <c r="F212" t="str">
        <f t="shared" si="24"/>
        <v>C</v>
      </c>
      <c r="G212">
        <f t="shared" si="25"/>
        <v>1</v>
      </c>
      <c r="H212">
        <f t="shared" si="26"/>
        <v>4</v>
      </c>
      <c r="I212">
        <f t="shared" si="27"/>
        <v>2</v>
      </c>
      <c r="J212">
        <f t="shared" si="28"/>
        <v>3</v>
      </c>
    </row>
    <row r="213" spans="1:10" x14ac:dyDescent="0.25">
      <c r="A213">
        <v>211</v>
      </c>
      <c r="B213" t="str">
        <f t="shared" si="23"/>
        <v>NOK</v>
      </c>
      <c r="C213" t="str">
        <f t="shared" si="29"/>
        <v>A</v>
      </c>
      <c r="D213" t="str">
        <f t="shared" si="29"/>
        <v>D</v>
      </c>
      <c r="E213" t="str">
        <f t="shared" si="29"/>
        <v>B</v>
      </c>
      <c r="F213" t="str">
        <f t="shared" si="24"/>
        <v>D</v>
      </c>
      <c r="G213">
        <f t="shared" si="25"/>
        <v>1</v>
      </c>
      <c r="H213">
        <f t="shared" si="26"/>
        <v>4</v>
      </c>
      <c r="I213">
        <f t="shared" si="27"/>
        <v>2</v>
      </c>
      <c r="J213">
        <f t="shared" si="28"/>
        <v>4</v>
      </c>
    </row>
    <row r="214" spans="1:10" x14ac:dyDescent="0.25">
      <c r="A214">
        <v>212</v>
      </c>
      <c r="B214" t="str">
        <f t="shared" si="23"/>
        <v>OK</v>
      </c>
      <c r="C214" t="str">
        <f t="shared" si="29"/>
        <v>A</v>
      </c>
      <c r="D214" t="str">
        <f t="shared" si="29"/>
        <v>D</v>
      </c>
      <c r="E214" t="str">
        <f t="shared" si="29"/>
        <v>B</v>
      </c>
      <c r="F214" t="str">
        <f t="shared" si="24"/>
        <v>E</v>
      </c>
      <c r="G214">
        <f t="shared" si="25"/>
        <v>1</v>
      </c>
      <c r="H214">
        <f t="shared" si="26"/>
        <v>4</v>
      </c>
      <c r="I214">
        <f t="shared" si="27"/>
        <v>2</v>
      </c>
      <c r="J214">
        <f t="shared" si="28"/>
        <v>5</v>
      </c>
    </row>
    <row r="215" spans="1:10" x14ac:dyDescent="0.25">
      <c r="A215">
        <v>213</v>
      </c>
      <c r="B215" t="str">
        <f t="shared" si="23"/>
        <v>NOK</v>
      </c>
      <c r="C215" t="str">
        <f t="shared" si="29"/>
        <v>A</v>
      </c>
      <c r="D215" t="str">
        <f t="shared" si="29"/>
        <v>D</v>
      </c>
      <c r="E215" t="str">
        <f t="shared" si="29"/>
        <v>B</v>
      </c>
      <c r="F215" t="str">
        <f t="shared" si="24"/>
        <v>F</v>
      </c>
      <c r="G215">
        <f t="shared" si="25"/>
        <v>1</v>
      </c>
      <c r="H215">
        <f t="shared" si="26"/>
        <v>4</v>
      </c>
      <c r="I215">
        <f t="shared" si="27"/>
        <v>2</v>
      </c>
      <c r="J215">
        <f t="shared" si="28"/>
        <v>6</v>
      </c>
    </row>
    <row r="216" spans="1:10" x14ac:dyDescent="0.25">
      <c r="A216">
        <v>214</v>
      </c>
      <c r="B216" t="str">
        <f t="shared" si="23"/>
        <v>NOK</v>
      </c>
      <c r="C216" t="str">
        <f t="shared" si="29"/>
        <v>A</v>
      </c>
      <c r="D216" t="str">
        <f t="shared" si="29"/>
        <v>D</v>
      </c>
      <c r="E216" t="str">
        <f t="shared" si="29"/>
        <v>B</v>
      </c>
      <c r="F216" t="str">
        <f t="shared" si="24"/>
        <v>G</v>
      </c>
      <c r="G216">
        <f t="shared" si="25"/>
        <v>1</v>
      </c>
      <c r="H216">
        <f t="shared" si="26"/>
        <v>4</v>
      </c>
      <c r="I216">
        <f t="shared" si="27"/>
        <v>2</v>
      </c>
      <c r="J216">
        <f t="shared" si="28"/>
        <v>7</v>
      </c>
    </row>
    <row r="217" spans="1:10" x14ac:dyDescent="0.25">
      <c r="A217">
        <v>215</v>
      </c>
      <c r="B217" t="str">
        <f t="shared" si="23"/>
        <v>NOK</v>
      </c>
      <c r="C217" t="str">
        <f t="shared" si="29"/>
        <v>A</v>
      </c>
      <c r="D217" t="str">
        <f t="shared" si="29"/>
        <v>D</v>
      </c>
      <c r="E217" t="str">
        <f t="shared" si="29"/>
        <v>B</v>
      </c>
      <c r="F217" t="str">
        <f t="shared" si="24"/>
        <v>H</v>
      </c>
      <c r="G217">
        <f t="shared" si="25"/>
        <v>1</v>
      </c>
      <c r="H217">
        <f t="shared" si="26"/>
        <v>4</v>
      </c>
      <c r="I217">
        <f t="shared" si="27"/>
        <v>2</v>
      </c>
      <c r="J217">
        <f t="shared" si="28"/>
        <v>8</v>
      </c>
    </row>
    <row r="218" spans="1:10" x14ac:dyDescent="0.25">
      <c r="A218">
        <v>216</v>
      </c>
      <c r="B218" t="str">
        <f t="shared" si="23"/>
        <v>NOK</v>
      </c>
      <c r="C218" t="str">
        <f t="shared" si="29"/>
        <v>A</v>
      </c>
      <c r="D218" t="str">
        <f t="shared" si="29"/>
        <v>D</v>
      </c>
      <c r="E218" t="str">
        <f t="shared" si="29"/>
        <v>B</v>
      </c>
      <c r="F218" t="str">
        <f t="shared" si="24"/>
        <v>I</v>
      </c>
      <c r="G218">
        <f t="shared" si="25"/>
        <v>1</v>
      </c>
      <c r="H218">
        <f t="shared" si="26"/>
        <v>4</v>
      </c>
      <c r="I218">
        <f t="shared" si="27"/>
        <v>2</v>
      </c>
      <c r="J218">
        <f t="shared" si="28"/>
        <v>9</v>
      </c>
    </row>
    <row r="219" spans="1:10" x14ac:dyDescent="0.25">
      <c r="A219">
        <v>217</v>
      </c>
      <c r="B219" t="str">
        <f t="shared" si="23"/>
        <v>NOK</v>
      </c>
      <c r="C219" t="str">
        <f t="shared" si="29"/>
        <v>A</v>
      </c>
      <c r="D219" t="str">
        <f t="shared" si="29"/>
        <v>D</v>
      </c>
      <c r="E219" t="str">
        <f t="shared" si="29"/>
        <v>B</v>
      </c>
      <c r="F219" t="str">
        <f t="shared" si="24"/>
        <v>J</v>
      </c>
      <c r="G219">
        <f t="shared" si="25"/>
        <v>1</v>
      </c>
      <c r="H219">
        <f t="shared" si="26"/>
        <v>4</v>
      </c>
      <c r="I219">
        <f t="shared" si="27"/>
        <v>2</v>
      </c>
      <c r="J219">
        <f t="shared" si="28"/>
        <v>10</v>
      </c>
    </row>
    <row r="220" spans="1:10" x14ac:dyDescent="0.25">
      <c r="A220">
        <v>218</v>
      </c>
      <c r="B220" t="str">
        <f t="shared" si="23"/>
        <v>NOK</v>
      </c>
      <c r="C220" t="str">
        <f t="shared" si="29"/>
        <v>A</v>
      </c>
      <c r="D220" t="str">
        <f t="shared" si="29"/>
        <v>D</v>
      </c>
      <c r="E220" t="str">
        <f t="shared" si="29"/>
        <v>B</v>
      </c>
      <c r="F220" t="str">
        <f t="shared" si="24"/>
        <v>K</v>
      </c>
      <c r="G220">
        <f t="shared" si="25"/>
        <v>1</v>
      </c>
      <c r="H220">
        <f t="shared" si="26"/>
        <v>4</v>
      </c>
      <c r="I220">
        <f t="shared" si="27"/>
        <v>2</v>
      </c>
      <c r="J220">
        <f t="shared" si="28"/>
        <v>11</v>
      </c>
    </row>
    <row r="221" spans="1:10" x14ac:dyDescent="0.25">
      <c r="A221">
        <v>219</v>
      </c>
      <c r="B221" t="str">
        <f t="shared" si="23"/>
        <v>NOK</v>
      </c>
      <c r="C221" t="str">
        <f t="shared" si="29"/>
        <v>A</v>
      </c>
      <c r="D221" t="str">
        <f t="shared" si="29"/>
        <v>D</v>
      </c>
      <c r="E221" t="str">
        <f t="shared" si="29"/>
        <v>B</v>
      </c>
      <c r="F221" t="str">
        <f t="shared" si="24"/>
        <v>L</v>
      </c>
      <c r="G221">
        <f t="shared" si="25"/>
        <v>1</v>
      </c>
      <c r="H221">
        <f t="shared" si="26"/>
        <v>4</v>
      </c>
      <c r="I221">
        <f t="shared" si="27"/>
        <v>2</v>
      </c>
      <c r="J221">
        <f t="shared" si="28"/>
        <v>12</v>
      </c>
    </row>
    <row r="222" spans="1:10" x14ac:dyDescent="0.25">
      <c r="A222">
        <v>220</v>
      </c>
      <c r="B222" t="str">
        <f t="shared" si="23"/>
        <v>NOK</v>
      </c>
      <c r="C222" t="str">
        <f t="shared" si="29"/>
        <v>A</v>
      </c>
      <c r="D222" t="str">
        <f t="shared" si="29"/>
        <v>D</v>
      </c>
      <c r="E222" t="str">
        <f t="shared" si="29"/>
        <v>B</v>
      </c>
      <c r="F222" t="str">
        <f t="shared" si="24"/>
        <v>M</v>
      </c>
      <c r="G222">
        <f t="shared" si="25"/>
        <v>1</v>
      </c>
      <c r="H222">
        <f t="shared" si="26"/>
        <v>4</v>
      </c>
      <c r="I222">
        <f t="shared" si="27"/>
        <v>2</v>
      </c>
      <c r="J222">
        <f t="shared" si="28"/>
        <v>13</v>
      </c>
    </row>
    <row r="223" spans="1:10" x14ac:dyDescent="0.25">
      <c r="A223">
        <v>221</v>
      </c>
      <c r="B223" t="str">
        <f t="shared" si="23"/>
        <v>NOK</v>
      </c>
      <c r="C223" t="str">
        <f t="shared" si="29"/>
        <v>A</v>
      </c>
      <c r="D223" t="str">
        <f t="shared" si="29"/>
        <v>D</v>
      </c>
      <c r="E223" t="str">
        <f t="shared" si="29"/>
        <v>C</v>
      </c>
      <c r="F223" t="str">
        <f t="shared" si="24"/>
        <v>A</v>
      </c>
      <c r="G223">
        <f t="shared" si="25"/>
        <v>1</v>
      </c>
      <c r="H223">
        <f t="shared" si="26"/>
        <v>4</v>
      </c>
      <c r="I223">
        <f t="shared" si="27"/>
        <v>3</v>
      </c>
      <c r="J223">
        <f t="shared" si="28"/>
        <v>1</v>
      </c>
    </row>
    <row r="224" spans="1:10" x14ac:dyDescent="0.25">
      <c r="A224">
        <v>222</v>
      </c>
      <c r="B224" t="str">
        <f t="shared" si="23"/>
        <v>NOK</v>
      </c>
      <c r="C224" t="str">
        <f t="shared" si="29"/>
        <v>A</v>
      </c>
      <c r="D224" t="str">
        <f t="shared" si="29"/>
        <v>D</v>
      </c>
      <c r="E224" t="str">
        <f t="shared" si="29"/>
        <v>C</v>
      </c>
      <c r="F224" t="str">
        <f t="shared" si="24"/>
        <v>B</v>
      </c>
      <c r="G224">
        <f t="shared" si="25"/>
        <v>1</v>
      </c>
      <c r="H224">
        <f t="shared" si="26"/>
        <v>4</v>
      </c>
      <c r="I224">
        <f t="shared" si="27"/>
        <v>3</v>
      </c>
      <c r="J224">
        <f t="shared" si="28"/>
        <v>2</v>
      </c>
    </row>
    <row r="225" spans="1:10" x14ac:dyDescent="0.25">
      <c r="A225">
        <v>223</v>
      </c>
      <c r="B225" t="str">
        <f t="shared" si="23"/>
        <v>NOK</v>
      </c>
      <c r="C225" t="str">
        <f t="shared" si="29"/>
        <v>A</v>
      </c>
      <c r="D225" t="str">
        <f t="shared" si="29"/>
        <v>D</v>
      </c>
      <c r="E225" t="str">
        <f t="shared" si="29"/>
        <v>C</v>
      </c>
      <c r="F225" t="str">
        <f t="shared" si="24"/>
        <v>C</v>
      </c>
      <c r="G225">
        <f t="shared" si="25"/>
        <v>1</v>
      </c>
      <c r="H225">
        <f t="shared" si="26"/>
        <v>4</v>
      </c>
      <c r="I225">
        <f t="shared" si="27"/>
        <v>3</v>
      </c>
      <c r="J225">
        <f t="shared" si="28"/>
        <v>3</v>
      </c>
    </row>
    <row r="226" spans="1:10" x14ac:dyDescent="0.25">
      <c r="A226">
        <v>224</v>
      </c>
      <c r="B226" t="str">
        <f t="shared" si="23"/>
        <v>NOK</v>
      </c>
      <c r="C226" t="str">
        <f t="shared" si="29"/>
        <v>A</v>
      </c>
      <c r="D226" t="str">
        <f t="shared" si="29"/>
        <v>D</v>
      </c>
      <c r="E226" t="str">
        <f t="shared" si="29"/>
        <v>C</v>
      </c>
      <c r="F226" t="str">
        <f t="shared" si="24"/>
        <v>D</v>
      </c>
      <c r="G226">
        <f t="shared" si="25"/>
        <v>1</v>
      </c>
      <c r="H226">
        <f t="shared" si="26"/>
        <v>4</v>
      </c>
      <c r="I226">
        <f t="shared" si="27"/>
        <v>3</v>
      </c>
      <c r="J226">
        <f t="shared" si="28"/>
        <v>4</v>
      </c>
    </row>
    <row r="227" spans="1:10" x14ac:dyDescent="0.25">
      <c r="A227">
        <v>225</v>
      </c>
      <c r="B227" t="str">
        <f t="shared" si="23"/>
        <v>NOK</v>
      </c>
      <c r="C227" t="str">
        <f t="shared" si="29"/>
        <v>A</v>
      </c>
      <c r="D227" t="str">
        <f t="shared" si="29"/>
        <v>D</v>
      </c>
      <c r="E227" t="str">
        <f t="shared" si="29"/>
        <v>C</v>
      </c>
      <c r="F227" t="str">
        <f t="shared" si="24"/>
        <v>E</v>
      </c>
      <c r="G227">
        <f t="shared" si="25"/>
        <v>1</v>
      </c>
      <c r="H227">
        <f t="shared" si="26"/>
        <v>4</v>
      </c>
      <c r="I227">
        <f t="shared" si="27"/>
        <v>3</v>
      </c>
      <c r="J227">
        <f t="shared" si="28"/>
        <v>5</v>
      </c>
    </row>
    <row r="228" spans="1:10" x14ac:dyDescent="0.25">
      <c r="A228">
        <v>226</v>
      </c>
      <c r="B228" t="str">
        <f t="shared" si="23"/>
        <v>OK</v>
      </c>
      <c r="C228" t="str">
        <f t="shared" si="29"/>
        <v>A</v>
      </c>
      <c r="D228" t="str">
        <f t="shared" si="29"/>
        <v>D</v>
      </c>
      <c r="E228" t="str">
        <f t="shared" si="29"/>
        <v>C</v>
      </c>
      <c r="F228" t="str">
        <f t="shared" si="24"/>
        <v>F</v>
      </c>
      <c r="G228">
        <f t="shared" si="25"/>
        <v>1</v>
      </c>
      <c r="H228">
        <f t="shared" si="26"/>
        <v>4</v>
      </c>
      <c r="I228">
        <f t="shared" si="27"/>
        <v>3</v>
      </c>
      <c r="J228">
        <f t="shared" si="28"/>
        <v>6</v>
      </c>
    </row>
    <row r="229" spans="1:10" x14ac:dyDescent="0.25">
      <c r="A229">
        <v>227</v>
      </c>
      <c r="B229" t="str">
        <f t="shared" si="23"/>
        <v>NOK</v>
      </c>
      <c r="C229" t="str">
        <f t="shared" si="29"/>
        <v>A</v>
      </c>
      <c r="D229" t="str">
        <f t="shared" si="29"/>
        <v>D</v>
      </c>
      <c r="E229" t="str">
        <f t="shared" si="29"/>
        <v>C</v>
      </c>
      <c r="F229" t="str">
        <f t="shared" si="24"/>
        <v>G</v>
      </c>
      <c r="G229">
        <f t="shared" si="25"/>
        <v>1</v>
      </c>
      <c r="H229">
        <f t="shared" si="26"/>
        <v>4</v>
      </c>
      <c r="I229">
        <f t="shared" si="27"/>
        <v>3</v>
      </c>
      <c r="J229">
        <f t="shared" si="28"/>
        <v>7</v>
      </c>
    </row>
    <row r="230" spans="1:10" x14ac:dyDescent="0.25">
      <c r="A230">
        <v>228</v>
      </c>
      <c r="B230" t="str">
        <f t="shared" si="23"/>
        <v>NOK</v>
      </c>
      <c r="C230" t="str">
        <f t="shared" si="29"/>
        <v>A</v>
      </c>
      <c r="D230" t="str">
        <f t="shared" si="29"/>
        <v>D</v>
      </c>
      <c r="E230" t="str">
        <f t="shared" si="29"/>
        <v>C</v>
      </c>
      <c r="F230" t="str">
        <f t="shared" si="24"/>
        <v>H</v>
      </c>
      <c r="G230">
        <f t="shared" si="25"/>
        <v>1</v>
      </c>
      <c r="H230">
        <f t="shared" si="26"/>
        <v>4</v>
      </c>
      <c r="I230">
        <f t="shared" si="27"/>
        <v>3</v>
      </c>
      <c r="J230">
        <f t="shared" si="28"/>
        <v>8</v>
      </c>
    </row>
    <row r="231" spans="1:10" x14ac:dyDescent="0.25">
      <c r="A231">
        <v>229</v>
      </c>
      <c r="B231" t="str">
        <f t="shared" si="23"/>
        <v>NOK</v>
      </c>
      <c r="C231" t="str">
        <f t="shared" si="29"/>
        <v>A</v>
      </c>
      <c r="D231" t="str">
        <f t="shared" si="29"/>
        <v>D</v>
      </c>
      <c r="E231" t="str">
        <f t="shared" si="29"/>
        <v>C</v>
      </c>
      <c r="F231" t="str">
        <f t="shared" si="24"/>
        <v>I</v>
      </c>
      <c r="G231">
        <f t="shared" si="25"/>
        <v>1</v>
      </c>
      <c r="H231">
        <f t="shared" si="26"/>
        <v>4</v>
      </c>
      <c r="I231">
        <f t="shared" si="27"/>
        <v>3</v>
      </c>
      <c r="J231">
        <f t="shared" si="28"/>
        <v>9</v>
      </c>
    </row>
    <row r="232" spans="1:10" x14ac:dyDescent="0.25">
      <c r="A232">
        <v>230</v>
      </c>
      <c r="B232" t="str">
        <f t="shared" si="23"/>
        <v>NOK</v>
      </c>
      <c r="C232" t="str">
        <f t="shared" si="29"/>
        <v>A</v>
      </c>
      <c r="D232" t="str">
        <f t="shared" si="29"/>
        <v>D</v>
      </c>
      <c r="E232" t="str">
        <f t="shared" si="29"/>
        <v>C</v>
      </c>
      <c r="F232" t="str">
        <f t="shared" si="24"/>
        <v>J</v>
      </c>
      <c r="G232">
        <f t="shared" si="25"/>
        <v>1</v>
      </c>
      <c r="H232">
        <f t="shared" si="26"/>
        <v>4</v>
      </c>
      <c r="I232">
        <f t="shared" si="27"/>
        <v>3</v>
      </c>
      <c r="J232">
        <f t="shared" si="28"/>
        <v>10</v>
      </c>
    </row>
    <row r="233" spans="1:10" x14ac:dyDescent="0.25">
      <c r="A233">
        <v>231</v>
      </c>
      <c r="B233" t="str">
        <f t="shared" si="23"/>
        <v>NOK</v>
      </c>
      <c r="C233" t="str">
        <f t="shared" si="29"/>
        <v>A</v>
      </c>
      <c r="D233" t="str">
        <f t="shared" si="29"/>
        <v>D</v>
      </c>
      <c r="E233" t="str">
        <f t="shared" si="29"/>
        <v>C</v>
      </c>
      <c r="F233" t="str">
        <f t="shared" si="24"/>
        <v>K</v>
      </c>
      <c r="G233">
        <f t="shared" si="25"/>
        <v>1</v>
      </c>
      <c r="H233">
        <f t="shared" si="26"/>
        <v>4</v>
      </c>
      <c r="I233">
        <f t="shared" si="27"/>
        <v>3</v>
      </c>
      <c r="J233">
        <f t="shared" si="28"/>
        <v>11</v>
      </c>
    </row>
    <row r="234" spans="1:10" x14ac:dyDescent="0.25">
      <c r="A234">
        <v>232</v>
      </c>
      <c r="B234" t="str">
        <f t="shared" si="23"/>
        <v>NOK</v>
      </c>
      <c r="C234" t="str">
        <f t="shared" si="29"/>
        <v>A</v>
      </c>
      <c r="D234" t="str">
        <f t="shared" si="29"/>
        <v>D</v>
      </c>
      <c r="E234" t="str">
        <f t="shared" si="29"/>
        <v>C</v>
      </c>
      <c r="F234" t="str">
        <f t="shared" si="24"/>
        <v>L</v>
      </c>
      <c r="G234">
        <f t="shared" si="25"/>
        <v>1</v>
      </c>
      <c r="H234">
        <f t="shared" si="26"/>
        <v>4</v>
      </c>
      <c r="I234">
        <f t="shared" si="27"/>
        <v>3</v>
      </c>
      <c r="J234">
        <f t="shared" si="28"/>
        <v>12</v>
      </c>
    </row>
    <row r="235" spans="1:10" x14ac:dyDescent="0.25">
      <c r="A235">
        <v>233</v>
      </c>
      <c r="B235" t="str">
        <f t="shared" si="23"/>
        <v>NOK</v>
      </c>
      <c r="C235" t="str">
        <f t="shared" si="29"/>
        <v>A</v>
      </c>
      <c r="D235" t="str">
        <f t="shared" si="29"/>
        <v>D</v>
      </c>
      <c r="E235" t="str">
        <f t="shared" si="29"/>
        <v>C</v>
      </c>
      <c r="F235" t="str">
        <f t="shared" si="24"/>
        <v>M</v>
      </c>
      <c r="G235">
        <f t="shared" si="25"/>
        <v>1</v>
      </c>
      <c r="H235">
        <f t="shared" si="26"/>
        <v>4</v>
      </c>
      <c r="I235">
        <f t="shared" si="27"/>
        <v>3</v>
      </c>
      <c r="J235">
        <f t="shared" si="28"/>
        <v>13</v>
      </c>
    </row>
    <row r="236" spans="1:10" x14ac:dyDescent="0.25">
      <c r="A236">
        <v>234</v>
      </c>
      <c r="B236" t="str">
        <f t="shared" si="23"/>
        <v>NOK</v>
      </c>
      <c r="C236" t="str">
        <f t="shared" si="29"/>
        <v>A</v>
      </c>
      <c r="D236" t="str">
        <f t="shared" si="29"/>
        <v>D</v>
      </c>
      <c r="E236" t="str">
        <f t="shared" si="29"/>
        <v>D</v>
      </c>
      <c r="F236" t="str">
        <f t="shared" si="24"/>
        <v>A</v>
      </c>
      <c r="G236">
        <f t="shared" si="25"/>
        <v>1</v>
      </c>
      <c r="H236">
        <f t="shared" si="26"/>
        <v>4</v>
      </c>
      <c r="I236">
        <f t="shared" si="27"/>
        <v>4</v>
      </c>
      <c r="J236">
        <f t="shared" si="28"/>
        <v>1</v>
      </c>
    </row>
    <row r="237" spans="1:10" x14ac:dyDescent="0.25">
      <c r="A237">
        <v>235</v>
      </c>
      <c r="B237" t="str">
        <f t="shared" si="23"/>
        <v>NOK</v>
      </c>
      <c r="C237" t="str">
        <f t="shared" si="29"/>
        <v>A</v>
      </c>
      <c r="D237" t="str">
        <f t="shared" si="29"/>
        <v>D</v>
      </c>
      <c r="E237" t="str">
        <f t="shared" si="29"/>
        <v>D</v>
      </c>
      <c r="F237" t="str">
        <f t="shared" si="24"/>
        <v>B</v>
      </c>
      <c r="G237">
        <f t="shared" si="25"/>
        <v>1</v>
      </c>
      <c r="H237">
        <f t="shared" si="26"/>
        <v>4</v>
      </c>
      <c r="I237">
        <f t="shared" si="27"/>
        <v>4</v>
      </c>
      <c r="J237">
        <f t="shared" si="28"/>
        <v>2</v>
      </c>
    </row>
    <row r="238" spans="1:10" x14ac:dyDescent="0.25">
      <c r="A238">
        <v>236</v>
      </c>
      <c r="B238" t="str">
        <f t="shared" si="23"/>
        <v>NOK</v>
      </c>
      <c r="C238" t="str">
        <f t="shared" si="29"/>
        <v>A</v>
      </c>
      <c r="D238" t="str">
        <f t="shared" si="29"/>
        <v>D</v>
      </c>
      <c r="E238" t="str">
        <f t="shared" si="29"/>
        <v>D</v>
      </c>
      <c r="F238" t="str">
        <f t="shared" si="24"/>
        <v>C</v>
      </c>
      <c r="G238">
        <f t="shared" si="25"/>
        <v>1</v>
      </c>
      <c r="H238">
        <f t="shared" si="26"/>
        <v>4</v>
      </c>
      <c r="I238">
        <f t="shared" si="27"/>
        <v>4</v>
      </c>
      <c r="J238">
        <f t="shared" si="28"/>
        <v>3</v>
      </c>
    </row>
    <row r="239" spans="1:10" x14ac:dyDescent="0.25">
      <c r="A239">
        <v>237</v>
      </c>
      <c r="B239" t="str">
        <f t="shared" si="23"/>
        <v>NOK</v>
      </c>
      <c r="C239" t="str">
        <f t="shared" si="29"/>
        <v>A</v>
      </c>
      <c r="D239" t="str">
        <f t="shared" si="29"/>
        <v>D</v>
      </c>
      <c r="E239" t="str">
        <f t="shared" si="29"/>
        <v>D</v>
      </c>
      <c r="F239" t="str">
        <f t="shared" si="24"/>
        <v>D</v>
      </c>
      <c r="G239">
        <f t="shared" si="25"/>
        <v>1</v>
      </c>
      <c r="H239">
        <f t="shared" si="26"/>
        <v>4</v>
      </c>
      <c r="I239">
        <f t="shared" si="27"/>
        <v>4</v>
      </c>
      <c r="J239">
        <f t="shared" si="28"/>
        <v>4</v>
      </c>
    </row>
    <row r="240" spans="1:10" x14ac:dyDescent="0.25">
      <c r="A240">
        <v>238</v>
      </c>
      <c r="B240" t="str">
        <f t="shared" si="23"/>
        <v>NOK</v>
      </c>
      <c r="C240" t="str">
        <f t="shared" si="29"/>
        <v>A</v>
      </c>
      <c r="D240" t="str">
        <f t="shared" si="29"/>
        <v>D</v>
      </c>
      <c r="E240" t="str">
        <f t="shared" si="29"/>
        <v>D</v>
      </c>
      <c r="F240" t="str">
        <f t="shared" si="24"/>
        <v>E</v>
      </c>
      <c r="G240">
        <f t="shared" si="25"/>
        <v>1</v>
      </c>
      <c r="H240">
        <f t="shared" si="26"/>
        <v>4</v>
      </c>
      <c r="I240">
        <f t="shared" si="27"/>
        <v>4</v>
      </c>
      <c r="J240">
        <f t="shared" si="28"/>
        <v>5</v>
      </c>
    </row>
    <row r="241" spans="1:10" x14ac:dyDescent="0.25">
      <c r="A241">
        <v>239</v>
      </c>
      <c r="B241" t="str">
        <f t="shared" si="23"/>
        <v>NOK</v>
      </c>
      <c r="C241" t="str">
        <f t="shared" si="29"/>
        <v>A</v>
      </c>
      <c r="D241" t="str">
        <f t="shared" si="29"/>
        <v>D</v>
      </c>
      <c r="E241" t="str">
        <f t="shared" si="29"/>
        <v>D</v>
      </c>
      <c r="F241" t="str">
        <f t="shared" si="24"/>
        <v>F</v>
      </c>
      <c r="G241">
        <f t="shared" si="25"/>
        <v>1</v>
      </c>
      <c r="H241">
        <f t="shared" si="26"/>
        <v>4</v>
      </c>
      <c r="I241">
        <f t="shared" si="27"/>
        <v>4</v>
      </c>
      <c r="J241">
        <f t="shared" si="28"/>
        <v>6</v>
      </c>
    </row>
    <row r="242" spans="1:10" x14ac:dyDescent="0.25">
      <c r="A242">
        <v>240</v>
      </c>
      <c r="B242" t="str">
        <f t="shared" si="23"/>
        <v>OK</v>
      </c>
      <c r="C242" t="str">
        <f t="shared" si="29"/>
        <v>A</v>
      </c>
      <c r="D242" t="str">
        <f t="shared" si="29"/>
        <v>D</v>
      </c>
      <c r="E242" t="str">
        <f t="shared" si="29"/>
        <v>D</v>
      </c>
      <c r="F242" t="str">
        <f t="shared" si="24"/>
        <v>G</v>
      </c>
      <c r="G242">
        <f t="shared" si="25"/>
        <v>1</v>
      </c>
      <c r="H242">
        <f t="shared" si="26"/>
        <v>4</v>
      </c>
      <c r="I242">
        <f t="shared" si="27"/>
        <v>4</v>
      </c>
      <c r="J242">
        <f t="shared" si="28"/>
        <v>7</v>
      </c>
    </row>
    <row r="243" spans="1:10" x14ac:dyDescent="0.25">
      <c r="A243">
        <v>241</v>
      </c>
      <c r="B243" t="str">
        <f t="shared" si="23"/>
        <v>NOK</v>
      </c>
      <c r="C243" t="str">
        <f t="shared" si="29"/>
        <v>A</v>
      </c>
      <c r="D243" t="str">
        <f t="shared" si="29"/>
        <v>D</v>
      </c>
      <c r="E243" t="str">
        <f t="shared" si="29"/>
        <v>D</v>
      </c>
      <c r="F243" t="str">
        <f t="shared" si="24"/>
        <v>H</v>
      </c>
      <c r="G243">
        <f t="shared" si="25"/>
        <v>1</v>
      </c>
      <c r="H243">
        <f t="shared" si="26"/>
        <v>4</v>
      </c>
      <c r="I243">
        <f t="shared" si="27"/>
        <v>4</v>
      </c>
      <c r="J243">
        <f t="shared" si="28"/>
        <v>8</v>
      </c>
    </row>
    <row r="244" spans="1:10" x14ac:dyDescent="0.25">
      <c r="A244">
        <v>242</v>
      </c>
      <c r="B244" t="str">
        <f t="shared" si="23"/>
        <v>NOK</v>
      </c>
      <c r="C244" t="str">
        <f t="shared" si="29"/>
        <v>A</v>
      </c>
      <c r="D244" t="str">
        <f t="shared" si="29"/>
        <v>D</v>
      </c>
      <c r="E244" t="str">
        <f t="shared" si="29"/>
        <v>D</v>
      </c>
      <c r="F244" t="str">
        <f t="shared" si="24"/>
        <v>I</v>
      </c>
      <c r="G244">
        <f t="shared" si="25"/>
        <v>1</v>
      </c>
      <c r="H244">
        <f t="shared" si="26"/>
        <v>4</v>
      </c>
      <c r="I244">
        <f t="shared" si="27"/>
        <v>4</v>
      </c>
      <c r="J244">
        <f t="shared" si="28"/>
        <v>9</v>
      </c>
    </row>
    <row r="245" spans="1:10" x14ac:dyDescent="0.25">
      <c r="A245">
        <v>243</v>
      </c>
      <c r="B245" t="str">
        <f t="shared" si="23"/>
        <v>NOK</v>
      </c>
      <c r="C245" t="str">
        <f t="shared" si="29"/>
        <v>A</v>
      </c>
      <c r="D245" t="str">
        <f t="shared" si="29"/>
        <v>D</v>
      </c>
      <c r="E245" t="str">
        <f t="shared" si="29"/>
        <v>D</v>
      </c>
      <c r="F245" t="str">
        <f t="shared" si="24"/>
        <v>J</v>
      </c>
      <c r="G245">
        <f t="shared" si="25"/>
        <v>1</v>
      </c>
      <c r="H245">
        <f t="shared" si="26"/>
        <v>4</v>
      </c>
      <c r="I245">
        <f t="shared" si="27"/>
        <v>4</v>
      </c>
      <c r="J245">
        <f t="shared" si="28"/>
        <v>10</v>
      </c>
    </row>
    <row r="246" spans="1:10" x14ac:dyDescent="0.25">
      <c r="A246">
        <v>244</v>
      </c>
      <c r="B246" t="str">
        <f t="shared" si="23"/>
        <v>NOK</v>
      </c>
      <c r="C246" t="str">
        <f t="shared" si="29"/>
        <v>A</v>
      </c>
      <c r="D246" t="str">
        <f t="shared" si="29"/>
        <v>D</v>
      </c>
      <c r="E246" t="str">
        <f t="shared" si="29"/>
        <v>D</v>
      </c>
      <c r="F246" t="str">
        <f t="shared" si="24"/>
        <v>K</v>
      </c>
      <c r="G246">
        <f t="shared" si="25"/>
        <v>1</v>
      </c>
      <c r="H246">
        <f t="shared" si="26"/>
        <v>4</v>
      </c>
      <c r="I246">
        <f t="shared" si="27"/>
        <v>4</v>
      </c>
      <c r="J246">
        <f t="shared" si="28"/>
        <v>11</v>
      </c>
    </row>
    <row r="247" spans="1:10" x14ac:dyDescent="0.25">
      <c r="A247">
        <v>245</v>
      </c>
      <c r="B247" t="str">
        <f t="shared" si="23"/>
        <v>NOK</v>
      </c>
      <c r="C247" t="str">
        <f t="shared" si="29"/>
        <v>A</v>
      </c>
      <c r="D247" t="str">
        <f t="shared" si="29"/>
        <v>D</v>
      </c>
      <c r="E247" t="str">
        <f t="shared" si="29"/>
        <v>D</v>
      </c>
      <c r="F247" t="str">
        <f t="shared" si="24"/>
        <v>L</v>
      </c>
      <c r="G247">
        <f t="shared" si="25"/>
        <v>1</v>
      </c>
      <c r="H247">
        <f t="shared" si="26"/>
        <v>4</v>
      </c>
      <c r="I247">
        <f t="shared" si="27"/>
        <v>4</v>
      </c>
      <c r="J247">
        <f t="shared" si="28"/>
        <v>12</v>
      </c>
    </row>
    <row r="248" spans="1:10" x14ac:dyDescent="0.25">
      <c r="A248">
        <v>246</v>
      </c>
      <c r="B248" t="str">
        <f t="shared" si="23"/>
        <v>NOK</v>
      </c>
      <c r="C248" t="str">
        <f t="shared" si="29"/>
        <v>A</v>
      </c>
      <c r="D248" t="str">
        <f t="shared" si="29"/>
        <v>D</v>
      </c>
      <c r="E248" t="str">
        <f t="shared" si="29"/>
        <v>D</v>
      </c>
      <c r="F248" t="str">
        <f t="shared" si="24"/>
        <v>M</v>
      </c>
      <c r="G248">
        <f t="shared" si="25"/>
        <v>1</v>
      </c>
      <c r="H248">
        <f t="shared" si="26"/>
        <v>4</v>
      </c>
      <c r="I248">
        <f t="shared" si="27"/>
        <v>4</v>
      </c>
      <c r="J248">
        <f t="shared" si="28"/>
        <v>13</v>
      </c>
    </row>
    <row r="249" spans="1:10" x14ac:dyDescent="0.25">
      <c r="A249">
        <v>247</v>
      </c>
      <c r="B249" t="str">
        <f t="shared" si="23"/>
        <v>NOK</v>
      </c>
      <c r="C249" t="str">
        <f t="shared" si="29"/>
        <v>A</v>
      </c>
      <c r="D249" t="str">
        <f t="shared" si="29"/>
        <v>D</v>
      </c>
      <c r="E249" t="str">
        <f t="shared" si="29"/>
        <v>E</v>
      </c>
      <c r="F249" t="str">
        <f t="shared" si="24"/>
        <v>A</v>
      </c>
      <c r="G249">
        <f t="shared" si="25"/>
        <v>1</v>
      </c>
      <c r="H249">
        <f t="shared" si="26"/>
        <v>4</v>
      </c>
      <c r="I249">
        <f t="shared" si="27"/>
        <v>5</v>
      </c>
      <c r="J249">
        <f t="shared" si="28"/>
        <v>1</v>
      </c>
    </row>
    <row r="250" spans="1:10" x14ac:dyDescent="0.25">
      <c r="A250">
        <v>248</v>
      </c>
      <c r="B250" t="str">
        <f t="shared" si="23"/>
        <v>NOK</v>
      </c>
      <c r="C250" t="str">
        <f t="shared" si="29"/>
        <v>A</v>
      </c>
      <c r="D250" t="str">
        <f t="shared" si="29"/>
        <v>D</v>
      </c>
      <c r="E250" t="str">
        <f t="shared" si="29"/>
        <v>E</v>
      </c>
      <c r="F250" t="str">
        <f t="shared" si="24"/>
        <v>B</v>
      </c>
      <c r="G250">
        <f t="shared" si="25"/>
        <v>1</v>
      </c>
      <c r="H250">
        <f t="shared" si="26"/>
        <v>4</v>
      </c>
      <c r="I250">
        <f t="shared" si="27"/>
        <v>5</v>
      </c>
      <c r="J250">
        <f t="shared" si="28"/>
        <v>2</v>
      </c>
    </row>
    <row r="251" spans="1:10" x14ac:dyDescent="0.25">
      <c r="A251">
        <v>249</v>
      </c>
      <c r="B251" t="str">
        <f t="shared" si="23"/>
        <v>NOK</v>
      </c>
      <c r="C251" t="str">
        <f t="shared" si="29"/>
        <v>A</v>
      </c>
      <c r="D251" t="str">
        <f t="shared" si="29"/>
        <v>D</v>
      </c>
      <c r="E251" t="str">
        <f t="shared" si="29"/>
        <v>E</v>
      </c>
      <c r="F251" t="str">
        <f t="shared" si="24"/>
        <v>C</v>
      </c>
      <c r="G251">
        <f t="shared" si="25"/>
        <v>1</v>
      </c>
      <c r="H251">
        <f t="shared" si="26"/>
        <v>4</v>
      </c>
      <c r="I251">
        <f t="shared" si="27"/>
        <v>5</v>
      </c>
      <c r="J251">
        <f t="shared" si="28"/>
        <v>3</v>
      </c>
    </row>
    <row r="252" spans="1:10" x14ac:dyDescent="0.25">
      <c r="A252">
        <v>250</v>
      </c>
      <c r="B252" t="str">
        <f t="shared" si="23"/>
        <v>NOK</v>
      </c>
      <c r="C252" t="str">
        <f t="shared" si="29"/>
        <v>A</v>
      </c>
      <c r="D252" t="str">
        <f t="shared" si="29"/>
        <v>D</v>
      </c>
      <c r="E252" t="str">
        <f t="shared" si="29"/>
        <v>E</v>
      </c>
      <c r="F252" t="str">
        <f t="shared" si="24"/>
        <v>D</v>
      </c>
      <c r="G252">
        <f t="shared" si="25"/>
        <v>1</v>
      </c>
      <c r="H252">
        <f t="shared" si="26"/>
        <v>4</v>
      </c>
      <c r="I252">
        <f t="shared" si="27"/>
        <v>5</v>
      </c>
      <c r="J252">
        <f t="shared" si="28"/>
        <v>4</v>
      </c>
    </row>
    <row r="253" spans="1:10" x14ac:dyDescent="0.25">
      <c r="A253">
        <v>251</v>
      </c>
      <c r="B253" t="str">
        <f t="shared" si="23"/>
        <v>NOK</v>
      </c>
      <c r="C253" t="str">
        <f t="shared" si="29"/>
        <v>A</v>
      </c>
      <c r="D253" t="str">
        <f t="shared" si="29"/>
        <v>D</v>
      </c>
      <c r="E253" t="str">
        <f t="shared" si="29"/>
        <v>E</v>
      </c>
      <c r="F253" t="str">
        <f t="shared" si="24"/>
        <v>E</v>
      </c>
      <c r="G253">
        <f t="shared" si="25"/>
        <v>1</v>
      </c>
      <c r="H253">
        <f t="shared" si="26"/>
        <v>4</v>
      </c>
      <c r="I253">
        <f t="shared" si="27"/>
        <v>5</v>
      </c>
      <c r="J253">
        <f t="shared" si="28"/>
        <v>5</v>
      </c>
    </row>
    <row r="254" spans="1:10" x14ac:dyDescent="0.25">
      <c r="A254">
        <v>252</v>
      </c>
      <c r="B254" t="str">
        <f t="shared" si="23"/>
        <v>NOK</v>
      </c>
      <c r="C254" t="str">
        <f t="shared" si="29"/>
        <v>A</v>
      </c>
      <c r="D254" t="str">
        <f t="shared" si="29"/>
        <v>D</v>
      </c>
      <c r="E254" t="str">
        <f t="shared" si="29"/>
        <v>E</v>
      </c>
      <c r="F254" t="str">
        <f t="shared" si="24"/>
        <v>F</v>
      </c>
      <c r="G254">
        <f t="shared" si="25"/>
        <v>1</v>
      </c>
      <c r="H254">
        <f t="shared" si="26"/>
        <v>4</v>
      </c>
      <c r="I254">
        <f t="shared" si="27"/>
        <v>5</v>
      </c>
      <c r="J254">
        <f t="shared" si="28"/>
        <v>6</v>
      </c>
    </row>
    <row r="255" spans="1:10" x14ac:dyDescent="0.25">
      <c r="A255">
        <v>253</v>
      </c>
      <c r="B255" t="str">
        <f t="shared" si="23"/>
        <v>NOK</v>
      </c>
      <c r="C255" t="str">
        <f t="shared" si="29"/>
        <v>A</v>
      </c>
      <c r="D255" t="str">
        <f t="shared" si="29"/>
        <v>D</v>
      </c>
      <c r="E255" t="str">
        <f t="shared" si="29"/>
        <v>E</v>
      </c>
      <c r="F255" t="str">
        <f t="shared" si="24"/>
        <v>G</v>
      </c>
      <c r="G255">
        <f t="shared" si="25"/>
        <v>1</v>
      </c>
      <c r="H255">
        <f t="shared" si="26"/>
        <v>4</v>
      </c>
      <c r="I255">
        <f t="shared" si="27"/>
        <v>5</v>
      </c>
      <c r="J255">
        <f t="shared" si="28"/>
        <v>7</v>
      </c>
    </row>
    <row r="256" spans="1:10" x14ac:dyDescent="0.25">
      <c r="A256">
        <v>254</v>
      </c>
      <c r="B256" t="str">
        <f t="shared" si="23"/>
        <v>OK</v>
      </c>
      <c r="C256" t="str">
        <f t="shared" si="29"/>
        <v>A</v>
      </c>
      <c r="D256" t="str">
        <f t="shared" si="29"/>
        <v>D</v>
      </c>
      <c r="E256" t="str">
        <f t="shared" si="29"/>
        <v>E</v>
      </c>
      <c r="F256" t="str">
        <f t="shared" si="24"/>
        <v>H</v>
      </c>
      <c r="G256">
        <f t="shared" si="25"/>
        <v>1</v>
      </c>
      <c r="H256">
        <f t="shared" si="26"/>
        <v>4</v>
      </c>
      <c r="I256">
        <f t="shared" si="27"/>
        <v>5</v>
      </c>
      <c r="J256">
        <f t="shared" si="28"/>
        <v>8</v>
      </c>
    </row>
    <row r="257" spans="1:10" x14ac:dyDescent="0.25">
      <c r="A257">
        <v>255</v>
      </c>
      <c r="B257" t="str">
        <f t="shared" si="23"/>
        <v>NOK</v>
      </c>
      <c r="C257" t="str">
        <f t="shared" si="29"/>
        <v>A</v>
      </c>
      <c r="D257" t="str">
        <f t="shared" si="29"/>
        <v>D</v>
      </c>
      <c r="E257" t="str">
        <f t="shared" si="29"/>
        <v>E</v>
      </c>
      <c r="F257" t="str">
        <f t="shared" si="24"/>
        <v>I</v>
      </c>
      <c r="G257">
        <f t="shared" si="25"/>
        <v>1</v>
      </c>
      <c r="H257">
        <f t="shared" si="26"/>
        <v>4</v>
      </c>
      <c r="I257">
        <f t="shared" si="27"/>
        <v>5</v>
      </c>
      <c r="J257">
        <f t="shared" si="28"/>
        <v>9</v>
      </c>
    </row>
    <row r="258" spans="1:10" x14ac:dyDescent="0.25">
      <c r="A258">
        <v>256</v>
      </c>
      <c r="B258" t="str">
        <f t="shared" ref="B258:B321" si="30">IF(ROUND(_xlfn.XLOOKUP(C258,$U$1:$U$5,$T$1:$T$5,,0,1)+_xlfn.XLOOKUP(D258,$W$1:$W$5,$V$1:$V$5,,0,1)+_xlfn.XLOOKUP(E258,$Y$1:$Y$5,$X$1:$X$5,,0,1)-_xlfn.XLOOKUP(F258,$AA$1:$AA$13,$Z$1:$Z$13,,0,1),3)=0.325,"OK","NOK")</f>
        <v>NOK</v>
      </c>
      <c r="C258" t="str">
        <f t="shared" si="29"/>
        <v>A</v>
      </c>
      <c r="D258" t="str">
        <f t="shared" si="29"/>
        <v>D</v>
      </c>
      <c r="E258" t="str">
        <f t="shared" si="29"/>
        <v>E</v>
      </c>
      <c r="F258" t="str">
        <f t="shared" ref="F258:F321" si="31">IF(J258=1,"A",IF(J258=2,"B",IF(J258=3,"C",IF(J258=4,"D",IF(J258=5,"E",IF(J258=6,"F",IF(J258=7,"G",IF(J258=8,"H",IF(J258=9,"I",IF(J258=10,"J",IF(J258=11,"K",IF(J258=12,"L",IF(J258=13,"M","ERRO")))))))))))))</f>
        <v>J</v>
      </c>
      <c r="G258">
        <f t="shared" ref="G258:G321" si="32">INT($A258/325)+1</f>
        <v>1</v>
      </c>
      <c r="H258">
        <f t="shared" ref="H258:H321" si="33">INT(MOD($A258,325)/65)+1</f>
        <v>4</v>
      </c>
      <c r="I258">
        <f t="shared" ref="I258:I321" si="34">INT(MOD($A258,65)/13)+1</f>
        <v>5</v>
      </c>
      <c r="J258">
        <f t="shared" ref="J258:J321" si="35">MOD($A258,13)+1</f>
        <v>10</v>
      </c>
    </row>
    <row r="259" spans="1:10" x14ac:dyDescent="0.25">
      <c r="A259">
        <v>257</v>
      </c>
      <c r="B259" t="str">
        <f t="shared" si="30"/>
        <v>NOK</v>
      </c>
      <c r="C259" t="str">
        <f t="shared" ref="C259:E322" si="36">IF(G259=1,"A",IF(G259=2,"B",IF(G259=3,"C",IF(G259=4,"D",IF(G259=5,"E","ERRO")))))</f>
        <v>A</v>
      </c>
      <c r="D259" t="str">
        <f t="shared" si="36"/>
        <v>D</v>
      </c>
      <c r="E259" t="str">
        <f t="shared" si="36"/>
        <v>E</v>
      </c>
      <c r="F259" t="str">
        <f t="shared" si="31"/>
        <v>K</v>
      </c>
      <c r="G259">
        <f t="shared" si="32"/>
        <v>1</v>
      </c>
      <c r="H259">
        <f t="shared" si="33"/>
        <v>4</v>
      </c>
      <c r="I259">
        <f t="shared" si="34"/>
        <v>5</v>
      </c>
      <c r="J259">
        <f t="shared" si="35"/>
        <v>11</v>
      </c>
    </row>
    <row r="260" spans="1:10" x14ac:dyDescent="0.25">
      <c r="A260">
        <v>258</v>
      </c>
      <c r="B260" t="str">
        <f t="shared" si="30"/>
        <v>NOK</v>
      </c>
      <c r="C260" t="str">
        <f t="shared" si="36"/>
        <v>A</v>
      </c>
      <c r="D260" t="str">
        <f t="shared" si="36"/>
        <v>D</v>
      </c>
      <c r="E260" t="str">
        <f t="shared" si="36"/>
        <v>E</v>
      </c>
      <c r="F260" t="str">
        <f t="shared" si="31"/>
        <v>L</v>
      </c>
      <c r="G260">
        <f t="shared" si="32"/>
        <v>1</v>
      </c>
      <c r="H260">
        <f t="shared" si="33"/>
        <v>4</v>
      </c>
      <c r="I260">
        <f t="shared" si="34"/>
        <v>5</v>
      </c>
      <c r="J260">
        <f t="shared" si="35"/>
        <v>12</v>
      </c>
    </row>
    <row r="261" spans="1:10" x14ac:dyDescent="0.25">
      <c r="A261">
        <v>259</v>
      </c>
      <c r="B261" t="str">
        <f t="shared" si="30"/>
        <v>NOK</v>
      </c>
      <c r="C261" t="str">
        <f t="shared" si="36"/>
        <v>A</v>
      </c>
      <c r="D261" t="str">
        <f t="shared" si="36"/>
        <v>D</v>
      </c>
      <c r="E261" t="str">
        <f t="shared" si="36"/>
        <v>E</v>
      </c>
      <c r="F261" t="str">
        <f t="shared" si="31"/>
        <v>M</v>
      </c>
      <c r="G261">
        <f t="shared" si="32"/>
        <v>1</v>
      </c>
      <c r="H261">
        <f t="shared" si="33"/>
        <v>4</v>
      </c>
      <c r="I261">
        <f t="shared" si="34"/>
        <v>5</v>
      </c>
      <c r="J261">
        <f t="shared" si="35"/>
        <v>13</v>
      </c>
    </row>
    <row r="262" spans="1:10" x14ac:dyDescent="0.25">
      <c r="A262">
        <v>260</v>
      </c>
      <c r="B262" t="str">
        <f t="shared" si="30"/>
        <v>NOK</v>
      </c>
      <c r="C262" t="str">
        <f t="shared" si="36"/>
        <v>A</v>
      </c>
      <c r="D262" t="str">
        <f t="shared" si="36"/>
        <v>E</v>
      </c>
      <c r="E262" t="str">
        <f t="shared" si="36"/>
        <v>A</v>
      </c>
      <c r="F262" t="str">
        <f t="shared" si="31"/>
        <v>A</v>
      </c>
      <c r="G262">
        <f t="shared" si="32"/>
        <v>1</v>
      </c>
      <c r="H262">
        <f t="shared" si="33"/>
        <v>5</v>
      </c>
      <c r="I262">
        <f t="shared" si="34"/>
        <v>1</v>
      </c>
      <c r="J262">
        <f t="shared" si="35"/>
        <v>1</v>
      </c>
    </row>
    <row r="263" spans="1:10" x14ac:dyDescent="0.25">
      <c r="A263">
        <v>261</v>
      </c>
      <c r="B263" t="str">
        <f t="shared" si="30"/>
        <v>NOK</v>
      </c>
      <c r="C263" t="str">
        <f t="shared" si="36"/>
        <v>A</v>
      </c>
      <c r="D263" t="str">
        <f t="shared" si="36"/>
        <v>E</v>
      </c>
      <c r="E263" t="str">
        <f t="shared" si="36"/>
        <v>A</v>
      </c>
      <c r="F263" t="str">
        <f t="shared" si="31"/>
        <v>B</v>
      </c>
      <c r="G263">
        <f t="shared" si="32"/>
        <v>1</v>
      </c>
      <c r="H263">
        <f t="shared" si="33"/>
        <v>5</v>
      </c>
      <c r="I263">
        <f t="shared" si="34"/>
        <v>1</v>
      </c>
      <c r="J263">
        <f t="shared" si="35"/>
        <v>2</v>
      </c>
    </row>
    <row r="264" spans="1:10" x14ac:dyDescent="0.25">
      <c r="A264">
        <v>262</v>
      </c>
      <c r="B264" t="str">
        <f t="shared" si="30"/>
        <v>NOK</v>
      </c>
      <c r="C264" t="str">
        <f t="shared" si="36"/>
        <v>A</v>
      </c>
      <c r="D264" t="str">
        <f t="shared" si="36"/>
        <v>E</v>
      </c>
      <c r="E264" t="str">
        <f t="shared" si="36"/>
        <v>A</v>
      </c>
      <c r="F264" t="str">
        <f t="shared" si="31"/>
        <v>C</v>
      </c>
      <c r="G264">
        <f t="shared" si="32"/>
        <v>1</v>
      </c>
      <c r="H264">
        <f t="shared" si="33"/>
        <v>5</v>
      </c>
      <c r="I264">
        <f t="shared" si="34"/>
        <v>1</v>
      </c>
      <c r="J264">
        <f t="shared" si="35"/>
        <v>3</v>
      </c>
    </row>
    <row r="265" spans="1:10" x14ac:dyDescent="0.25">
      <c r="A265">
        <v>263</v>
      </c>
      <c r="B265" t="str">
        <f t="shared" si="30"/>
        <v>NOK</v>
      </c>
      <c r="C265" t="str">
        <f t="shared" si="36"/>
        <v>A</v>
      </c>
      <c r="D265" t="str">
        <f t="shared" si="36"/>
        <v>E</v>
      </c>
      <c r="E265" t="str">
        <f t="shared" si="36"/>
        <v>A</v>
      </c>
      <c r="F265" t="str">
        <f t="shared" si="31"/>
        <v>D</v>
      </c>
      <c r="G265">
        <f t="shared" si="32"/>
        <v>1</v>
      </c>
      <c r="H265">
        <f t="shared" si="33"/>
        <v>5</v>
      </c>
      <c r="I265">
        <f t="shared" si="34"/>
        <v>1</v>
      </c>
      <c r="J265">
        <f t="shared" si="35"/>
        <v>4</v>
      </c>
    </row>
    <row r="266" spans="1:10" x14ac:dyDescent="0.25">
      <c r="A266">
        <v>264</v>
      </c>
      <c r="B266" t="str">
        <f t="shared" si="30"/>
        <v>OK</v>
      </c>
      <c r="C266" t="str">
        <f t="shared" si="36"/>
        <v>A</v>
      </c>
      <c r="D266" t="str">
        <f t="shared" si="36"/>
        <v>E</v>
      </c>
      <c r="E266" t="str">
        <f t="shared" si="36"/>
        <v>A</v>
      </c>
      <c r="F266" t="str">
        <f t="shared" si="31"/>
        <v>E</v>
      </c>
      <c r="G266">
        <f t="shared" si="32"/>
        <v>1</v>
      </c>
      <c r="H266">
        <f t="shared" si="33"/>
        <v>5</v>
      </c>
      <c r="I266">
        <f t="shared" si="34"/>
        <v>1</v>
      </c>
      <c r="J266">
        <f t="shared" si="35"/>
        <v>5</v>
      </c>
    </row>
    <row r="267" spans="1:10" x14ac:dyDescent="0.25">
      <c r="A267">
        <v>265</v>
      </c>
      <c r="B267" t="str">
        <f t="shared" si="30"/>
        <v>NOK</v>
      </c>
      <c r="C267" t="str">
        <f t="shared" si="36"/>
        <v>A</v>
      </c>
      <c r="D267" t="str">
        <f t="shared" si="36"/>
        <v>E</v>
      </c>
      <c r="E267" t="str">
        <f t="shared" si="36"/>
        <v>A</v>
      </c>
      <c r="F267" t="str">
        <f t="shared" si="31"/>
        <v>F</v>
      </c>
      <c r="G267">
        <f t="shared" si="32"/>
        <v>1</v>
      </c>
      <c r="H267">
        <f t="shared" si="33"/>
        <v>5</v>
      </c>
      <c r="I267">
        <f t="shared" si="34"/>
        <v>1</v>
      </c>
      <c r="J267">
        <f t="shared" si="35"/>
        <v>6</v>
      </c>
    </row>
    <row r="268" spans="1:10" x14ac:dyDescent="0.25">
      <c r="A268">
        <v>266</v>
      </c>
      <c r="B268" t="str">
        <f t="shared" si="30"/>
        <v>NOK</v>
      </c>
      <c r="C268" t="str">
        <f t="shared" si="36"/>
        <v>A</v>
      </c>
      <c r="D268" t="str">
        <f t="shared" si="36"/>
        <v>E</v>
      </c>
      <c r="E268" t="str">
        <f t="shared" si="36"/>
        <v>A</v>
      </c>
      <c r="F268" t="str">
        <f t="shared" si="31"/>
        <v>G</v>
      </c>
      <c r="G268">
        <f t="shared" si="32"/>
        <v>1</v>
      </c>
      <c r="H268">
        <f t="shared" si="33"/>
        <v>5</v>
      </c>
      <c r="I268">
        <f t="shared" si="34"/>
        <v>1</v>
      </c>
      <c r="J268">
        <f t="shared" si="35"/>
        <v>7</v>
      </c>
    </row>
    <row r="269" spans="1:10" x14ac:dyDescent="0.25">
      <c r="A269">
        <v>267</v>
      </c>
      <c r="B269" t="str">
        <f t="shared" si="30"/>
        <v>NOK</v>
      </c>
      <c r="C269" t="str">
        <f t="shared" si="36"/>
        <v>A</v>
      </c>
      <c r="D269" t="str">
        <f t="shared" si="36"/>
        <v>E</v>
      </c>
      <c r="E269" t="str">
        <f t="shared" si="36"/>
        <v>A</v>
      </c>
      <c r="F269" t="str">
        <f t="shared" si="31"/>
        <v>H</v>
      </c>
      <c r="G269">
        <f t="shared" si="32"/>
        <v>1</v>
      </c>
      <c r="H269">
        <f t="shared" si="33"/>
        <v>5</v>
      </c>
      <c r="I269">
        <f t="shared" si="34"/>
        <v>1</v>
      </c>
      <c r="J269">
        <f t="shared" si="35"/>
        <v>8</v>
      </c>
    </row>
    <row r="270" spans="1:10" x14ac:dyDescent="0.25">
      <c r="A270">
        <v>268</v>
      </c>
      <c r="B270" t="str">
        <f t="shared" si="30"/>
        <v>NOK</v>
      </c>
      <c r="C270" t="str">
        <f t="shared" si="36"/>
        <v>A</v>
      </c>
      <c r="D270" t="str">
        <f t="shared" si="36"/>
        <v>E</v>
      </c>
      <c r="E270" t="str">
        <f t="shared" si="36"/>
        <v>A</v>
      </c>
      <c r="F270" t="str">
        <f t="shared" si="31"/>
        <v>I</v>
      </c>
      <c r="G270">
        <f t="shared" si="32"/>
        <v>1</v>
      </c>
      <c r="H270">
        <f t="shared" si="33"/>
        <v>5</v>
      </c>
      <c r="I270">
        <f t="shared" si="34"/>
        <v>1</v>
      </c>
      <c r="J270">
        <f t="shared" si="35"/>
        <v>9</v>
      </c>
    </row>
    <row r="271" spans="1:10" x14ac:dyDescent="0.25">
      <c r="A271">
        <v>269</v>
      </c>
      <c r="B271" t="str">
        <f t="shared" si="30"/>
        <v>NOK</v>
      </c>
      <c r="C271" t="str">
        <f t="shared" si="36"/>
        <v>A</v>
      </c>
      <c r="D271" t="str">
        <f t="shared" si="36"/>
        <v>E</v>
      </c>
      <c r="E271" t="str">
        <f t="shared" si="36"/>
        <v>A</v>
      </c>
      <c r="F271" t="str">
        <f t="shared" si="31"/>
        <v>J</v>
      </c>
      <c r="G271">
        <f t="shared" si="32"/>
        <v>1</v>
      </c>
      <c r="H271">
        <f t="shared" si="33"/>
        <v>5</v>
      </c>
      <c r="I271">
        <f t="shared" si="34"/>
        <v>1</v>
      </c>
      <c r="J271">
        <f t="shared" si="35"/>
        <v>10</v>
      </c>
    </row>
    <row r="272" spans="1:10" x14ac:dyDescent="0.25">
      <c r="A272">
        <v>270</v>
      </c>
      <c r="B272" t="str">
        <f t="shared" si="30"/>
        <v>NOK</v>
      </c>
      <c r="C272" t="str">
        <f t="shared" si="36"/>
        <v>A</v>
      </c>
      <c r="D272" t="str">
        <f t="shared" si="36"/>
        <v>E</v>
      </c>
      <c r="E272" t="str">
        <f t="shared" si="36"/>
        <v>A</v>
      </c>
      <c r="F272" t="str">
        <f t="shared" si="31"/>
        <v>K</v>
      </c>
      <c r="G272">
        <f t="shared" si="32"/>
        <v>1</v>
      </c>
      <c r="H272">
        <f t="shared" si="33"/>
        <v>5</v>
      </c>
      <c r="I272">
        <f t="shared" si="34"/>
        <v>1</v>
      </c>
      <c r="J272">
        <f t="shared" si="35"/>
        <v>11</v>
      </c>
    </row>
    <row r="273" spans="1:10" x14ac:dyDescent="0.25">
      <c r="A273">
        <v>271</v>
      </c>
      <c r="B273" t="str">
        <f t="shared" si="30"/>
        <v>NOK</v>
      </c>
      <c r="C273" t="str">
        <f t="shared" si="36"/>
        <v>A</v>
      </c>
      <c r="D273" t="str">
        <f t="shared" si="36"/>
        <v>E</v>
      </c>
      <c r="E273" t="str">
        <f t="shared" si="36"/>
        <v>A</v>
      </c>
      <c r="F273" t="str">
        <f t="shared" si="31"/>
        <v>L</v>
      </c>
      <c r="G273">
        <f t="shared" si="32"/>
        <v>1</v>
      </c>
      <c r="H273">
        <f t="shared" si="33"/>
        <v>5</v>
      </c>
      <c r="I273">
        <f t="shared" si="34"/>
        <v>1</v>
      </c>
      <c r="J273">
        <f t="shared" si="35"/>
        <v>12</v>
      </c>
    </row>
    <row r="274" spans="1:10" x14ac:dyDescent="0.25">
      <c r="A274">
        <v>272</v>
      </c>
      <c r="B274" t="str">
        <f t="shared" si="30"/>
        <v>NOK</v>
      </c>
      <c r="C274" t="str">
        <f t="shared" si="36"/>
        <v>A</v>
      </c>
      <c r="D274" t="str">
        <f t="shared" si="36"/>
        <v>E</v>
      </c>
      <c r="E274" t="str">
        <f t="shared" si="36"/>
        <v>A</v>
      </c>
      <c r="F274" t="str">
        <f t="shared" si="31"/>
        <v>M</v>
      </c>
      <c r="G274">
        <f t="shared" si="32"/>
        <v>1</v>
      </c>
      <c r="H274">
        <f t="shared" si="33"/>
        <v>5</v>
      </c>
      <c r="I274">
        <f t="shared" si="34"/>
        <v>1</v>
      </c>
      <c r="J274">
        <f t="shared" si="35"/>
        <v>13</v>
      </c>
    </row>
    <row r="275" spans="1:10" x14ac:dyDescent="0.25">
      <c r="A275">
        <v>273</v>
      </c>
      <c r="B275" t="str">
        <f t="shared" si="30"/>
        <v>NOK</v>
      </c>
      <c r="C275" t="str">
        <f t="shared" si="36"/>
        <v>A</v>
      </c>
      <c r="D275" t="str">
        <f t="shared" si="36"/>
        <v>E</v>
      </c>
      <c r="E275" t="str">
        <f t="shared" si="36"/>
        <v>B</v>
      </c>
      <c r="F275" t="str">
        <f t="shared" si="31"/>
        <v>A</v>
      </c>
      <c r="G275">
        <f t="shared" si="32"/>
        <v>1</v>
      </c>
      <c r="H275">
        <f t="shared" si="33"/>
        <v>5</v>
      </c>
      <c r="I275">
        <f t="shared" si="34"/>
        <v>2</v>
      </c>
      <c r="J275">
        <f t="shared" si="35"/>
        <v>1</v>
      </c>
    </row>
    <row r="276" spans="1:10" x14ac:dyDescent="0.25">
      <c r="A276">
        <v>274</v>
      </c>
      <c r="B276" t="str">
        <f t="shared" si="30"/>
        <v>NOK</v>
      </c>
      <c r="C276" t="str">
        <f t="shared" si="36"/>
        <v>A</v>
      </c>
      <c r="D276" t="str">
        <f t="shared" si="36"/>
        <v>E</v>
      </c>
      <c r="E276" t="str">
        <f t="shared" si="36"/>
        <v>B</v>
      </c>
      <c r="F276" t="str">
        <f t="shared" si="31"/>
        <v>B</v>
      </c>
      <c r="G276">
        <f t="shared" si="32"/>
        <v>1</v>
      </c>
      <c r="H276">
        <f t="shared" si="33"/>
        <v>5</v>
      </c>
      <c r="I276">
        <f t="shared" si="34"/>
        <v>2</v>
      </c>
      <c r="J276">
        <f t="shared" si="35"/>
        <v>2</v>
      </c>
    </row>
    <row r="277" spans="1:10" x14ac:dyDescent="0.25">
      <c r="A277">
        <v>275</v>
      </c>
      <c r="B277" t="str">
        <f t="shared" si="30"/>
        <v>NOK</v>
      </c>
      <c r="C277" t="str">
        <f t="shared" si="36"/>
        <v>A</v>
      </c>
      <c r="D277" t="str">
        <f t="shared" si="36"/>
        <v>E</v>
      </c>
      <c r="E277" t="str">
        <f t="shared" si="36"/>
        <v>B</v>
      </c>
      <c r="F277" t="str">
        <f t="shared" si="31"/>
        <v>C</v>
      </c>
      <c r="G277">
        <f t="shared" si="32"/>
        <v>1</v>
      </c>
      <c r="H277">
        <f t="shared" si="33"/>
        <v>5</v>
      </c>
      <c r="I277">
        <f t="shared" si="34"/>
        <v>2</v>
      </c>
      <c r="J277">
        <f t="shared" si="35"/>
        <v>3</v>
      </c>
    </row>
    <row r="278" spans="1:10" x14ac:dyDescent="0.25">
      <c r="A278">
        <v>276</v>
      </c>
      <c r="B278" t="str">
        <f t="shared" si="30"/>
        <v>NOK</v>
      </c>
      <c r="C278" t="str">
        <f t="shared" si="36"/>
        <v>A</v>
      </c>
      <c r="D278" t="str">
        <f t="shared" si="36"/>
        <v>E</v>
      </c>
      <c r="E278" t="str">
        <f t="shared" si="36"/>
        <v>B</v>
      </c>
      <c r="F278" t="str">
        <f t="shared" si="31"/>
        <v>D</v>
      </c>
      <c r="G278">
        <f t="shared" si="32"/>
        <v>1</v>
      </c>
      <c r="H278">
        <f t="shared" si="33"/>
        <v>5</v>
      </c>
      <c r="I278">
        <f t="shared" si="34"/>
        <v>2</v>
      </c>
      <c r="J278">
        <f t="shared" si="35"/>
        <v>4</v>
      </c>
    </row>
    <row r="279" spans="1:10" x14ac:dyDescent="0.25">
      <c r="A279">
        <v>277</v>
      </c>
      <c r="B279" t="str">
        <f t="shared" si="30"/>
        <v>NOK</v>
      </c>
      <c r="C279" t="str">
        <f t="shared" si="36"/>
        <v>A</v>
      </c>
      <c r="D279" t="str">
        <f t="shared" si="36"/>
        <v>E</v>
      </c>
      <c r="E279" t="str">
        <f t="shared" si="36"/>
        <v>B</v>
      </c>
      <c r="F279" t="str">
        <f t="shared" si="31"/>
        <v>E</v>
      </c>
      <c r="G279">
        <f t="shared" si="32"/>
        <v>1</v>
      </c>
      <c r="H279">
        <f t="shared" si="33"/>
        <v>5</v>
      </c>
      <c r="I279">
        <f t="shared" si="34"/>
        <v>2</v>
      </c>
      <c r="J279">
        <f t="shared" si="35"/>
        <v>5</v>
      </c>
    </row>
    <row r="280" spans="1:10" x14ac:dyDescent="0.25">
      <c r="A280">
        <v>278</v>
      </c>
      <c r="B280" t="str">
        <f t="shared" si="30"/>
        <v>OK</v>
      </c>
      <c r="C280" t="str">
        <f t="shared" si="36"/>
        <v>A</v>
      </c>
      <c r="D280" t="str">
        <f t="shared" si="36"/>
        <v>E</v>
      </c>
      <c r="E280" t="str">
        <f t="shared" si="36"/>
        <v>B</v>
      </c>
      <c r="F280" t="str">
        <f t="shared" si="31"/>
        <v>F</v>
      </c>
      <c r="G280">
        <f t="shared" si="32"/>
        <v>1</v>
      </c>
      <c r="H280">
        <f t="shared" si="33"/>
        <v>5</v>
      </c>
      <c r="I280">
        <f t="shared" si="34"/>
        <v>2</v>
      </c>
      <c r="J280">
        <f t="shared" si="35"/>
        <v>6</v>
      </c>
    </row>
    <row r="281" spans="1:10" x14ac:dyDescent="0.25">
      <c r="A281">
        <v>279</v>
      </c>
      <c r="B281" t="str">
        <f t="shared" si="30"/>
        <v>NOK</v>
      </c>
      <c r="C281" t="str">
        <f t="shared" si="36"/>
        <v>A</v>
      </c>
      <c r="D281" t="str">
        <f t="shared" si="36"/>
        <v>E</v>
      </c>
      <c r="E281" t="str">
        <f t="shared" si="36"/>
        <v>B</v>
      </c>
      <c r="F281" t="str">
        <f t="shared" si="31"/>
        <v>G</v>
      </c>
      <c r="G281">
        <f t="shared" si="32"/>
        <v>1</v>
      </c>
      <c r="H281">
        <f t="shared" si="33"/>
        <v>5</v>
      </c>
      <c r="I281">
        <f t="shared" si="34"/>
        <v>2</v>
      </c>
      <c r="J281">
        <f t="shared" si="35"/>
        <v>7</v>
      </c>
    </row>
    <row r="282" spans="1:10" x14ac:dyDescent="0.25">
      <c r="A282">
        <v>280</v>
      </c>
      <c r="B282" t="str">
        <f t="shared" si="30"/>
        <v>NOK</v>
      </c>
      <c r="C282" t="str">
        <f t="shared" si="36"/>
        <v>A</v>
      </c>
      <c r="D282" t="str">
        <f t="shared" si="36"/>
        <v>E</v>
      </c>
      <c r="E282" t="str">
        <f t="shared" si="36"/>
        <v>B</v>
      </c>
      <c r="F282" t="str">
        <f t="shared" si="31"/>
        <v>H</v>
      </c>
      <c r="G282">
        <f t="shared" si="32"/>
        <v>1</v>
      </c>
      <c r="H282">
        <f t="shared" si="33"/>
        <v>5</v>
      </c>
      <c r="I282">
        <f t="shared" si="34"/>
        <v>2</v>
      </c>
      <c r="J282">
        <f t="shared" si="35"/>
        <v>8</v>
      </c>
    </row>
    <row r="283" spans="1:10" x14ac:dyDescent="0.25">
      <c r="A283">
        <v>281</v>
      </c>
      <c r="B283" t="str">
        <f t="shared" si="30"/>
        <v>NOK</v>
      </c>
      <c r="C283" t="str">
        <f t="shared" si="36"/>
        <v>A</v>
      </c>
      <c r="D283" t="str">
        <f t="shared" si="36"/>
        <v>E</v>
      </c>
      <c r="E283" t="str">
        <f t="shared" si="36"/>
        <v>B</v>
      </c>
      <c r="F283" t="str">
        <f t="shared" si="31"/>
        <v>I</v>
      </c>
      <c r="G283">
        <f t="shared" si="32"/>
        <v>1</v>
      </c>
      <c r="H283">
        <f t="shared" si="33"/>
        <v>5</v>
      </c>
      <c r="I283">
        <f t="shared" si="34"/>
        <v>2</v>
      </c>
      <c r="J283">
        <f t="shared" si="35"/>
        <v>9</v>
      </c>
    </row>
    <row r="284" spans="1:10" x14ac:dyDescent="0.25">
      <c r="A284">
        <v>282</v>
      </c>
      <c r="B284" t="str">
        <f t="shared" si="30"/>
        <v>NOK</v>
      </c>
      <c r="C284" t="str">
        <f t="shared" si="36"/>
        <v>A</v>
      </c>
      <c r="D284" t="str">
        <f t="shared" si="36"/>
        <v>E</v>
      </c>
      <c r="E284" t="str">
        <f t="shared" si="36"/>
        <v>B</v>
      </c>
      <c r="F284" t="str">
        <f t="shared" si="31"/>
        <v>J</v>
      </c>
      <c r="G284">
        <f t="shared" si="32"/>
        <v>1</v>
      </c>
      <c r="H284">
        <f t="shared" si="33"/>
        <v>5</v>
      </c>
      <c r="I284">
        <f t="shared" si="34"/>
        <v>2</v>
      </c>
      <c r="J284">
        <f t="shared" si="35"/>
        <v>10</v>
      </c>
    </row>
    <row r="285" spans="1:10" x14ac:dyDescent="0.25">
      <c r="A285">
        <v>283</v>
      </c>
      <c r="B285" t="str">
        <f t="shared" si="30"/>
        <v>NOK</v>
      </c>
      <c r="C285" t="str">
        <f t="shared" si="36"/>
        <v>A</v>
      </c>
      <c r="D285" t="str">
        <f t="shared" si="36"/>
        <v>E</v>
      </c>
      <c r="E285" t="str">
        <f t="shared" si="36"/>
        <v>B</v>
      </c>
      <c r="F285" t="str">
        <f t="shared" si="31"/>
        <v>K</v>
      </c>
      <c r="G285">
        <f t="shared" si="32"/>
        <v>1</v>
      </c>
      <c r="H285">
        <f t="shared" si="33"/>
        <v>5</v>
      </c>
      <c r="I285">
        <f t="shared" si="34"/>
        <v>2</v>
      </c>
      <c r="J285">
        <f t="shared" si="35"/>
        <v>11</v>
      </c>
    </row>
    <row r="286" spans="1:10" x14ac:dyDescent="0.25">
      <c r="A286">
        <v>284</v>
      </c>
      <c r="B286" t="str">
        <f t="shared" si="30"/>
        <v>NOK</v>
      </c>
      <c r="C286" t="str">
        <f t="shared" si="36"/>
        <v>A</v>
      </c>
      <c r="D286" t="str">
        <f t="shared" si="36"/>
        <v>E</v>
      </c>
      <c r="E286" t="str">
        <f t="shared" si="36"/>
        <v>B</v>
      </c>
      <c r="F286" t="str">
        <f t="shared" si="31"/>
        <v>L</v>
      </c>
      <c r="G286">
        <f t="shared" si="32"/>
        <v>1</v>
      </c>
      <c r="H286">
        <f t="shared" si="33"/>
        <v>5</v>
      </c>
      <c r="I286">
        <f t="shared" si="34"/>
        <v>2</v>
      </c>
      <c r="J286">
        <f t="shared" si="35"/>
        <v>12</v>
      </c>
    </row>
    <row r="287" spans="1:10" x14ac:dyDescent="0.25">
      <c r="A287">
        <v>285</v>
      </c>
      <c r="B287" t="str">
        <f t="shared" si="30"/>
        <v>NOK</v>
      </c>
      <c r="C287" t="str">
        <f t="shared" si="36"/>
        <v>A</v>
      </c>
      <c r="D287" t="str">
        <f t="shared" si="36"/>
        <v>E</v>
      </c>
      <c r="E287" t="str">
        <f t="shared" si="36"/>
        <v>B</v>
      </c>
      <c r="F287" t="str">
        <f t="shared" si="31"/>
        <v>M</v>
      </c>
      <c r="G287">
        <f t="shared" si="32"/>
        <v>1</v>
      </c>
      <c r="H287">
        <f t="shared" si="33"/>
        <v>5</v>
      </c>
      <c r="I287">
        <f t="shared" si="34"/>
        <v>2</v>
      </c>
      <c r="J287">
        <f t="shared" si="35"/>
        <v>13</v>
      </c>
    </row>
    <row r="288" spans="1:10" x14ac:dyDescent="0.25">
      <c r="A288">
        <v>286</v>
      </c>
      <c r="B288" t="str">
        <f t="shared" si="30"/>
        <v>NOK</v>
      </c>
      <c r="C288" t="str">
        <f t="shared" si="36"/>
        <v>A</v>
      </c>
      <c r="D288" t="str">
        <f t="shared" si="36"/>
        <v>E</v>
      </c>
      <c r="E288" t="str">
        <f t="shared" si="36"/>
        <v>C</v>
      </c>
      <c r="F288" t="str">
        <f t="shared" si="31"/>
        <v>A</v>
      </c>
      <c r="G288">
        <f t="shared" si="32"/>
        <v>1</v>
      </c>
      <c r="H288">
        <f t="shared" si="33"/>
        <v>5</v>
      </c>
      <c r="I288">
        <f t="shared" si="34"/>
        <v>3</v>
      </c>
      <c r="J288">
        <f t="shared" si="35"/>
        <v>1</v>
      </c>
    </row>
    <row r="289" spans="1:10" x14ac:dyDescent="0.25">
      <c r="A289">
        <v>287</v>
      </c>
      <c r="B289" t="str">
        <f t="shared" si="30"/>
        <v>NOK</v>
      </c>
      <c r="C289" t="str">
        <f t="shared" si="36"/>
        <v>A</v>
      </c>
      <c r="D289" t="str">
        <f t="shared" si="36"/>
        <v>E</v>
      </c>
      <c r="E289" t="str">
        <f t="shared" si="36"/>
        <v>C</v>
      </c>
      <c r="F289" t="str">
        <f t="shared" si="31"/>
        <v>B</v>
      </c>
      <c r="G289">
        <f t="shared" si="32"/>
        <v>1</v>
      </c>
      <c r="H289">
        <f t="shared" si="33"/>
        <v>5</v>
      </c>
      <c r="I289">
        <f t="shared" si="34"/>
        <v>3</v>
      </c>
      <c r="J289">
        <f t="shared" si="35"/>
        <v>2</v>
      </c>
    </row>
    <row r="290" spans="1:10" x14ac:dyDescent="0.25">
      <c r="A290">
        <v>288</v>
      </c>
      <c r="B290" t="str">
        <f t="shared" si="30"/>
        <v>NOK</v>
      </c>
      <c r="C290" t="str">
        <f t="shared" si="36"/>
        <v>A</v>
      </c>
      <c r="D290" t="str">
        <f t="shared" si="36"/>
        <v>E</v>
      </c>
      <c r="E290" t="str">
        <f t="shared" si="36"/>
        <v>C</v>
      </c>
      <c r="F290" t="str">
        <f t="shared" si="31"/>
        <v>C</v>
      </c>
      <c r="G290">
        <f t="shared" si="32"/>
        <v>1</v>
      </c>
      <c r="H290">
        <f t="shared" si="33"/>
        <v>5</v>
      </c>
      <c r="I290">
        <f t="shared" si="34"/>
        <v>3</v>
      </c>
      <c r="J290">
        <f t="shared" si="35"/>
        <v>3</v>
      </c>
    </row>
    <row r="291" spans="1:10" x14ac:dyDescent="0.25">
      <c r="A291">
        <v>289</v>
      </c>
      <c r="B291" t="str">
        <f t="shared" si="30"/>
        <v>NOK</v>
      </c>
      <c r="C291" t="str">
        <f t="shared" si="36"/>
        <v>A</v>
      </c>
      <c r="D291" t="str">
        <f t="shared" si="36"/>
        <v>E</v>
      </c>
      <c r="E291" t="str">
        <f t="shared" si="36"/>
        <v>C</v>
      </c>
      <c r="F291" t="str">
        <f t="shared" si="31"/>
        <v>D</v>
      </c>
      <c r="G291">
        <f t="shared" si="32"/>
        <v>1</v>
      </c>
      <c r="H291">
        <f t="shared" si="33"/>
        <v>5</v>
      </c>
      <c r="I291">
        <f t="shared" si="34"/>
        <v>3</v>
      </c>
      <c r="J291">
        <f t="shared" si="35"/>
        <v>4</v>
      </c>
    </row>
    <row r="292" spans="1:10" x14ac:dyDescent="0.25">
      <c r="A292">
        <v>290</v>
      </c>
      <c r="B292" t="str">
        <f t="shared" si="30"/>
        <v>NOK</v>
      </c>
      <c r="C292" t="str">
        <f t="shared" si="36"/>
        <v>A</v>
      </c>
      <c r="D292" t="str">
        <f t="shared" si="36"/>
        <v>E</v>
      </c>
      <c r="E292" t="str">
        <f t="shared" si="36"/>
        <v>C</v>
      </c>
      <c r="F292" t="str">
        <f t="shared" si="31"/>
        <v>E</v>
      </c>
      <c r="G292">
        <f t="shared" si="32"/>
        <v>1</v>
      </c>
      <c r="H292">
        <f t="shared" si="33"/>
        <v>5</v>
      </c>
      <c r="I292">
        <f t="shared" si="34"/>
        <v>3</v>
      </c>
      <c r="J292">
        <f t="shared" si="35"/>
        <v>5</v>
      </c>
    </row>
    <row r="293" spans="1:10" x14ac:dyDescent="0.25">
      <c r="A293">
        <v>291</v>
      </c>
      <c r="B293" t="str">
        <f t="shared" si="30"/>
        <v>NOK</v>
      </c>
      <c r="C293" t="str">
        <f t="shared" si="36"/>
        <v>A</v>
      </c>
      <c r="D293" t="str">
        <f t="shared" si="36"/>
        <v>E</v>
      </c>
      <c r="E293" t="str">
        <f t="shared" si="36"/>
        <v>C</v>
      </c>
      <c r="F293" t="str">
        <f t="shared" si="31"/>
        <v>F</v>
      </c>
      <c r="G293">
        <f t="shared" si="32"/>
        <v>1</v>
      </c>
      <c r="H293">
        <f t="shared" si="33"/>
        <v>5</v>
      </c>
      <c r="I293">
        <f t="shared" si="34"/>
        <v>3</v>
      </c>
      <c r="J293">
        <f t="shared" si="35"/>
        <v>6</v>
      </c>
    </row>
    <row r="294" spans="1:10" x14ac:dyDescent="0.25">
      <c r="A294">
        <v>292</v>
      </c>
      <c r="B294" t="str">
        <f t="shared" si="30"/>
        <v>OK</v>
      </c>
      <c r="C294" t="str">
        <f t="shared" si="36"/>
        <v>A</v>
      </c>
      <c r="D294" t="str">
        <f t="shared" si="36"/>
        <v>E</v>
      </c>
      <c r="E294" t="str">
        <f t="shared" si="36"/>
        <v>C</v>
      </c>
      <c r="F294" t="str">
        <f t="shared" si="31"/>
        <v>G</v>
      </c>
      <c r="G294">
        <f t="shared" si="32"/>
        <v>1</v>
      </c>
      <c r="H294">
        <f t="shared" si="33"/>
        <v>5</v>
      </c>
      <c r="I294">
        <f t="shared" si="34"/>
        <v>3</v>
      </c>
      <c r="J294">
        <f t="shared" si="35"/>
        <v>7</v>
      </c>
    </row>
    <row r="295" spans="1:10" x14ac:dyDescent="0.25">
      <c r="A295">
        <v>293</v>
      </c>
      <c r="B295" t="str">
        <f t="shared" si="30"/>
        <v>NOK</v>
      </c>
      <c r="C295" t="str">
        <f t="shared" si="36"/>
        <v>A</v>
      </c>
      <c r="D295" t="str">
        <f t="shared" si="36"/>
        <v>E</v>
      </c>
      <c r="E295" t="str">
        <f t="shared" si="36"/>
        <v>C</v>
      </c>
      <c r="F295" t="str">
        <f t="shared" si="31"/>
        <v>H</v>
      </c>
      <c r="G295">
        <f t="shared" si="32"/>
        <v>1</v>
      </c>
      <c r="H295">
        <f t="shared" si="33"/>
        <v>5</v>
      </c>
      <c r="I295">
        <f t="shared" si="34"/>
        <v>3</v>
      </c>
      <c r="J295">
        <f t="shared" si="35"/>
        <v>8</v>
      </c>
    </row>
    <row r="296" spans="1:10" x14ac:dyDescent="0.25">
      <c r="A296">
        <v>294</v>
      </c>
      <c r="B296" t="str">
        <f t="shared" si="30"/>
        <v>NOK</v>
      </c>
      <c r="C296" t="str">
        <f t="shared" si="36"/>
        <v>A</v>
      </c>
      <c r="D296" t="str">
        <f t="shared" si="36"/>
        <v>E</v>
      </c>
      <c r="E296" t="str">
        <f t="shared" si="36"/>
        <v>C</v>
      </c>
      <c r="F296" t="str">
        <f t="shared" si="31"/>
        <v>I</v>
      </c>
      <c r="G296">
        <f t="shared" si="32"/>
        <v>1</v>
      </c>
      <c r="H296">
        <f t="shared" si="33"/>
        <v>5</v>
      </c>
      <c r="I296">
        <f t="shared" si="34"/>
        <v>3</v>
      </c>
      <c r="J296">
        <f t="shared" si="35"/>
        <v>9</v>
      </c>
    </row>
    <row r="297" spans="1:10" x14ac:dyDescent="0.25">
      <c r="A297">
        <v>295</v>
      </c>
      <c r="B297" t="str">
        <f t="shared" si="30"/>
        <v>NOK</v>
      </c>
      <c r="C297" t="str">
        <f t="shared" si="36"/>
        <v>A</v>
      </c>
      <c r="D297" t="str">
        <f t="shared" si="36"/>
        <v>E</v>
      </c>
      <c r="E297" t="str">
        <f t="shared" si="36"/>
        <v>C</v>
      </c>
      <c r="F297" t="str">
        <f t="shared" si="31"/>
        <v>J</v>
      </c>
      <c r="G297">
        <f t="shared" si="32"/>
        <v>1</v>
      </c>
      <c r="H297">
        <f t="shared" si="33"/>
        <v>5</v>
      </c>
      <c r="I297">
        <f t="shared" si="34"/>
        <v>3</v>
      </c>
      <c r="J297">
        <f t="shared" si="35"/>
        <v>10</v>
      </c>
    </row>
    <row r="298" spans="1:10" x14ac:dyDescent="0.25">
      <c r="A298">
        <v>296</v>
      </c>
      <c r="B298" t="str">
        <f t="shared" si="30"/>
        <v>NOK</v>
      </c>
      <c r="C298" t="str">
        <f t="shared" si="36"/>
        <v>A</v>
      </c>
      <c r="D298" t="str">
        <f t="shared" si="36"/>
        <v>E</v>
      </c>
      <c r="E298" t="str">
        <f t="shared" si="36"/>
        <v>C</v>
      </c>
      <c r="F298" t="str">
        <f t="shared" si="31"/>
        <v>K</v>
      </c>
      <c r="G298">
        <f t="shared" si="32"/>
        <v>1</v>
      </c>
      <c r="H298">
        <f t="shared" si="33"/>
        <v>5</v>
      </c>
      <c r="I298">
        <f t="shared" si="34"/>
        <v>3</v>
      </c>
      <c r="J298">
        <f t="shared" si="35"/>
        <v>11</v>
      </c>
    </row>
    <row r="299" spans="1:10" x14ac:dyDescent="0.25">
      <c r="A299">
        <v>297</v>
      </c>
      <c r="B299" t="str">
        <f t="shared" si="30"/>
        <v>NOK</v>
      </c>
      <c r="C299" t="str">
        <f t="shared" si="36"/>
        <v>A</v>
      </c>
      <c r="D299" t="str">
        <f t="shared" si="36"/>
        <v>E</v>
      </c>
      <c r="E299" t="str">
        <f t="shared" si="36"/>
        <v>C</v>
      </c>
      <c r="F299" t="str">
        <f t="shared" si="31"/>
        <v>L</v>
      </c>
      <c r="G299">
        <f t="shared" si="32"/>
        <v>1</v>
      </c>
      <c r="H299">
        <f t="shared" si="33"/>
        <v>5</v>
      </c>
      <c r="I299">
        <f t="shared" si="34"/>
        <v>3</v>
      </c>
      <c r="J299">
        <f t="shared" si="35"/>
        <v>12</v>
      </c>
    </row>
    <row r="300" spans="1:10" x14ac:dyDescent="0.25">
      <c r="A300">
        <v>298</v>
      </c>
      <c r="B300" t="str">
        <f t="shared" si="30"/>
        <v>NOK</v>
      </c>
      <c r="C300" t="str">
        <f t="shared" si="36"/>
        <v>A</v>
      </c>
      <c r="D300" t="str">
        <f t="shared" si="36"/>
        <v>E</v>
      </c>
      <c r="E300" t="str">
        <f t="shared" si="36"/>
        <v>C</v>
      </c>
      <c r="F300" t="str">
        <f t="shared" si="31"/>
        <v>M</v>
      </c>
      <c r="G300">
        <f t="shared" si="32"/>
        <v>1</v>
      </c>
      <c r="H300">
        <f t="shared" si="33"/>
        <v>5</v>
      </c>
      <c r="I300">
        <f t="shared" si="34"/>
        <v>3</v>
      </c>
      <c r="J300">
        <f t="shared" si="35"/>
        <v>13</v>
      </c>
    </row>
    <row r="301" spans="1:10" x14ac:dyDescent="0.25">
      <c r="A301">
        <v>299</v>
      </c>
      <c r="B301" t="str">
        <f t="shared" si="30"/>
        <v>NOK</v>
      </c>
      <c r="C301" t="str">
        <f t="shared" si="36"/>
        <v>A</v>
      </c>
      <c r="D301" t="str">
        <f t="shared" si="36"/>
        <v>E</v>
      </c>
      <c r="E301" t="str">
        <f t="shared" si="36"/>
        <v>D</v>
      </c>
      <c r="F301" t="str">
        <f t="shared" si="31"/>
        <v>A</v>
      </c>
      <c r="G301">
        <f t="shared" si="32"/>
        <v>1</v>
      </c>
      <c r="H301">
        <f t="shared" si="33"/>
        <v>5</v>
      </c>
      <c r="I301">
        <f t="shared" si="34"/>
        <v>4</v>
      </c>
      <c r="J301">
        <f t="shared" si="35"/>
        <v>1</v>
      </c>
    </row>
    <row r="302" spans="1:10" x14ac:dyDescent="0.25">
      <c r="A302">
        <v>300</v>
      </c>
      <c r="B302" t="str">
        <f t="shared" si="30"/>
        <v>NOK</v>
      </c>
      <c r="C302" t="str">
        <f t="shared" si="36"/>
        <v>A</v>
      </c>
      <c r="D302" t="str">
        <f t="shared" si="36"/>
        <v>E</v>
      </c>
      <c r="E302" t="str">
        <f t="shared" si="36"/>
        <v>D</v>
      </c>
      <c r="F302" t="str">
        <f t="shared" si="31"/>
        <v>B</v>
      </c>
      <c r="G302">
        <f t="shared" si="32"/>
        <v>1</v>
      </c>
      <c r="H302">
        <f t="shared" si="33"/>
        <v>5</v>
      </c>
      <c r="I302">
        <f t="shared" si="34"/>
        <v>4</v>
      </c>
      <c r="J302">
        <f t="shared" si="35"/>
        <v>2</v>
      </c>
    </row>
    <row r="303" spans="1:10" x14ac:dyDescent="0.25">
      <c r="A303">
        <v>301</v>
      </c>
      <c r="B303" t="str">
        <f t="shared" si="30"/>
        <v>NOK</v>
      </c>
      <c r="C303" t="str">
        <f t="shared" si="36"/>
        <v>A</v>
      </c>
      <c r="D303" t="str">
        <f t="shared" si="36"/>
        <v>E</v>
      </c>
      <c r="E303" t="str">
        <f t="shared" si="36"/>
        <v>D</v>
      </c>
      <c r="F303" t="str">
        <f t="shared" si="31"/>
        <v>C</v>
      </c>
      <c r="G303">
        <f t="shared" si="32"/>
        <v>1</v>
      </c>
      <c r="H303">
        <f t="shared" si="33"/>
        <v>5</v>
      </c>
      <c r="I303">
        <f t="shared" si="34"/>
        <v>4</v>
      </c>
      <c r="J303">
        <f t="shared" si="35"/>
        <v>3</v>
      </c>
    </row>
    <row r="304" spans="1:10" x14ac:dyDescent="0.25">
      <c r="A304">
        <v>302</v>
      </c>
      <c r="B304" t="str">
        <f t="shared" si="30"/>
        <v>NOK</v>
      </c>
      <c r="C304" t="str">
        <f t="shared" si="36"/>
        <v>A</v>
      </c>
      <c r="D304" t="str">
        <f t="shared" si="36"/>
        <v>E</v>
      </c>
      <c r="E304" t="str">
        <f t="shared" si="36"/>
        <v>D</v>
      </c>
      <c r="F304" t="str">
        <f t="shared" si="31"/>
        <v>D</v>
      </c>
      <c r="G304">
        <f t="shared" si="32"/>
        <v>1</v>
      </c>
      <c r="H304">
        <f t="shared" si="33"/>
        <v>5</v>
      </c>
      <c r="I304">
        <f t="shared" si="34"/>
        <v>4</v>
      </c>
      <c r="J304">
        <f t="shared" si="35"/>
        <v>4</v>
      </c>
    </row>
    <row r="305" spans="1:10" x14ac:dyDescent="0.25">
      <c r="A305">
        <v>303</v>
      </c>
      <c r="B305" t="str">
        <f t="shared" si="30"/>
        <v>NOK</v>
      </c>
      <c r="C305" t="str">
        <f t="shared" si="36"/>
        <v>A</v>
      </c>
      <c r="D305" t="str">
        <f t="shared" si="36"/>
        <v>E</v>
      </c>
      <c r="E305" t="str">
        <f t="shared" si="36"/>
        <v>D</v>
      </c>
      <c r="F305" t="str">
        <f t="shared" si="31"/>
        <v>E</v>
      </c>
      <c r="G305">
        <f t="shared" si="32"/>
        <v>1</v>
      </c>
      <c r="H305">
        <f t="shared" si="33"/>
        <v>5</v>
      </c>
      <c r="I305">
        <f t="shared" si="34"/>
        <v>4</v>
      </c>
      <c r="J305">
        <f t="shared" si="35"/>
        <v>5</v>
      </c>
    </row>
    <row r="306" spans="1:10" x14ac:dyDescent="0.25">
      <c r="A306">
        <v>304</v>
      </c>
      <c r="B306" t="str">
        <f t="shared" si="30"/>
        <v>NOK</v>
      </c>
      <c r="C306" t="str">
        <f t="shared" si="36"/>
        <v>A</v>
      </c>
      <c r="D306" t="str">
        <f t="shared" si="36"/>
        <v>E</v>
      </c>
      <c r="E306" t="str">
        <f t="shared" si="36"/>
        <v>D</v>
      </c>
      <c r="F306" t="str">
        <f t="shared" si="31"/>
        <v>F</v>
      </c>
      <c r="G306">
        <f t="shared" si="32"/>
        <v>1</v>
      </c>
      <c r="H306">
        <f t="shared" si="33"/>
        <v>5</v>
      </c>
      <c r="I306">
        <f t="shared" si="34"/>
        <v>4</v>
      </c>
      <c r="J306">
        <f t="shared" si="35"/>
        <v>6</v>
      </c>
    </row>
    <row r="307" spans="1:10" x14ac:dyDescent="0.25">
      <c r="A307">
        <v>305</v>
      </c>
      <c r="B307" t="str">
        <f t="shared" si="30"/>
        <v>NOK</v>
      </c>
      <c r="C307" t="str">
        <f t="shared" si="36"/>
        <v>A</v>
      </c>
      <c r="D307" t="str">
        <f t="shared" si="36"/>
        <v>E</v>
      </c>
      <c r="E307" t="str">
        <f t="shared" si="36"/>
        <v>D</v>
      </c>
      <c r="F307" t="str">
        <f t="shared" si="31"/>
        <v>G</v>
      </c>
      <c r="G307">
        <f t="shared" si="32"/>
        <v>1</v>
      </c>
      <c r="H307">
        <f t="shared" si="33"/>
        <v>5</v>
      </c>
      <c r="I307">
        <f t="shared" si="34"/>
        <v>4</v>
      </c>
      <c r="J307">
        <f t="shared" si="35"/>
        <v>7</v>
      </c>
    </row>
    <row r="308" spans="1:10" x14ac:dyDescent="0.25">
      <c r="A308">
        <v>306</v>
      </c>
      <c r="B308" t="str">
        <f t="shared" si="30"/>
        <v>OK</v>
      </c>
      <c r="C308" t="str">
        <f t="shared" si="36"/>
        <v>A</v>
      </c>
      <c r="D308" t="str">
        <f t="shared" si="36"/>
        <v>E</v>
      </c>
      <c r="E308" t="str">
        <f t="shared" si="36"/>
        <v>D</v>
      </c>
      <c r="F308" t="str">
        <f t="shared" si="31"/>
        <v>H</v>
      </c>
      <c r="G308">
        <f t="shared" si="32"/>
        <v>1</v>
      </c>
      <c r="H308">
        <f t="shared" si="33"/>
        <v>5</v>
      </c>
      <c r="I308">
        <f t="shared" si="34"/>
        <v>4</v>
      </c>
      <c r="J308">
        <f t="shared" si="35"/>
        <v>8</v>
      </c>
    </row>
    <row r="309" spans="1:10" x14ac:dyDescent="0.25">
      <c r="A309">
        <v>307</v>
      </c>
      <c r="B309" t="str">
        <f t="shared" si="30"/>
        <v>NOK</v>
      </c>
      <c r="C309" t="str">
        <f t="shared" si="36"/>
        <v>A</v>
      </c>
      <c r="D309" t="str">
        <f t="shared" si="36"/>
        <v>E</v>
      </c>
      <c r="E309" t="str">
        <f t="shared" si="36"/>
        <v>D</v>
      </c>
      <c r="F309" t="str">
        <f t="shared" si="31"/>
        <v>I</v>
      </c>
      <c r="G309">
        <f t="shared" si="32"/>
        <v>1</v>
      </c>
      <c r="H309">
        <f t="shared" si="33"/>
        <v>5</v>
      </c>
      <c r="I309">
        <f t="shared" si="34"/>
        <v>4</v>
      </c>
      <c r="J309">
        <f t="shared" si="35"/>
        <v>9</v>
      </c>
    </row>
    <row r="310" spans="1:10" x14ac:dyDescent="0.25">
      <c r="A310">
        <v>308</v>
      </c>
      <c r="B310" t="str">
        <f t="shared" si="30"/>
        <v>NOK</v>
      </c>
      <c r="C310" t="str">
        <f t="shared" si="36"/>
        <v>A</v>
      </c>
      <c r="D310" t="str">
        <f t="shared" si="36"/>
        <v>E</v>
      </c>
      <c r="E310" t="str">
        <f t="shared" si="36"/>
        <v>D</v>
      </c>
      <c r="F310" t="str">
        <f t="shared" si="31"/>
        <v>J</v>
      </c>
      <c r="G310">
        <f t="shared" si="32"/>
        <v>1</v>
      </c>
      <c r="H310">
        <f t="shared" si="33"/>
        <v>5</v>
      </c>
      <c r="I310">
        <f t="shared" si="34"/>
        <v>4</v>
      </c>
      <c r="J310">
        <f t="shared" si="35"/>
        <v>10</v>
      </c>
    </row>
    <row r="311" spans="1:10" x14ac:dyDescent="0.25">
      <c r="A311">
        <v>309</v>
      </c>
      <c r="B311" t="str">
        <f t="shared" si="30"/>
        <v>NOK</v>
      </c>
      <c r="C311" t="str">
        <f t="shared" si="36"/>
        <v>A</v>
      </c>
      <c r="D311" t="str">
        <f t="shared" si="36"/>
        <v>E</v>
      </c>
      <c r="E311" t="str">
        <f t="shared" si="36"/>
        <v>D</v>
      </c>
      <c r="F311" t="str">
        <f t="shared" si="31"/>
        <v>K</v>
      </c>
      <c r="G311">
        <f t="shared" si="32"/>
        <v>1</v>
      </c>
      <c r="H311">
        <f t="shared" si="33"/>
        <v>5</v>
      </c>
      <c r="I311">
        <f t="shared" si="34"/>
        <v>4</v>
      </c>
      <c r="J311">
        <f t="shared" si="35"/>
        <v>11</v>
      </c>
    </row>
    <row r="312" spans="1:10" x14ac:dyDescent="0.25">
      <c r="A312">
        <v>310</v>
      </c>
      <c r="B312" t="str">
        <f t="shared" si="30"/>
        <v>NOK</v>
      </c>
      <c r="C312" t="str">
        <f t="shared" si="36"/>
        <v>A</v>
      </c>
      <c r="D312" t="str">
        <f t="shared" si="36"/>
        <v>E</v>
      </c>
      <c r="E312" t="str">
        <f t="shared" si="36"/>
        <v>D</v>
      </c>
      <c r="F312" t="str">
        <f t="shared" si="31"/>
        <v>L</v>
      </c>
      <c r="G312">
        <f t="shared" si="32"/>
        <v>1</v>
      </c>
      <c r="H312">
        <f t="shared" si="33"/>
        <v>5</v>
      </c>
      <c r="I312">
        <f t="shared" si="34"/>
        <v>4</v>
      </c>
      <c r="J312">
        <f t="shared" si="35"/>
        <v>12</v>
      </c>
    </row>
    <row r="313" spans="1:10" x14ac:dyDescent="0.25">
      <c r="A313">
        <v>311</v>
      </c>
      <c r="B313" t="str">
        <f t="shared" si="30"/>
        <v>NOK</v>
      </c>
      <c r="C313" t="str">
        <f t="shared" si="36"/>
        <v>A</v>
      </c>
      <c r="D313" t="str">
        <f t="shared" si="36"/>
        <v>E</v>
      </c>
      <c r="E313" t="str">
        <f t="shared" si="36"/>
        <v>D</v>
      </c>
      <c r="F313" t="str">
        <f t="shared" si="31"/>
        <v>M</v>
      </c>
      <c r="G313">
        <f t="shared" si="32"/>
        <v>1</v>
      </c>
      <c r="H313">
        <f t="shared" si="33"/>
        <v>5</v>
      </c>
      <c r="I313">
        <f t="shared" si="34"/>
        <v>4</v>
      </c>
      <c r="J313">
        <f t="shared" si="35"/>
        <v>13</v>
      </c>
    </row>
    <row r="314" spans="1:10" x14ac:dyDescent="0.25">
      <c r="A314">
        <v>312</v>
      </c>
      <c r="B314" t="str">
        <f t="shared" si="30"/>
        <v>NOK</v>
      </c>
      <c r="C314" t="str">
        <f t="shared" si="36"/>
        <v>A</v>
      </c>
      <c r="D314" t="str">
        <f t="shared" si="36"/>
        <v>E</v>
      </c>
      <c r="E314" t="str">
        <f t="shared" si="36"/>
        <v>E</v>
      </c>
      <c r="F314" t="str">
        <f t="shared" si="31"/>
        <v>A</v>
      </c>
      <c r="G314">
        <f t="shared" si="32"/>
        <v>1</v>
      </c>
      <c r="H314">
        <f t="shared" si="33"/>
        <v>5</v>
      </c>
      <c r="I314">
        <f t="shared" si="34"/>
        <v>5</v>
      </c>
      <c r="J314">
        <f t="shared" si="35"/>
        <v>1</v>
      </c>
    </row>
    <row r="315" spans="1:10" x14ac:dyDescent="0.25">
      <c r="A315">
        <v>313</v>
      </c>
      <c r="B315" t="str">
        <f t="shared" si="30"/>
        <v>NOK</v>
      </c>
      <c r="C315" t="str">
        <f t="shared" si="36"/>
        <v>A</v>
      </c>
      <c r="D315" t="str">
        <f t="shared" si="36"/>
        <v>E</v>
      </c>
      <c r="E315" t="str">
        <f t="shared" si="36"/>
        <v>E</v>
      </c>
      <c r="F315" t="str">
        <f t="shared" si="31"/>
        <v>B</v>
      </c>
      <c r="G315">
        <f t="shared" si="32"/>
        <v>1</v>
      </c>
      <c r="H315">
        <f t="shared" si="33"/>
        <v>5</v>
      </c>
      <c r="I315">
        <f t="shared" si="34"/>
        <v>5</v>
      </c>
      <c r="J315">
        <f t="shared" si="35"/>
        <v>2</v>
      </c>
    </row>
    <row r="316" spans="1:10" x14ac:dyDescent="0.25">
      <c r="A316">
        <v>314</v>
      </c>
      <c r="B316" t="str">
        <f t="shared" si="30"/>
        <v>NOK</v>
      </c>
      <c r="C316" t="str">
        <f t="shared" si="36"/>
        <v>A</v>
      </c>
      <c r="D316" t="str">
        <f t="shared" si="36"/>
        <v>E</v>
      </c>
      <c r="E316" t="str">
        <f t="shared" si="36"/>
        <v>E</v>
      </c>
      <c r="F316" t="str">
        <f t="shared" si="31"/>
        <v>C</v>
      </c>
      <c r="G316">
        <f t="shared" si="32"/>
        <v>1</v>
      </c>
      <c r="H316">
        <f t="shared" si="33"/>
        <v>5</v>
      </c>
      <c r="I316">
        <f t="shared" si="34"/>
        <v>5</v>
      </c>
      <c r="J316">
        <f t="shared" si="35"/>
        <v>3</v>
      </c>
    </row>
    <row r="317" spans="1:10" x14ac:dyDescent="0.25">
      <c r="A317">
        <v>315</v>
      </c>
      <c r="B317" t="str">
        <f t="shared" si="30"/>
        <v>NOK</v>
      </c>
      <c r="C317" t="str">
        <f t="shared" si="36"/>
        <v>A</v>
      </c>
      <c r="D317" t="str">
        <f t="shared" si="36"/>
        <v>E</v>
      </c>
      <c r="E317" t="str">
        <f t="shared" si="36"/>
        <v>E</v>
      </c>
      <c r="F317" t="str">
        <f t="shared" si="31"/>
        <v>D</v>
      </c>
      <c r="G317">
        <f t="shared" si="32"/>
        <v>1</v>
      </c>
      <c r="H317">
        <f t="shared" si="33"/>
        <v>5</v>
      </c>
      <c r="I317">
        <f t="shared" si="34"/>
        <v>5</v>
      </c>
      <c r="J317">
        <f t="shared" si="35"/>
        <v>4</v>
      </c>
    </row>
    <row r="318" spans="1:10" x14ac:dyDescent="0.25">
      <c r="A318">
        <v>316</v>
      </c>
      <c r="B318" t="str">
        <f t="shared" si="30"/>
        <v>NOK</v>
      </c>
      <c r="C318" t="str">
        <f t="shared" si="36"/>
        <v>A</v>
      </c>
      <c r="D318" t="str">
        <f t="shared" si="36"/>
        <v>E</v>
      </c>
      <c r="E318" t="str">
        <f t="shared" si="36"/>
        <v>E</v>
      </c>
      <c r="F318" t="str">
        <f t="shared" si="31"/>
        <v>E</v>
      </c>
      <c r="G318">
        <f t="shared" si="32"/>
        <v>1</v>
      </c>
      <c r="H318">
        <f t="shared" si="33"/>
        <v>5</v>
      </c>
      <c r="I318">
        <f t="shared" si="34"/>
        <v>5</v>
      </c>
      <c r="J318">
        <f t="shared" si="35"/>
        <v>5</v>
      </c>
    </row>
    <row r="319" spans="1:10" x14ac:dyDescent="0.25">
      <c r="A319">
        <v>317</v>
      </c>
      <c r="B319" t="str">
        <f t="shared" si="30"/>
        <v>NOK</v>
      </c>
      <c r="C319" t="str">
        <f t="shared" si="36"/>
        <v>A</v>
      </c>
      <c r="D319" t="str">
        <f t="shared" si="36"/>
        <v>E</v>
      </c>
      <c r="E319" t="str">
        <f t="shared" si="36"/>
        <v>E</v>
      </c>
      <c r="F319" t="str">
        <f t="shared" si="31"/>
        <v>F</v>
      </c>
      <c r="G319">
        <f t="shared" si="32"/>
        <v>1</v>
      </c>
      <c r="H319">
        <f t="shared" si="33"/>
        <v>5</v>
      </c>
      <c r="I319">
        <f t="shared" si="34"/>
        <v>5</v>
      </c>
      <c r="J319">
        <f t="shared" si="35"/>
        <v>6</v>
      </c>
    </row>
    <row r="320" spans="1:10" x14ac:dyDescent="0.25">
      <c r="A320">
        <v>318</v>
      </c>
      <c r="B320" t="str">
        <f t="shared" si="30"/>
        <v>NOK</v>
      </c>
      <c r="C320" t="str">
        <f t="shared" si="36"/>
        <v>A</v>
      </c>
      <c r="D320" t="str">
        <f t="shared" si="36"/>
        <v>E</v>
      </c>
      <c r="E320" t="str">
        <f t="shared" si="36"/>
        <v>E</v>
      </c>
      <c r="F320" t="str">
        <f t="shared" si="31"/>
        <v>G</v>
      </c>
      <c r="G320">
        <f t="shared" si="32"/>
        <v>1</v>
      </c>
      <c r="H320">
        <f t="shared" si="33"/>
        <v>5</v>
      </c>
      <c r="I320">
        <f t="shared" si="34"/>
        <v>5</v>
      </c>
      <c r="J320">
        <f t="shared" si="35"/>
        <v>7</v>
      </c>
    </row>
    <row r="321" spans="1:10" x14ac:dyDescent="0.25">
      <c r="A321">
        <v>319</v>
      </c>
      <c r="B321" t="str">
        <f t="shared" si="30"/>
        <v>NOK</v>
      </c>
      <c r="C321" t="str">
        <f t="shared" si="36"/>
        <v>A</v>
      </c>
      <c r="D321" t="str">
        <f t="shared" si="36"/>
        <v>E</v>
      </c>
      <c r="E321" t="str">
        <f t="shared" si="36"/>
        <v>E</v>
      </c>
      <c r="F321" t="str">
        <f t="shared" si="31"/>
        <v>H</v>
      </c>
      <c r="G321">
        <f t="shared" si="32"/>
        <v>1</v>
      </c>
      <c r="H321">
        <f t="shared" si="33"/>
        <v>5</v>
      </c>
      <c r="I321">
        <f t="shared" si="34"/>
        <v>5</v>
      </c>
      <c r="J321">
        <f t="shared" si="35"/>
        <v>8</v>
      </c>
    </row>
    <row r="322" spans="1:10" x14ac:dyDescent="0.25">
      <c r="A322">
        <v>320</v>
      </c>
      <c r="B322" t="str">
        <f t="shared" ref="B322:B385" si="37">IF(ROUND(_xlfn.XLOOKUP(C322,$U$1:$U$5,$T$1:$T$5,,0,1)+_xlfn.XLOOKUP(D322,$W$1:$W$5,$V$1:$V$5,,0,1)+_xlfn.XLOOKUP(E322,$Y$1:$Y$5,$X$1:$X$5,,0,1)-_xlfn.XLOOKUP(F322,$AA$1:$AA$13,$Z$1:$Z$13,,0,1),3)=0.325,"OK","NOK")</f>
        <v>OK</v>
      </c>
      <c r="C322" t="str">
        <f t="shared" si="36"/>
        <v>A</v>
      </c>
      <c r="D322" t="str">
        <f t="shared" si="36"/>
        <v>E</v>
      </c>
      <c r="E322" t="str">
        <f t="shared" si="36"/>
        <v>E</v>
      </c>
      <c r="F322" t="str">
        <f t="shared" ref="F322:F385" si="38">IF(J322=1,"A",IF(J322=2,"B",IF(J322=3,"C",IF(J322=4,"D",IF(J322=5,"E",IF(J322=6,"F",IF(J322=7,"G",IF(J322=8,"H",IF(J322=9,"I",IF(J322=10,"J",IF(J322=11,"K",IF(J322=12,"L",IF(J322=13,"M","ERRO")))))))))))))</f>
        <v>I</v>
      </c>
      <c r="G322">
        <f t="shared" ref="G322:G385" si="39">INT($A322/325)+1</f>
        <v>1</v>
      </c>
      <c r="H322">
        <f t="shared" ref="H322:H385" si="40">INT(MOD($A322,325)/65)+1</f>
        <v>5</v>
      </c>
      <c r="I322">
        <f t="shared" ref="I322:I385" si="41">INT(MOD($A322,65)/13)+1</f>
        <v>5</v>
      </c>
      <c r="J322">
        <f t="shared" ref="J322:J385" si="42">MOD($A322,13)+1</f>
        <v>9</v>
      </c>
    </row>
    <row r="323" spans="1:10" x14ac:dyDescent="0.25">
      <c r="A323">
        <v>321</v>
      </c>
      <c r="B323" t="str">
        <f t="shared" si="37"/>
        <v>NOK</v>
      </c>
      <c r="C323" t="str">
        <f t="shared" ref="C323:E386" si="43">IF(G323=1,"A",IF(G323=2,"B",IF(G323=3,"C",IF(G323=4,"D",IF(G323=5,"E","ERRO")))))</f>
        <v>A</v>
      </c>
      <c r="D323" t="str">
        <f t="shared" si="43"/>
        <v>E</v>
      </c>
      <c r="E323" t="str">
        <f t="shared" si="43"/>
        <v>E</v>
      </c>
      <c r="F323" t="str">
        <f t="shared" si="38"/>
        <v>J</v>
      </c>
      <c r="G323">
        <f t="shared" si="39"/>
        <v>1</v>
      </c>
      <c r="H323">
        <f t="shared" si="40"/>
        <v>5</v>
      </c>
      <c r="I323">
        <f t="shared" si="41"/>
        <v>5</v>
      </c>
      <c r="J323">
        <f t="shared" si="42"/>
        <v>10</v>
      </c>
    </row>
    <row r="324" spans="1:10" x14ac:dyDescent="0.25">
      <c r="A324">
        <v>322</v>
      </c>
      <c r="B324" t="str">
        <f t="shared" si="37"/>
        <v>NOK</v>
      </c>
      <c r="C324" t="str">
        <f t="shared" si="43"/>
        <v>A</v>
      </c>
      <c r="D324" t="str">
        <f t="shared" si="43"/>
        <v>E</v>
      </c>
      <c r="E324" t="str">
        <f t="shared" si="43"/>
        <v>E</v>
      </c>
      <c r="F324" t="str">
        <f t="shared" si="38"/>
        <v>K</v>
      </c>
      <c r="G324">
        <f t="shared" si="39"/>
        <v>1</v>
      </c>
      <c r="H324">
        <f t="shared" si="40"/>
        <v>5</v>
      </c>
      <c r="I324">
        <f t="shared" si="41"/>
        <v>5</v>
      </c>
      <c r="J324">
        <f t="shared" si="42"/>
        <v>11</v>
      </c>
    </row>
    <row r="325" spans="1:10" x14ac:dyDescent="0.25">
      <c r="A325">
        <v>323</v>
      </c>
      <c r="B325" t="str">
        <f t="shared" si="37"/>
        <v>NOK</v>
      </c>
      <c r="C325" t="str">
        <f t="shared" si="43"/>
        <v>A</v>
      </c>
      <c r="D325" t="str">
        <f t="shared" si="43"/>
        <v>E</v>
      </c>
      <c r="E325" t="str">
        <f t="shared" si="43"/>
        <v>E</v>
      </c>
      <c r="F325" t="str">
        <f t="shared" si="38"/>
        <v>L</v>
      </c>
      <c r="G325">
        <f t="shared" si="39"/>
        <v>1</v>
      </c>
      <c r="H325">
        <f t="shared" si="40"/>
        <v>5</v>
      </c>
      <c r="I325">
        <f t="shared" si="41"/>
        <v>5</v>
      </c>
      <c r="J325">
        <f t="shared" si="42"/>
        <v>12</v>
      </c>
    </row>
    <row r="326" spans="1:10" x14ac:dyDescent="0.25">
      <c r="A326">
        <v>324</v>
      </c>
      <c r="B326" t="str">
        <f t="shared" si="37"/>
        <v>NOK</v>
      </c>
      <c r="C326" t="str">
        <f t="shared" si="43"/>
        <v>A</v>
      </c>
      <c r="D326" t="str">
        <f t="shared" si="43"/>
        <v>E</v>
      </c>
      <c r="E326" t="str">
        <f t="shared" si="43"/>
        <v>E</v>
      </c>
      <c r="F326" t="str">
        <f t="shared" si="38"/>
        <v>M</v>
      </c>
      <c r="G326">
        <f t="shared" si="39"/>
        <v>1</v>
      </c>
      <c r="H326">
        <f t="shared" si="40"/>
        <v>5</v>
      </c>
      <c r="I326">
        <f t="shared" si="41"/>
        <v>5</v>
      </c>
      <c r="J326">
        <f t="shared" si="42"/>
        <v>13</v>
      </c>
    </row>
    <row r="327" spans="1:10" x14ac:dyDescent="0.25">
      <c r="A327">
        <v>325</v>
      </c>
      <c r="B327" t="str">
        <f t="shared" si="37"/>
        <v>NOK</v>
      </c>
      <c r="C327" t="str">
        <f t="shared" si="43"/>
        <v>B</v>
      </c>
      <c r="D327" t="str">
        <f t="shared" si="43"/>
        <v>A</v>
      </c>
      <c r="E327" t="str">
        <f t="shared" si="43"/>
        <v>A</v>
      </c>
      <c r="F327" t="str">
        <f t="shared" si="38"/>
        <v>A</v>
      </c>
      <c r="G327">
        <f t="shared" si="39"/>
        <v>2</v>
      </c>
      <c r="H327">
        <f t="shared" si="40"/>
        <v>1</v>
      </c>
      <c r="I327">
        <f t="shared" si="41"/>
        <v>1</v>
      </c>
      <c r="J327">
        <f t="shared" si="42"/>
        <v>1</v>
      </c>
    </row>
    <row r="328" spans="1:10" x14ac:dyDescent="0.25">
      <c r="A328">
        <v>326</v>
      </c>
      <c r="B328" t="str">
        <f t="shared" si="37"/>
        <v>OK</v>
      </c>
      <c r="C328" t="str">
        <f t="shared" si="43"/>
        <v>B</v>
      </c>
      <c r="D328" t="str">
        <f t="shared" si="43"/>
        <v>A</v>
      </c>
      <c r="E328" t="str">
        <f t="shared" si="43"/>
        <v>A</v>
      </c>
      <c r="F328" t="str">
        <f t="shared" si="38"/>
        <v>B</v>
      </c>
      <c r="G328">
        <f t="shared" si="39"/>
        <v>2</v>
      </c>
      <c r="H328">
        <f t="shared" si="40"/>
        <v>1</v>
      </c>
      <c r="I328">
        <f t="shared" si="41"/>
        <v>1</v>
      </c>
      <c r="J328">
        <f t="shared" si="42"/>
        <v>2</v>
      </c>
    </row>
    <row r="329" spans="1:10" x14ac:dyDescent="0.25">
      <c r="A329">
        <v>327</v>
      </c>
      <c r="B329" t="str">
        <f t="shared" si="37"/>
        <v>NOK</v>
      </c>
      <c r="C329" t="str">
        <f t="shared" si="43"/>
        <v>B</v>
      </c>
      <c r="D329" t="str">
        <f t="shared" si="43"/>
        <v>A</v>
      </c>
      <c r="E329" t="str">
        <f t="shared" si="43"/>
        <v>A</v>
      </c>
      <c r="F329" t="str">
        <f t="shared" si="38"/>
        <v>C</v>
      </c>
      <c r="G329">
        <f t="shared" si="39"/>
        <v>2</v>
      </c>
      <c r="H329">
        <f t="shared" si="40"/>
        <v>1</v>
      </c>
      <c r="I329">
        <f t="shared" si="41"/>
        <v>1</v>
      </c>
      <c r="J329">
        <f t="shared" si="42"/>
        <v>3</v>
      </c>
    </row>
    <row r="330" spans="1:10" x14ac:dyDescent="0.25">
      <c r="A330">
        <v>328</v>
      </c>
      <c r="B330" t="str">
        <f t="shared" si="37"/>
        <v>NOK</v>
      </c>
      <c r="C330" t="str">
        <f t="shared" si="43"/>
        <v>B</v>
      </c>
      <c r="D330" t="str">
        <f t="shared" si="43"/>
        <v>A</v>
      </c>
      <c r="E330" t="str">
        <f t="shared" si="43"/>
        <v>A</v>
      </c>
      <c r="F330" t="str">
        <f t="shared" si="38"/>
        <v>D</v>
      </c>
      <c r="G330">
        <f t="shared" si="39"/>
        <v>2</v>
      </c>
      <c r="H330">
        <f t="shared" si="40"/>
        <v>1</v>
      </c>
      <c r="I330">
        <f t="shared" si="41"/>
        <v>1</v>
      </c>
      <c r="J330">
        <f t="shared" si="42"/>
        <v>4</v>
      </c>
    </row>
    <row r="331" spans="1:10" x14ac:dyDescent="0.25">
      <c r="A331">
        <v>329</v>
      </c>
      <c r="B331" t="str">
        <f t="shared" si="37"/>
        <v>NOK</v>
      </c>
      <c r="C331" t="str">
        <f t="shared" si="43"/>
        <v>B</v>
      </c>
      <c r="D331" t="str">
        <f t="shared" si="43"/>
        <v>A</v>
      </c>
      <c r="E331" t="str">
        <f t="shared" si="43"/>
        <v>A</v>
      </c>
      <c r="F331" t="str">
        <f t="shared" si="38"/>
        <v>E</v>
      </c>
      <c r="G331">
        <f t="shared" si="39"/>
        <v>2</v>
      </c>
      <c r="H331">
        <f t="shared" si="40"/>
        <v>1</v>
      </c>
      <c r="I331">
        <f t="shared" si="41"/>
        <v>1</v>
      </c>
      <c r="J331">
        <f t="shared" si="42"/>
        <v>5</v>
      </c>
    </row>
    <row r="332" spans="1:10" x14ac:dyDescent="0.25">
      <c r="A332">
        <v>330</v>
      </c>
      <c r="B332" t="str">
        <f t="shared" si="37"/>
        <v>NOK</v>
      </c>
      <c r="C332" t="str">
        <f t="shared" si="43"/>
        <v>B</v>
      </c>
      <c r="D332" t="str">
        <f t="shared" si="43"/>
        <v>A</v>
      </c>
      <c r="E332" t="str">
        <f t="shared" si="43"/>
        <v>A</v>
      </c>
      <c r="F332" t="str">
        <f t="shared" si="38"/>
        <v>F</v>
      </c>
      <c r="G332">
        <f t="shared" si="39"/>
        <v>2</v>
      </c>
      <c r="H332">
        <f t="shared" si="40"/>
        <v>1</v>
      </c>
      <c r="I332">
        <f t="shared" si="41"/>
        <v>1</v>
      </c>
      <c r="J332">
        <f t="shared" si="42"/>
        <v>6</v>
      </c>
    </row>
    <row r="333" spans="1:10" x14ac:dyDescent="0.25">
      <c r="A333">
        <v>331</v>
      </c>
      <c r="B333" t="str">
        <f t="shared" si="37"/>
        <v>NOK</v>
      </c>
      <c r="C333" t="str">
        <f t="shared" si="43"/>
        <v>B</v>
      </c>
      <c r="D333" t="str">
        <f t="shared" si="43"/>
        <v>A</v>
      </c>
      <c r="E333" t="str">
        <f t="shared" si="43"/>
        <v>A</v>
      </c>
      <c r="F333" t="str">
        <f t="shared" si="38"/>
        <v>G</v>
      </c>
      <c r="G333">
        <f t="shared" si="39"/>
        <v>2</v>
      </c>
      <c r="H333">
        <f t="shared" si="40"/>
        <v>1</v>
      </c>
      <c r="I333">
        <f t="shared" si="41"/>
        <v>1</v>
      </c>
      <c r="J333">
        <f t="shared" si="42"/>
        <v>7</v>
      </c>
    </row>
    <row r="334" spans="1:10" x14ac:dyDescent="0.25">
      <c r="A334">
        <v>332</v>
      </c>
      <c r="B334" t="str">
        <f t="shared" si="37"/>
        <v>NOK</v>
      </c>
      <c r="C334" t="str">
        <f t="shared" si="43"/>
        <v>B</v>
      </c>
      <c r="D334" t="str">
        <f t="shared" si="43"/>
        <v>A</v>
      </c>
      <c r="E334" t="str">
        <f t="shared" si="43"/>
        <v>A</v>
      </c>
      <c r="F334" t="str">
        <f t="shared" si="38"/>
        <v>H</v>
      </c>
      <c r="G334">
        <f t="shared" si="39"/>
        <v>2</v>
      </c>
      <c r="H334">
        <f t="shared" si="40"/>
        <v>1</v>
      </c>
      <c r="I334">
        <f t="shared" si="41"/>
        <v>1</v>
      </c>
      <c r="J334">
        <f t="shared" si="42"/>
        <v>8</v>
      </c>
    </row>
    <row r="335" spans="1:10" x14ac:dyDescent="0.25">
      <c r="A335">
        <v>333</v>
      </c>
      <c r="B335" t="str">
        <f t="shared" si="37"/>
        <v>NOK</v>
      </c>
      <c r="C335" t="str">
        <f t="shared" si="43"/>
        <v>B</v>
      </c>
      <c r="D335" t="str">
        <f t="shared" si="43"/>
        <v>A</v>
      </c>
      <c r="E335" t="str">
        <f t="shared" si="43"/>
        <v>A</v>
      </c>
      <c r="F335" t="str">
        <f t="shared" si="38"/>
        <v>I</v>
      </c>
      <c r="G335">
        <f t="shared" si="39"/>
        <v>2</v>
      </c>
      <c r="H335">
        <f t="shared" si="40"/>
        <v>1</v>
      </c>
      <c r="I335">
        <f t="shared" si="41"/>
        <v>1</v>
      </c>
      <c r="J335">
        <f t="shared" si="42"/>
        <v>9</v>
      </c>
    </row>
    <row r="336" spans="1:10" x14ac:dyDescent="0.25">
      <c r="A336">
        <v>334</v>
      </c>
      <c r="B336" t="str">
        <f t="shared" si="37"/>
        <v>NOK</v>
      </c>
      <c r="C336" t="str">
        <f t="shared" si="43"/>
        <v>B</v>
      </c>
      <c r="D336" t="str">
        <f t="shared" si="43"/>
        <v>A</v>
      </c>
      <c r="E336" t="str">
        <f t="shared" si="43"/>
        <v>A</v>
      </c>
      <c r="F336" t="str">
        <f t="shared" si="38"/>
        <v>J</v>
      </c>
      <c r="G336">
        <f t="shared" si="39"/>
        <v>2</v>
      </c>
      <c r="H336">
        <f t="shared" si="40"/>
        <v>1</v>
      </c>
      <c r="I336">
        <f t="shared" si="41"/>
        <v>1</v>
      </c>
      <c r="J336">
        <f t="shared" si="42"/>
        <v>10</v>
      </c>
    </row>
    <row r="337" spans="1:10" x14ac:dyDescent="0.25">
      <c r="A337">
        <v>335</v>
      </c>
      <c r="B337" t="str">
        <f t="shared" si="37"/>
        <v>NOK</v>
      </c>
      <c r="C337" t="str">
        <f t="shared" si="43"/>
        <v>B</v>
      </c>
      <c r="D337" t="str">
        <f t="shared" si="43"/>
        <v>A</v>
      </c>
      <c r="E337" t="str">
        <f t="shared" si="43"/>
        <v>A</v>
      </c>
      <c r="F337" t="str">
        <f t="shared" si="38"/>
        <v>K</v>
      </c>
      <c r="G337">
        <f t="shared" si="39"/>
        <v>2</v>
      </c>
      <c r="H337">
        <f t="shared" si="40"/>
        <v>1</v>
      </c>
      <c r="I337">
        <f t="shared" si="41"/>
        <v>1</v>
      </c>
      <c r="J337">
        <f t="shared" si="42"/>
        <v>11</v>
      </c>
    </row>
    <row r="338" spans="1:10" x14ac:dyDescent="0.25">
      <c r="A338">
        <v>336</v>
      </c>
      <c r="B338" t="str">
        <f t="shared" si="37"/>
        <v>NOK</v>
      </c>
      <c r="C338" t="str">
        <f t="shared" si="43"/>
        <v>B</v>
      </c>
      <c r="D338" t="str">
        <f t="shared" si="43"/>
        <v>A</v>
      </c>
      <c r="E338" t="str">
        <f t="shared" si="43"/>
        <v>A</v>
      </c>
      <c r="F338" t="str">
        <f t="shared" si="38"/>
        <v>L</v>
      </c>
      <c r="G338">
        <f t="shared" si="39"/>
        <v>2</v>
      </c>
      <c r="H338">
        <f t="shared" si="40"/>
        <v>1</v>
      </c>
      <c r="I338">
        <f t="shared" si="41"/>
        <v>1</v>
      </c>
      <c r="J338">
        <f t="shared" si="42"/>
        <v>12</v>
      </c>
    </row>
    <row r="339" spans="1:10" x14ac:dyDescent="0.25">
      <c r="A339">
        <v>337</v>
      </c>
      <c r="B339" t="str">
        <f t="shared" si="37"/>
        <v>NOK</v>
      </c>
      <c r="C339" t="str">
        <f t="shared" si="43"/>
        <v>B</v>
      </c>
      <c r="D339" t="str">
        <f t="shared" si="43"/>
        <v>A</v>
      </c>
      <c r="E339" t="str">
        <f t="shared" si="43"/>
        <v>A</v>
      </c>
      <c r="F339" t="str">
        <f t="shared" si="38"/>
        <v>M</v>
      </c>
      <c r="G339">
        <f t="shared" si="39"/>
        <v>2</v>
      </c>
      <c r="H339">
        <f t="shared" si="40"/>
        <v>1</v>
      </c>
      <c r="I339">
        <f t="shared" si="41"/>
        <v>1</v>
      </c>
      <c r="J339">
        <f t="shared" si="42"/>
        <v>13</v>
      </c>
    </row>
    <row r="340" spans="1:10" x14ac:dyDescent="0.25">
      <c r="A340">
        <v>338</v>
      </c>
      <c r="B340" t="str">
        <f t="shared" si="37"/>
        <v>NOK</v>
      </c>
      <c r="C340" t="str">
        <f t="shared" si="43"/>
        <v>B</v>
      </c>
      <c r="D340" t="str">
        <f t="shared" si="43"/>
        <v>A</v>
      </c>
      <c r="E340" t="str">
        <f t="shared" si="43"/>
        <v>B</v>
      </c>
      <c r="F340" t="str">
        <f t="shared" si="38"/>
        <v>A</v>
      </c>
      <c r="G340">
        <f t="shared" si="39"/>
        <v>2</v>
      </c>
      <c r="H340">
        <f t="shared" si="40"/>
        <v>1</v>
      </c>
      <c r="I340">
        <f t="shared" si="41"/>
        <v>2</v>
      </c>
      <c r="J340">
        <f t="shared" si="42"/>
        <v>1</v>
      </c>
    </row>
    <row r="341" spans="1:10" x14ac:dyDescent="0.25">
      <c r="A341">
        <v>339</v>
      </c>
      <c r="B341" t="str">
        <f t="shared" si="37"/>
        <v>NOK</v>
      </c>
      <c r="C341" t="str">
        <f t="shared" si="43"/>
        <v>B</v>
      </c>
      <c r="D341" t="str">
        <f t="shared" si="43"/>
        <v>A</v>
      </c>
      <c r="E341" t="str">
        <f t="shared" si="43"/>
        <v>B</v>
      </c>
      <c r="F341" t="str">
        <f t="shared" si="38"/>
        <v>B</v>
      </c>
      <c r="G341">
        <f t="shared" si="39"/>
        <v>2</v>
      </c>
      <c r="H341">
        <f t="shared" si="40"/>
        <v>1</v>
      </c>
      <c r="I341">
        <f t="shared" si="41"/>
        <v>2</v>
      </c>
      <c r="J341">
        <f t="shared" si="42"/>
        <v>2</v>
      </c>
    </row>
    <row r="342" spans="1:10" x14ac:dyDescent="0.25">
      <c r="A342">
        <v>340</v>
      </c>
      <c r="B342" t="str">
        <f t="shared" si="37"/>
        <v>OK</v>
      </c>
      <c r="C342" t="str">
        <f t="shared" si="43"/>
        <v>B</v>
      </c>
      <c r="D342" t="str">
        <f t="shared" si="43"/>
        <v>A</v>
      </c>
      <c r="E342" t="str">
        <f t="shared" si="43"/>
        <v>B</v>
      </c>
      <c r="F342" t="str">
        <f t="shared" si="38"/>
        <v>C</v>
      </c>
      <c r="G342">
        <f t="shared" si="39"/>
        <v>2</v>
      </c>
      <c r="H342">
        <f t="shared" si="40"/>
        <v>1</v>
      </c>
      <c r="I342">
        <f t="shared" si="41"/>
        <v>2</v>
      </c>
      <c r="J342">
        <f t="shared" si="42"/>
        <v>3</v>
      </c>
    </row>
    <row r="343" spans="1:10" x14ac:dyDescent="0.25">
      <c r="A343">
        <v>341</v>
      </c>
      <c r="B343" t="str">
        <f t="shared" si="37"/>
        <v>NOK</v>
      </c>
      <c r="C343" t="str">
        <f t="shared" si="43"/>
        <v>B</v>
      </c>
      <c r="D343" t="str">
        <f t="shared" si="43"/>
        <v>A</v>
      </c>
      <c r="E343" t="str">
        <f t="shared" si="43"/>
        <v>B</v>
      </c>
      <c r="F343" t="str">
        <f t="shared" si="38"/>
        <v>D</v>
      </c>
      <c r="G343">
        <f t="shared" si="39"/>
        <v>2</v>
      </c>
      <c r="H343">
        <f t="shared" si="40"/>
        <v>1</v>
      </c>
      <c r="I343">
        <f t="shared" si="41"/>
        <v>2</v>
      </c>
      <c r="J343">
        <f t="shared" si="42"/>
        <v>4</v>
      </c>
    </row>
    <row r="344" spans="1:10" x14ac:dyDescent="0.25">
      <c r="A344">
        <v>342</v>
      </c>
      <c r="B344" t="str">
        <f t="shared" si="37"/>
        <v>NOK</v>
      </c>
      <c r="C344" t="str">
        <f t="shared" si="43"/>
        <v>B</v>
      </c>
      <c r="D344" t="str">
        <f t="shared" si="43"/>
        <v>A</v>
      </c>
      <c r="E344" t="str">
        <f t="shared" si="43"/>
        <v>B</v>
      </c>
      <c r="F344" t="str">
        <f t="shared" si="38"/>
        <v>E</v>
      </c>
      <c r="G344">
        <f t="shared" si="39"/>
        <v>2</v>
      </c>
      <c r="H344">
        <f t="shared" si="40"/>
        <v>1</v>
      </c>
      <c r="I344">
        <f t="shared" si="41"/>
        <v>2</v>
      </c>
      <c r="J344">
        <f t="shared" si="42"/>
        <v>5</v>
      </c>
    </row>
    <row r="345" spans="1:10" x14ac:dyDescent="0.25">
      <c r="A345">
        <v>343</v>
      </c>
      <c r="B345" t="str">
        <f t="shared" si="37"/>
        <v>NOK</v>
      </c>
      <c r="C345" t="str">
        <f t="shared" si="43"/>
        <v>B</v>
      </c>
      <c r="D345" t="str">
        <f t="shared" si="43"/>
        <v>A</v>
      </c>
      <c r="E345" t="str">
        <f t="shared" si="43"/>
        <v>B</v>
      </c>
      <c r="F345" t="str">
        <f t="shared" si="38"/>
        <v>F</v>
      </c>
      <c r="G345">
        <f t="shared" si="39"/>
        <v>2</v>
      </c>
      <c r="H345">
        <f t="shared" si="40"/>
        <v>1</v>
      </c>
      <c r="I345">
        <f t="shared" si="41"/>
        <v>2</v>
      </c>
      <c r="J345">
        <f t="shared" si="42"/>
        <v>6</v>
      </c>
    </row>
    <row r="346" spans="1:10" x14ac:dyDescent="0.25">
      <c r="A346">
        <v>344</v>
      </c>
      <c r="B346" t="str">
        <f t="shared" si="37"/>
        <v>NOK</v>
      </c>
      <c r="C346" t="str">
        <f t="shared" si="43"/>
        <v>B</v>
      </c>
      <c r="D346" t="str">
        <f t="shared" si="43"/>
        <v>A</v>
      </c>
      <c r="E346" t="str">
        <f t="shared" si="43"/>
        <v>B</v>
      </c>
      <c r="F346" t="str">
        <f t="shared" si="38"/>
        <v>G</v>
      </c>
      <c r="G346">
        <f t="shared" si="39"/>
        <v>2</v>
      </c>
      <c r="H346">
        <f t="shared" si="40"/>
        <v>1</v>
      </c>
      <c r="I346">
        <f t="shared" si="41"/>
        <v>2</v>
      </c>
      <c r="J346">
        <f t="shared" si="42"/>
        <v>7</v>
      </c>
    </row>
    <row r="347" spans="1:10" x14ac:dyDescent="0.25">
      <c r="A347">
        <v>345</v>
      </c>
      <c r="B347" t="str">
        <f t="shared" si="37"/>
        <v>NOK</v>
      </c>
      <c r="C347" t="str">
        <f t="shared" si="43"/>
        <v>B</v>
      </c>
      <c r="D347" t="str">
        <f t="shared" si="43"/>
        <v>A</v>
      </c>
      <c r="E347" t="str">
        <f t="shared" si="43"/>
        <v>B</v>
      </c>
      <c r="F347" t="str">
        <f t="shared" si="38"/>
        <v>H</v>
      </c>
      <c r="G347">
        <f t="shared" si="39"/>
        <v>2</v>
      </c>
      <c r="H347">
        <f t="shared" si="40"/>
        <v>1</v>
      </c>
      <c r="I347">
        <f t="shared" si="41"/>
        <v>2</v>
      </c>
      <c r="J347">
        <f t="shared" si="42"/>
        <v>8</v>
      </c>
    </row>
    <row r="348" spans="1:10" x14ac:dyDescent="0.25">
      <c r="A348">
        <v>346</v>
      </c>
      <c r="B348" t="str">
        <f t="shared" si="37"/>
        <v>NOK</v>
      </c>
      <c r="C348" t="str">
        <f t="shared" si="43"/>
        <v>B</v>
      </c>
      <c r="D348" t="str">
        <f t="shared" si="43"/>
        <v>A</v>
      </c>
      <c r="E348" t="str">
        <f t="shared" si="43"/>
        <v>B</v>
      </c>
      <c r="F348" t="str">
        <f t="shared" si="38"/>
        <v>I</v>
      </c>
      <c r="G348">
        <f t="shared" si="39"/>
        <v>2</v>
      </c>
      <c r="H348">
        <f t="shared" si="40"/>
        <v>1</v>
      </c>
      <c r="I348">
        <f t="shared" si="41"/>
        <v>2</v>
      </c>
      <c r="J348">
        <f t="shared" si="42"/>
        <v>9</v>
      </c>
    </row>
    <row r="349" spans="1:10" x14ac:dyDescent="0.25">
      <c r="A349">
        <v>347</v>
      </c>
      <c r="B349" t="str">
        <f t="shared" si="37"/>
        <v>NOK</v>
      </c>
      <c r="C349" t="str">
        <f t="shared" si="43"/>
        <v>B</v>
      </c>
      <c r="D349" t="str">
        <f t="shared" si="43"/>
        <v>A</v>
      </c>
      <c r="E349" t="str">
        <f t="shared" si="43"/>
        <v>B</v>
      </c>
      <c r="F349" t="str">
        <f t="shared" si="38"/>
        <v>J</v>
      </c>
      <c r="G349">
        <f t="shared" si="39"/>
        <v>2</v>
      </c>
      <c r="H349">
        <f t="shared" si="40"/>
        <v>1</v>
      </c>
      <c r="I349">
        <f t="shared" si="41"/>
        <v>2</v>
      </c>
      <c r="J349">
        <f t="shared" si="42"/>
        <v>10</v>
      </c>
    </row>
    <row r="350" spans="1:10" x14ac:dyDescent="0.25">
      <c r="A350">
        <v>348</v>
      </c>
      <c r="B350" t="str">
        <f t="shared" si="37"/>
        <v>NOK</v>
      </c>
      <c r="C350" t="str">
        <f t="shared" si="43"/>
        <v>B</v>
      </c>
      <c r="D350" t="str">
        <f t="shared" si="43"/>
        <v>A</v>
      </c>
      <c r="E350" t="str">
        <f t="shared" si="43"/>
        <v>B</v>
      </c>
      <c r="F350" t="str">
        <f t="shared" si="38"/>
        <v>K</v>
      </c>
      <c r="G350">
        <f t="shared" si="39"/>
        <v>2</v>
      </c>
      <c r="H350">
        <f t="shared" si="40"/>
        <v>1</v>
      </c>
      <c r="I350">
        <f t="shared" si="41"/>
        <v>2</v>
      </c>
      <c r="J350">
        <f t="shared" si="42"/>
        <v>11</v>
      </c>
    </row>
    <row r="351" spans="1:10" x14ac:dyDescent="0.25">
      <c r="A351">
        <v>349</v>
      </c>
      <c r="B351" t="str">
        <f t="shared" si="37"/>
        <v>NOK</v>
      </c>
      <c r="C351" t="str">
        <f t="shared" si="43"/>
        <v>B</v>
      </c>
      <c r="D351" t="str">
        <f t="shared" si="43"/>
        <v>A</v>
      </c>
      <c r="E351" t="str">
        <f t="shared" si="43"/>
        <v>B</v>
      </c>
      <c r="F351" t="str">
        <f t="shared" si="38"/>
        <v>L</v>
      </c>
      <c r="G351">
        <f t="shared" si="39"/>
        <v>2</v>
      </c>
      <c r="H351">
        <f t="shared" si="40"/>
        <v>1</v>
      </c>
      <c r="I351">
        <f t="shared" si="41"/>
        <v>2</v>
      </c>
      <c r="J351">
        <f t="shared" si="42"/>
        <v>12</v>
      </c>
    </row>
    <row r="352" spans="1:10" x14ac:dyDescent="0.25">
      <c r="A352">
        <v>350</v>
      </c>
      <c r="B352" t="str">
        <f t="shared" si="37"/>
        <v>NOK</v>
      </c>
      <c r="C352" t="str">
        <f t="shared" si="43"/>
        <v>B</v>
      </c>
      <c r="D352" t="str">
        <f t="shared" si="43"/>
        <v>A</v>
      </c>
      <c r="E352" t="str">
        <f t="shared" si="43"/>
        <v>B</v>
      </c>
      <c r="F352" t="str">
        <f t="shared" si="38"/>
        <v>M</v>
      </c>
      <c r="G352">
        <f t="shared" si="39"/>
        <v>2</v>
      </c>
      <c r="H352">
        <f t="shared" si="40"/>
        <v>1</v>
      </c>
      <c r="I352">
        <f t="shared" si="41"/>
        <v>2</v>
      </c>
      <c r="J352">
        <f t="shared" si="42"/>
        <v>13</v>
      </c>
    </row>
    <row r="353" spans="1:10" x14ac:dyDescent="0.25">
      <c r="A353">
        <v>351</v>
      </c>
      <c r="B353" t="str">
        <f t="shared" si="37"/>
        <v>NOK</v>
      </c>
      <c r="C353" t="str">
        <f t="shared" si="43"/>
        <v>B</v>
      </c>
      <c r="D353" t="str">
        <f t="shared" si="43"/>
        <v>A</v>
      </c>
      <c r="E353" t="str">
        <f t="shared" si="43"/>
        <v>C</v>
      </c>
      <c r="F353" t="str">
        <f t="shared" si="38"/>
        <v>A</v>
      </c>
      <c r="G353">
        <f t="shared" si="39"/>
        <v>2</v>
      </c>
      <c r="H353">
        <f t="shared" si="40"/>
        <v>1</v>
      </c>
      <c r="I353">
        <f t="shared" si="41"/>
        <v>3</v>
      </c>
      <c r="J353">
        <f t="shared" si="42"/>
        <v>1</v>
      </c>
    </row>
    <row r="354" spans="1:10" x14ac:dyDescent="0.25">
      <c r="A354">
        <v>352</v>
      </c>
      <c r="B354" t="str">
        <f t="shared" si="37"/>
        <v>NOK</v>
      </c>
      <c r="C354" t="str">
        <f t="shared" si="43"/>
        <v>B</v>
      </c>
      <c r="D354" t="str">
        <f t="shared" si="43"/>
        <v>A</v>
      </c>
      <c r="E354" t="str">
        <f t="shared" si="43"/>
        <v>C</v>
      </c>
      <c r="F354" t="str">
        <f t="shared" si="38"/>
        <v>B</v>
      </c>
      <c r="G354">
        <f t="shared" si="39"/>
        <v>2</v>
      </c>
      <c r="H354">
        <f t="shared" si="40"/>
        <v>1</v>
      </c>
      <c r="I354">
        <f t="shared" si="41"/>
        <v>3</v>
      </c>
      <c r="J354">
        <f t="shared" si="42"/>
        <v>2</v>
      </c>
    </row>
    <row r="355" spans="1:10" x14ac:dyDescent="0.25">
      <c r="A355">
        <v>353</v>
      </c>
      <c r="B355" t="str">
        <f t="shared" si="37"/>
        <v>NOK</v>
      </c>
      <c r="C355" t="str">
        <f t="shared" si="43"/>
        <v>B</v>
      </c>
      <c r="D355" t="str">
        <f t="shared" si="43"/>
        <v>A</v>
      </c>
      <c r="E355" t="str">
        <f t="shared" si="43"/>
        <v>C</v>
      </c>
      <c r="F355" t="str">
        <f t="shared" si="38"/>
        <v>C</v>
      </c>
      <c r="G355">
        <f t="shared" si="39"/>
        <v>2</v>
      </c>
      <c r="H355">
        <f t="shared" si="40"/>
        <v>1</v>
      </c>
      <c r="I355">
        <f t="shared" si="41"/>
        <v>3</v>
      </c>
      <c r="J355">
        <f t="shared" si="42"/>
        <v>3</v>
      </c>
    </row>
    <row r="356" spans="1:10" x14ac:dyDescent="0.25">
      <c r="A356">
        <v>354</v>
      </c>
      <c r="B356" t="str">
        <f t="shared" si="37"/>
        <v>OK</v>
      </c>
      <c r="C356" t="str">
        <f t="shared" si="43"/>
        <v>B</v>
      </c>
      <c r="D356" t="str">
        <f t="shared" si="43"/>
        <v>A</v>
      </c>
      <c r="E356" t="str">
        <f t="shared" si="43"/>
        <v>C</v>
      </c>
      <c r="F356" t="str">
        <f t="shared" si="38"/>
        <v>D</v>
      </c>
      <c r="G356">
        <f t="shared" si="39"/>
        <v>2</v>
      </c>
      <c r="H356">
        <f t="shared" si="40"/>
        <v>1</v>
      </c>
      <c r="I356">
        <f t="shared" si="41"/>
        <v>3</v>
      </c>
      <c r="J356">
        <f t="shared" si="42"/>
        <v>4</v>
      </c>
    </row>
    <row r="357" spans="1:10" x14ac:dyDescent="0.25">
      <c r="A357">
        <v>355</v>
      </c>
      <c r="B357" t="str">
        <f t="shared" si="37"/>
        <v>NOK</v>
      </c>
      <c r="C357" t="str">
        <f t="shared" si="43"/>
        <v>B</v>
      </c>
      <c r="D357" t="str">
        <f t="shared" si="43"/>
        <v>A</v>
      </c>
      <c r="E357" t="str">
        <f t="shared" si="43"/>
        <v>C</v>
      </c>
      <c r="F357" t="str">
        <f t="shared" si="38"/>
        <v>E</v>
      </c>
      <c r="G357">
        <f t="shared" si="39"/>
        <v>2</v>
      </c>
      <c r="H357">
        <f t="shared" si="40"/>
        <v>1</v>
      </c>
      <c r="I357">
        <f t="shared" si="41"/>
        <v>3</v>
      </c>
      <c r="J357">
        <f t="shared" si="42"/>
        <v>5</v>
      </c>
    </row>
    <row r="358" spans="1:10" x14ac:dyDescent="0.25">
      <c r="A358">
        <v>356</v>
      </c>
      <c r="B358" t="str">
        <f t="shared" si="37"/>
        <v>NOK</v>
      </c>
      <c r="C358" t="str">
        <f t="shared" si="43"/>
        <v>B</v>
      </c>
      <c r="D358" t="str">
        <f t="shared" si="43"/>
        <v>A</v>
      </c>
      <c r="E358" t="str">
        <f t="shared" si="43"/>
        <v>C</v>
      </c>
      <c r="F358" t="str">
        <f t="shared" si="38"/>
        <v>F</v>
      </c>
      <c r="G358">
        <f t="shared" si="39"/>
        <v>2</v>
      </c>
      <c r="H358">
        <f t="shared" si="40"/>
        <v>1</v>
      </c>
      <c r="I358">
        <f t="shared" si="41"/>
        <v>3</v>
      </c>
      <c r="J358">
        <f t="shared" si="42"/>
        <v>6</v>
      </c>
    </row>
    <row r="359" spans="1:10" x14ac:dyDescent="0.25">
      <c r="A359">
        <v>357</v>
      </c>
      <c r="B359" t="str">
        <f t="shared" si="37"/>
        <v>NOK</v>
      </c>
      <c r="C359" t="str">
        <f t="shared" si="43"/>
        <v>B</v>
      </c>
      <c r="D359" t="str">
        <f t="shared" si="43"/>
        <v>A</v>
      </c>
      <c r="E359" t="str">
        <f t="shared" si="43"/>
        <v>C</v>
      </c>
      <c r="F359" t="str">
        <f t="shared" si="38"/>
        <v>G</v>
      </c>
      <c r="G359">
        <f t="shared" si="39"/>
        <v>2</v>
      </c>
      <c r="H359">
        <f t="shared" si="40"/>
        <v>1</v>
      </c>
      <c r="I359">
        <f t="shared" si="41"/>
        <v>3</v>
      </c>
      <c r="J359">
        <f t="shared" si="42"/>
        <v>7</v>
      </c>
    </row>
    <row r="360" spans="1:10" x14ac:dyDescent="0.25">
      <c r="A360">
        <v>358</v>
      </c>
      <c r="B360" t="str">
        <f t="shared" si="37"/>
        <v>NOK</v>
      </c>
      <c r="C360" t="str">
        <f t="shared" si="43"/>
        <v>B</v>
      </c>
      <c r="D360" t="str">
        <f t="shared" si="43"/>
        <v>A</v>
      </c>
      <c r="E360" t="str">
        <f t="shared" si="43"/>
        <v>C</v>
      </c>
      <c r="F360" t="str">
        <f t="shared" si="38"/>
        <v>H</v>
      </c>
      <c r="G360">
        <f t="shared" si="39"/>
        <v>2</v>
      </c>
      <c r="H360">
        <f t="shared" si="40"/>
        <v>1</v>
      </c>
      <c r="I360">
        <f t="shared" si="41"/>
        <v>3</v>
      </c>
      <c r="J360">
        <f t="shared" si="42"/>
        <v>8</v>
      </c>
    </row>
    <row r="361" spans="1:10" x14ac:dyDescent="0.25">
      <c r="A361">
        <v>359</v>
      </c>
      <c r="B361" t="str">
        <f t="shared" si="37"/>
        <v>NOK</v>
      </c>
      <c r="C361" t="str">
        <f t="shared" si="43"/>
        <v>B</v>
      </c>
      <c r="D361" t="str">
        <f t="shared" si="43"/>
        <v>A</v>
      </c>
      <c r="E361" t="str">
        <f t="shared" si="43"/>
        <v>C</v>
      </c>
      <c r="F361" t="str">
        <f t="shared" si="38"/>
        <v>I</v>
      </c>
      <c r="G361">
        <f t="shared" si="39"/>
        <v>2</v>
      </c>
      <c r="H361">
        <f t="shared" si="40"/>
        <v>1</v>
      </c>
      <c r="I361">
        <f t="shared" si="41"/>
        <v>3</v>
      </c>
      <c r="J361">
        <f t="shared" si="42"/>
        <v>9</v>
      </c>
    </row>
    <row r="362" spans="1:10" x14ac:dyDescent="0.25">
      <c r="A362">
        <v>360</v>
      </c>
      <c r="B362" t="str">
        <f t="shared" si="37"/>
        <v>NOK</v>
      </c>
      <c r="C362" t="str">
        <f t="shared" si="43"/>
        <v>B</v>
      </c>
      <c r="D362" t="str">
        <f t="shared" si="43"/>
        <v>A</v>
      </c>
      <c r="E362" t="str">
        <f t="shared" si="43"/>
        <v>C</v>
      </c>
      <c r="F362" t="str">
        <f t="shared" si="38"/>
        <v>J</v>
      </c>
      <c r="G362">
        <f t="shared" si="39"/>
        <v>2</v>
      </c>
      <c r="H362">
        <f t="shared" si="40"/>
        <v>1</v>
      </c>
      <c r="I362">
        <f t="shared" si="41"/>
        <v>3</v>
      </c>
      <c r="J362">
        <f t="shared" si="42"/>
        <v>10</v>
      </c>
    </row>
    <row r="363" spans="1:10" x14ac:dyDescent="0.25">
      <c r="A363">
        <v>361</v>
      </c>
      <c r="B363" t="str">
        <f t="shared" si="37"/>
        <v>NOK</v>
      </c>
      <c r="C363" t="str">
        <f t="shared" si="43"/>
        <v>B</v>
      </c>
      <c r="D363" t="str">
        <f t="shared" si="43"/>
        <v>A</v>
      </c>
      <c r="E363" t="str">
        <f t="shared" si="43"/>
        <v>C</v>
      </c>
      <c r="F363" t="str">
        <f t="shared" si="38"/>
        <v>K</v>
      </c>
      <c r="G363">
        <f t="shared" si="39"/>
        <v>2</v>
      </c>
      <c r="H363">
        <f t="shared" si="40"/>
        <v>1</v>
      </c>
      <c r="I363">
        <f t="shared" si="41"/>
        <v>3</v>
      </c>
      <c r="J363">
        <f t="shared" si="42"/>
        <v>11</v>
      </c>
    </row>
    <row r="364" spans="1:10" x14ac:dyDescent="0.25">
      <c r="A364">
        <v>362</v>
      </c>
      <c r="B364" t="str">
        <f t="shared" si="37"/>
        <v>NOK</v>
      </c>
      <c r="C364" t="str">
        <f t="shared" si="43"/>
        <v>B</v>
      </c>
      <c r="D364" t="str">
        <f t="shared" si="43"/>
        <v>A</v>
      </c>
      <c r="E364" t="str">
        <f t="shared" si="43"/>
        <v>C</v>
      </c>
      <c r="F364" t="str">
        <f t="shared" si="38"/>
        <v>L</v>
      </c>
      <c r="G364">
        <f t="shared" si="39"/>
        <v>2</v>
      </c>
      <c r="H364">
        <f t="shared" si="40"/>
        <v>1</v>
      </c>
      <c r="I364">
        <f t="shared" si="41"/>
        <v>3</v>
      </c>
      <c r="J364">
        <f t="shared" si="42"/>
        <v>12</v>
      </c>
    </row>
    <row r="365" spans="1:10" x14ac:dyDescent="0.25">
      <c r="A365">
        <v>363</v>
      </c>
      <c r="B365" t="str">
        <f t="shared" si="37"/>
        <v>NOK</v>
      </c>
      <c r="C365" t="str">
        <f t="shared" si="43"/>
        <v>B</v>
      </c>
      <c r="D365" t="str">
        <f t="shared" si="43"/>
        <v>A</v>
      </c>
      <c r="E365" t="str">
        <f t="shared" si="43"/>
        <v>C</v>
      </c>
      <c r="F365" t="str">
        <f t="shared" si="38"/>
        <v>M</v>
      </c>
      <c r="G365">
        <f t="shared" si="39"/>
        <v>2</v>
      </c>
      <c r="H365">
        <f t="shared" si="40"/>
        <v>1</v>
      </c>
      <c r="I365">
        <f t="shared" si="41"/>
        <v>3</v>
      </c>
      <c r="J365">
        <f t="shared" si="42"/>
        <v>13</v>
      </c>
    </row>
    <row r="366" spans="1:10" x14ac:dyDescent="0.25">
      <c r="A366">
        <v>364</v>
      </c>
      <c r="B366" t="str">
        <f t="shared" si="37"/>
        <v>NOK</v>
      </c>
      <c r="C366" t="str">
        <f t="shared" si="43"/>
        <v>B</v>
      </c>
      <c r="D366" t="str">
        <f t="shared" si="43"/>
        <v>A</v>
      </c>
      <c r="E366" t="str">
        <f t="shared" si="43"/>
        <v>D</v>
      </c>
      <c r="F366" t="str">
        <f t="shared" si="38"/>
        <v>A</v>
      </c>
      <c r="G366">
        <f t="shared" si="39"/>
        <v>2</v>
      </c>
      <c r="H366">
        <f t="shared" si="40"/>
        <v>1</v>
      </c>
      <c r="I366">
        <f t="shared" si="41"/>
        <v>4</v>
      </c>
      <c r="J366">
        <f t="shared" si="42"/>
        <v>1</v>
      </c>
    </row>
    <row r="367" spans="1:10" x14ac:dyDescent="0.25">
      <c r="A367">
        <v>365</v>
      </c>
      <c r="B367" t="str">
        <f t="shared" si="37"/>
        <v>NOK</v>
      </c>
      <c r="C367" t="str">
        <f t="shared" si="43"/>
        <v>B</v>
      </c>
      <c r="D367" t="str">
        <f t="shared" si="43"/>
        <v>A</v>
      </c>
      <c r="E367" t="str">
        <f t="shared" si="43"/>
        <v>D</v>
      </c>
      <c r="F367" t="str">
        <f t="shared" si="38"/>
        <v>B</v>
      </c>
      <c r="G367">
        <f t="shared" si="39"/>
        <v>2</v>
      </c>
      <c r="H367">
        <f t="shared" si="40"/>
        <v>1</v>
      </c>
      <c r="I367">
        <f t="shared" si="41"/>
        <v>4</v>
      </c>
      <c r="J367">
        <f t="shared" si="42"/>
        <v>2</v>
      </c>
    </row>
    <row r="368" spans="1:10" x14ac:dyDescent="0.25">
      <c r="A368">
        <v>366</v>
      </c>
      <c r="B368" t="str">
        <f t="shared" si="37"/>
        <v>NOK</v>
      </c>
      <c r="C368" t="str">
        <f t="shared" si="43"/>
        <v>B</v>
      </c>
      <c r="D368" t="str">
        <f t="shared" si="43"/>
        <v>A</v>
      </c>
      <c r="E368" t="str">
        <f t="shared" si="43"/>
        <v>D</v>
      </c>
      <c r="F368" t="str">
        <f t="shared" si="38"/>
        <v>C</v>
      </c>
      <c r="G368">
        <f t="shared" si="39"/>
        <v>2</v>
      </c>
      <c r="H368">
        <f t="shared" si="40"/>
        <v>1</v>
      </c>
      <c r="I368">
        <f t="shared" si="41"/>
        <v>4</v>
      </c>
      <c r="J368">
        <f t="shared" si="42"/>
        <v>3</v>
      </c>
    </row>
    <row r="369" spans="1:10" x14ac:dyDescent="0.25">
      <c r="A369">
        <v>367</v>
      </c>
      <c r="B369" t="str">
        <f t="shared" si="37"/>
        <v>NOK</v>
      </c>
      <c r="C369" t="str">
        <f t="shared" si="43"/>
        <v>B</v>
      </c>
      <c r="D369" t="str">
        <f t="shared" si="43"/>
        <v>A</v>
      </c>
      <c r="E369" t="str">
        <f t="shared" si="43"/>
        <v>D</v>
      </c>
      <c r="F369" t="str">
        <f t="shared" si="38"/>
        <v>D</v>
      </c>
      <c r="G369">
        <f t="shared" si="39"/>
        <v>2</v>
      </c>
      <c r="H369">
        <f t="shared" si="40"/>
        <v>1</v>
      </c>
      <c r="I369">
        <f t="shared" si="41"/>
        <v>4</v>
      </c>
      <c r="J369">
        <f t="shared" si="42"/>
        <v>4</v>
      </c>
    </row>
    <row r="370" spans="1:10" x14ac:dyDescent="0.25">
      <c r="A370">
        <v>368</v>
      </c>
      <c r="B370" t="str">
        <f t="shared" si="37"/>
        <v>OK</v>
      </c>
      <c r="C370" t="str">
        <f t="shared" si="43"/>
        <v>B</v>
      </c>
      <c r="D370" t="str">
        <f t="shared" si="43"/>
        <v>A</v>
      </c>
      <c r="E370" t="str">
        <f t="shared" si="43"/>
        <v>D</v>
      </c>
      <c r="F370" t="str">
        <f t="shared" si="38"/>
        <v>E</v>
      </c>
      <c r="G370">
        <f t="shared" si="39"/>
        <v>2</v>
      </c>
      <c r="H370">
        <f t="shared" si="40"/>
        <v>1</v>
      </c>
      <c r="I370">
        <f t="shared" si="41"/>
        <v>4</v>
      </c>
      <c r="J370">
        <f t="shared" si="42"/>
        <v>5</v>
      </c>
    </row>
    <row r="371" spans="1:10" x14ac:dyDescent="0.25">
      <c r="A371">
        <v>369</v>
      </c>
      <c r="B371" t="str">
        <f t="shared" si="37"/>
        <v>NOK</v>
      </c>
      <c r="C371" t="str">
        <f t="shared" si="43"/>
        <v>B</v>
      </c>
      <c r="D371" t="str">
        <f t="shared" si="43"/>
        <v>A</v>
      </c>
      <c r="E371" t="str">
        <f t="shared" si="43"/>
        <v>D</v>
      </c>
      <c r="F371" t="str">
        <f t="shared" si="38"/>
        <v>F</v>
      </c>
      <c r="G371">
        <f t="shared" si="39"/>
        <v>2</v>
      </c>
      <c r="H371">
        <f t="shared" si="40"/>
        <v>1</v>
      </c>
      <c r="I371">
        <f t="shared" si="41"/>
        <v>4</v>
      </c>
      <c r="J371">
        <f t="shared" si="42"/>
        <v>6</v>
      </c>
    </row>
    <row r="372" spans="1:10" x14ac:dyDescent="0.25">
      <c r="A372">
        <v>370</v>
      </c>
      <c r="B372" t="str">
        <f t="shared" si="37"/>
        <v>NOK</v>
      </c>
      <c r="C372" t="str">
        <f t="shared" si="43"/>
        <v>B</v>
      </c>
      <c r="D372" t="str">
        <f t="shared" si="43"/>
        <v>A</v>
      </c>
      <c r="E372" t="str">
        <f t="shared" si="43"/>
        <v>D</v>
      </c>
      <c r="F372" t="str">
        <f t="shared" si="38"/>
        <v>G</v>
      </c>
      <c r="G372">
        <f t="shared" si="39"/>
        <v>2</v>
      </c>
      <c r="H372">
        <f t="shared" si="40"/>
        <v>1</v>
      </c>
      <c r="I372">
        <f t="shared" si="41"/>
        <v>4</v>
      </c>
      <c r="J372">
        <f t="shared" si="42"/>
        <v>7</v>
      </c>
    </row>
    <row r="373" spans="1:10" x14ac:dyDescent="0.25">
      <c r="A373">
        <v>371</v>
      </c>
      <c r="B373" t="str">
        <f t="shared" si="37"/>
        <v>NOK</v>
      </c>
      <c r="C373" t="str">
        <f t="shared" si="43"/>
        <v>B</v>
      </c>
      <c r="D373" t="str">
        <f t="shared" si="43"/>
        <v>A</v>
      </c>
      <c r="E373" t="str">
        <f t="shared" si="43"/>
        <v>D</v>
      </c>
      <c r="F373" t="str">
        <f t="shared" si="38"/>
        <v>H</v>
      </c>
      <c r="G373">
        <f t="shared" si="39"/>
        <v>2</v>
      </c>
      <c r="H373">
        <f t="shared" si="40"/>
        <v>1</v>
      </c>
      <c r="I373">
        <f t="shared" si="41"/>
        <v>4</v>
      </c>
      <c r="J373">
        <f t="shared" si="42"/>
        <v>8</v>
      </c>
    </row>
    <row r="374" spans="1:10" x14ac:dyDescent="0.25">
      <c r="A374">
        <v>372</v>
      </c>
      <c r="B374" t="str">
        <f t="shared" si="37"/>
        <v>NOK</v>
      </c>
      <c r="C374" t="str">
        <f t="shared" si="43"/>
        <v>B</v>
      </c>
      <c r="D374" t="str">
        <f t="shared" si="43"/>
        <v>A</v>
      </c>
      <c r="E374" t="str">
        <f t="shared" si="43"/>
        <v>D</v>
      </c>
      <c r="F374" t="str">
        <f t="shared" si="38"/>
        <v>I</v>
      </c>
      <c r="G374">
        <f t="shared" si="39"/>
        <v>2</v>
      </c>
      <c r="H374">
        <f t="shared" si="40"/>
        <v>1</v>
      </c>
      <c r="I374">
        <f t="shared" si="41"/>
        <v>4</v>
      </c>
      <c r="J374">
        <f t="shared" si="42"/>
        <v>9</v>
      </c>
    </row>
    <row r="375" spans="1:10" x14ac:dyDescent="0.25">
      <c r="A375">
        <v>373</v>
      </c>
      <c r="B375" t="str">
        <f t="shared" si="37"/>
        <v>NOK</v>
      </c>
      <c r="C375" t="str">
        <f t="shared" si="43"/>
        <v>B</v>
      </c>
      <c r="D375" t="str">
        <f t="shared" si="43"/>
        <v>A</v>
      </c>
      <c r="E375" t="str">
        <f t="shared" si="43"/>
        <v>D</v>
      </c>
      <c r="F375" t="str">
        <f t="shared" si="38"/>
        <v>J</v>
      </c>
      <c r="G375">
        <f t="shared" si="39"/>
        <v>2</v>
      </c>
      <c r="H375">
        <f t="shared" si="40"/>
        <v>1</v>
      </c>
      <c r="I375">
        <f t="shared" si="41"/>
        <v>4</v>
      </c>
      <c r="J375">
        <f t="shared" si="42"/>
        <v>10</v>
      </c>
    </row>
    <row r="376" spans="1:10" x14ac:dyDescent="0.25">
      <c r="A376">
        <v>374</v>
      </c>
      <c r="B376" t="str">
        <f t="shared" si="37"/>
        <v>NOK</v>
      </c>
      <c r="C376" t="str">
        <f t="shared" si="43"/>
        <v>B</v>
      </c>
      <c r="D376" t="str">
        <f t="shared" si="43"/>
        <v>A</v>
      </c>
      <c r="E376" t="str">
        <f t="shared" si="43"/>
        <v>D</v>
      </c>
      <c r="F376" t="str">
        <f t="shared" si="38"/>
        <v>K</v>
      </c>
      <c r="G376">
        <f t="shared" si="39"/>
        <v>2</v>
      </c>
      <c r="H376">
        <f t="shared" si="40"/>
        <v>1</v>
      </c>
      <c r="I376">
        <f t="shared" si="41"/>
        <v>4</v>
      </c>
      <c r="J376">
        <f t="shared" si="42"/>
        <v>11</v>
      </c>
    </row>
    <row r="377" spans="1:10" x14ac:dyDescent="0.25">
      <c r="A377">
        <v>375</v>
      </c>
      <c r="B377" t="str">
        <f t="shared" si="37"/>
        <v>NOK</v>
      </c>
      <c r="C377" t="str">
        <f t="shared" si="43"/>
        <v>B</v>
      </c>
      <c r="D377" t="str">
        <f t="shared" si="43"/>
        <v>A</v>
      </c>
      <c r="E377" t="str">
        <f t="shared" si="43"/>
        <v>D</v>
      </c>
      <c r="F377" t="str">
        <f t="shared" si="38"/>
        <v>L</v>
      </c>
      <c r="G377">
        <f t="shared" si="39"/>
        <v>2</v>
      </c>
      <c r="H377">
        <f t="shared" si="40"/>
        <v>1</v>
      </c>
      <c r="I377">
        <f t="shared" si="41"/>
        <v>4</v>
      </c>
      <c r="J377">
        <f t="shared" si="42"/>
        <v>12</v>
      </c>
    </row>
    <row r="378" spans="1:10" x14ac:dyDescent="0.25">
      <c r="A378">
        <v>376</v>
      </c>
      <c r="B378" t="str">
        <f t="shared" si="37"/>
        <v>NOK</v>
      </c>
      <c r="C378" t="str">
        <f t="shared" si="43"/>
        <v>B</v>
      </c>
      <c r="D378" t="str">
        <f t="shared" si="43"/>
        <v>A</v>
      </c>
      <c r="E378" t="str">
        <f t="shared" si="43"/>
        <v>D</v>
      </c>
      <c r="F378" t="str">
        <f t="shared" si="38"/>
        <v>M</v>
      </c>
      <c r="G378">
        <f t="shared" si="39"/>
        <v>2</v>
      </c>
      <c r="H378">
        <f t="shared" si="40"/>
        <v>1</v>
      </c>
      <c r="I378">
        <f t="shared" si="41"/>
        <v>4</v>
      </c>
      <c r="J378">
        <f t="shared" si="42"/>
        <v>13</v>
      </c>
    </row>
    <row r="379" spans="1:10" x14ac:dyDescent="0.25">
      <c r="A379">
        <v>377</v>
      </c>
      <c r="B379" t="str">
        <f t="shared" si="37"/>
        <v>NOK</v>
      </c>
      <c r="C379" t="str">
        <f t="shared" si="43"/>
        <v>B</v>
      </c>
      <c r="D379" t="str">
        <f t="shared" si="43"/>
        <v>A</v>
      </c>
      <c r="E379" t="str">
        <f t="shared" si="43"/>
        <v>E</v>
      </c>
      <c r="F379" t="str">
        <f t="shared" si="38"/>
        <v>A</v>
      </c>
      <c r="G379">
        <f t="shared" si="39"/>
        <v>2</v>
      </c>
      <c r="H379">
        <f t="shared" si="40"/>
        <v>1</v>
      </c>
      <c r="I379">
        <f t="shared" si="41"/>
        <v>5</v>
      </c>
      <c r="J379">
        <f t="shared" si="42"/>
        <v>1</v>
      </c>
    </row>
    <row r="380" spans="1:10" x14ac:dyDescent="0.25">
      <c r="A380">
        <v>378</v>
      </c>
      <c r="B380" t="str">
        <f t="shared" si="37"/>
        <v>NOK</v>
      </c>
      <c r="C380" t="str">
        <f t="shared" si="43"/>
        <v>B</v>
      </c>
      <c r="D380" t="str">
        <f t="shared" si="43"/>
        <v>A</v>
      </c>
      <c r="E380" t="str">
        <f t="shared" si="43"/>
        <v>E</v>
      </c>
      <c r="F380" t="str">
        <f t="shared" si="38"/>
        <v>B</v>
      </c>
      <c r="G380">
        <f t="shared" si="39"/>
        <v>2</v>
      </c>
      <c r="H380">
        <f t="shared" si="40"/>
        <v>1</v>
      </c>
      <c r="I380">
        <f t="shared" si="41"/>
        <v>5</v>
      </c>
      <c r="J380">
        <f t="shared" si="42"/>
        <v>2</v>
      </c>
    </row>
    <row r="381" spans="1:10" x14ac:dyDescent="0.25">
      <c r="A381">
        <v>379</v>
      </c>
      <c r="B381" t="str">
        <f t="shared" si="37"/>
        <v>NOK</v>
      </c>
      <c r="C381" t="str">
        <f t="shared" si="43"/>
        <v>B</v>
      </c>
      <c r="D381" t="str">
        <f t="shared" si="43"/>
        <v>A</v>
      </c>
      <c r="E381" t="str">
        <f t="shared" si="43"/>
        <v>E</v>
      </c>
      <c r="F381" t="str">
        <f t="shared" si="38"/>
        <v>C</v>
      </c>
      <c r="G381">
        <f t="shared" si="39"/>
        <v>2</v>
      </c>
      <c r="H381">
        <f t="shared" si="40"/>
        <v>1</v>
      </c>
      <c r="I381">
        <f t="shared" si="41"/>
        <v>5</v>
      </c>
      <c r="J381">
        <f t="shared" si="42"/>
        <v>3</v>
      </c>
    </row>
    <row r="382" spans="1:10" x14ac:dyDescent="0.25">
      <c r="A382">
        <v>380</v>
      </c>
      <c r="B382" t="str">
        <f t="shared" si="37"/>
        <v>NOK</v>
      </c>
      <c r="C382" t="str">
        <f t="shared" si="43"/>
        <v>B</v>
      </c>
      <c r="D382" t="str">
        <f t="shared" si="43"/>
        <v>A</v>
      </c>
      <c r="E382" t="str">
        <f t="shared" si="43"/>
        <v>E</v>
      </c>
      <c r="F382" t="str">
        <f t="shared" si="38"/>
        <v>D</v>
      </c>
      <c r="G382">
        <f t="shared" si="39"/>
        <v>2</v>
      </c>
      <c r="H382">
        <f t="shared" si="40"/>
        <v>1</v>
      </c>
      <c r="I382">
        <f t="shared" si="41"/>
        <v>5</v>
      </c>
      <c r="J382">
        <f t="shared" si="42"/>
        <v>4</v>
      </c>
    </row>
    <row r="383" spans="1:10" x14ac:dyDescent="0.25">
      <c r="A383">
        <v>381</v>
      </c>
      <c r="B383" t="str">
        <f t="shared" si="37"/>
        <v>NOK</v>
      </c>
      <c r="C383" t="str">
        <f t="shared" si="43"/>
        <v>B</v>
      </c>
      <c r="D383" t="str">
        <f t="shared" si="43"/>
        <v>A</v>
      </c>
      <c r="E383" t="str">
        <f t="shared" si="43"/>
        <v>E</v>
      </c>
      <c r="F383" t="str">
        <f t="shared" si="38"/>
        <v>E</v>
      </c>
      <c r="G383">
        <f t="shared" si="39"/>
        <v>2</v>
      </c>
      <c r="H383">
        <f t="shared" si="40"/>
        <v>1</v>
      </c>
      <c r="I383">
        <f t="shared" si="41"/>
        <v>5</v>
      </c>
      <c r="J383">
        <f t="shared" si="42"/>
        <v>5</v>
      </c>
    </row>
    <row r="384" spans="1:10" x14ac:dyDescent="0.25">
      <c r="A384">
        <v>382</v>
      </c>
      <c r="B384" t="str">
        <f t="shared" si="37"/>
        <v>OK</v>
      </c>
      <c r="C384" t="str">
        <f t="shared" si="43"/>
        <v>B</v>
      </c>
      <c r="D384" t="str">
        <f t="shared" si="43"/>
        <v>A</v>
      </c>
      <c r="E384" t="str">
        <f t="shared" si="43"/>
        <v>E</v>
      </c>
      <c r="F384" t="str">
        <f t="shared" si="38"/>
        <v>F</v>
      </c>
      <c r="G384">
        <f t="shared" si="39"/>
        <v>2</v>
      </c>
      <c r="H384">
        <f t="shared" si="40"/>
        <v>1</v>
      </c>
      <c r="I384">
        <f t="shared" si="41"/>
        <v>5</v>
      </c>
      <c r="J384">
        <f t="shared" si="42"/>
        <v>6</v>
      </c>
    </row>
    <row r="385" spans="1:10" x14ac:dyDescent="0.25">
      <c r="A385">
        <v>383</v>
      </c>
      <c r="B385" t="str">
        <f t="shared" si="37"/>
        <v>NOK</v>
      </c>
      <c r="C385" t="str">
        <f t="shared" si="43"/>
        <v>B</v>
      </c>
      <c r="D385" t="str">
        <f t="shared" si="43"/>
        <v>A</v>
      </c>
      <c r="E385" t="str">
        <f t="shared" si="43"/>
        <v>E</v>
      </c>
      <c r="F385" t="str">
        <f t="shared" si="38"/>
        <v>G</v>
      </c>
      <c r="G385">
        <f t="shared" si="39"/>
        <v>2</v>
      </c>
      <c r="H385">
        <f t="shared" si="40"/>
        <v>1</v>
      </c>
      <c r="I385">
        <f t="shared" si="41"/>
        <v>5</v>
      </c>
      <c r="J385">
        <f t="shared" si="42"/>
        <v>7</v>
      </c>
    </row>
    <row r="386" spans="1:10" x14ac:dyDescent="0.25">
      <c r="A386">
        <v>384</v>
      </c>
      <c r="B386" t="str">
        <f t="shared" ref="B386:B449" si="44">IF(ROUND(_xlfn.XLOOKUP(C386,$U$1:$U$5,$T$1:$T$5,,0,1)+_xlfn.XLOOKUP(D386,$W$1:$W$5,$V$1:$V$5,,0,1)+_xlfn.XLOOKUP(E386,$Y$1:$Y$5,$X$1:$X$5,,0,1)-_xlfn.XLOOKUP(F386,$AA$1:$AA$13,$Z$1:$Z$13,,0,1),3)=0.325,"OK","NOK")</f>
        <v>NOK</v>
      </c>
      <c r="C386" t="str">
        <f t="shared" si="43"/>
        <v>B</v>
      </c>
      <c r="D386" t="str">
        <f t="shared" si="43"/>
        <v>A</v>
      </c>
      <c r="E386" t="str">
        <f t="shared" si="43"/>
        <v>E</v>
      </c>
      <c r="F386" t="str">
        <f t="shared" ref="F386:F449" si="45">IF(J386=1,"A",IF(J386=2,"B",IF(J386=3,"C",IF(J386=4,"D",IF(J386=5,"E",IF(J386=6,"F",IF(J386=7,"G",IF(J386=8,"H",IF(J386=9,"I",IF(J386=10,"J",IF(J386=11,"K",IF(J386=12,"L",IF(J386=13,"M","ERRO")))))))))))))</f>
        <v>H</v>
      </c>
      <c r="G386">
        <f t="shared" ref="G386:G449" si="46">INT($A386/325)+1</f>
        <v>2</v>
      </c>
      <c r="H386">
        <f t="shared" ref="H386:H449" si="47">INT(MOD($A386,325)/65)+1</f>
        <v>1</v>
      </c>
      <c r="I386">
        <f t="shared" ref="I386:I449" si="48">INT(MOD($A386,65)/13)+1</f>
        <v>5</v>
      </c>
      <c r="J386">
        <f t="shared" ref="J386:J449" si="49">MOD($A386,13)+1</f>
        <v>8</v>
      </c>
    </row>
    <row r="387" spans="1:10" x14ac:dyDescent="0.25">
      <c r="A387">
        <v>385</v>
      </c>
      <c r="B387" t="str">
        <f t="shared" si="44"/>
        <v>NOK</v>
      </c>
      <c r="C387" t="str">
        <f t="shared" ref="C387:E450" si="50">IF(G387=1,"A",IF(G387=2,"B",IF(G387=3,"C",IF(G387=4,"D",IF(G387=5,"E","ERRO")))))</f>
        <v>B</v>
      </c>
      <c r="D387" t="str">
        <f t="shared" si="50"/>
        <v>A</v>
      </c>
      <c r="E387" t="str">
        <f t="shared" si="50"/>
        <v>E</v>
      </c>
      <c r="F387" t="str">
        <f t="shared" si="45"/>
        <v>I</v>
      </c>
      <c r="G387">
        <f t="shared" si="46"/>
        <v>2</v>
      </c>
      <c r="H387">
        <f t="shared" si="47"/>
        <v>1</v>
      </c>
      <c r="I387">
        <f t="shared" si="48"/>
        <v>5</v>
      </c>
      <c r="J387">
        <f t="shared" si="49"/>
        <v>9</v>
      </c>
    </row>
    <row r="388" spans="1:10" x14ac:dyDescent="0.25">
      <c r="A388">
        <v>386</v>
      </c>
      <c r="B388" t="str">
        <f t="shared" si="44"/>
        <v>NOK</v>
      </c>
      <c r="C388" t="str">
        <f t="shared" si="50"/>
        <v>B</v>
      </c>
      <c r="D388" t="str">
        <f t="shared" si="50"/>
        <v>A</v>
      </c>
      <c r="E388" t="str">
        <f t="shared" si="50"/>
        <v>E</v>
      </c>
      <c r="F388" t="str">
        <f t="shared" si="45"/>
        <v>J</v>
      </c>
      <c r="G388">
        <f t="shared" si="46"/>
        <v>2</v>
      </c>
      <c r="H388">
        <f t="shared" si="47"/>
        <v>1</v>
      </c>
      <c r="I388">
        <f t="shared" si="48"/>
        <v>5</v>
      </c>
      <c r="J388">
        <f t="shared" si="49"/>
        <v>10</v>
      </c>
    </row>
    <row r="389" spans="1:10" x14ac:dyDescent="0.25">
      <c r="A389">
        <v>387</v>
      </c>
      <c r="B389" t="str">
        <f t="shared" si="44"/>
        <v>NOK</v>
      </c>
      <c r="C389" t="str">
        <f t="shared" si="50"/>
        <v>B</v>
      </c>
      <c r="D389" t="str">
        <f t="shared" si="50"/>
        <v>A</v>
      </c>
      <c r="E389" t="str">
        <f t="shared" si="50"/>
        <v>E</v>
      </c>
      <c r="F389" t="str">
        <f t="shared" si="45"/>
        <v>K</v>
      </c>
      <c r="G389">
        <f t="shared" si="46"/>
        <v>2</v>
      </c>
      <c r="H389">
        <f t="shared" si="47"/>
        <v>1</v>
      </c>
      <c r="I389">
        <f t="shared" si="48"/>
        <v>5</v>
      </c>
      <c r="J389">
        <f t="shared" si="49"/>
        <v>11</v>
      </c>
    </row>
    <row r="390" spans="1:10" x14ac:dyDescent="0.25">
      <c r="A390">
        <v>388</v>
      </c>
      <c r="B390" t="str">
        <f t="shared" si="44"/>
        <v>NOK</v>
      </c>
      <c r="C390" t="str">
        <f t="shared" si="50"/>
        <v>B</v>
      </c>
      <c r="D390" t="str">
        <f t="shared" si="50"/>
        <v>A</v>
      </c>
      <c r="E390" t="str">
        <f t="shared" si="50"/>
        <v>E</v>
      </c>
      <c r="F390" t="str">
        <f t="shared" si="45"/>
        <v>L</v>
      </c>
      <c r="G390">
        <f t="shared" si="46"/>
        <v>2</v>
      </c>
      <c r="H390">
        <f t="shared" si="47"/>
        <v>1</v>
      </c>
      <c r="I390">
        <f t="shared" si="48"/>
        <v>5</v>
      </c>
      <c r="J390">
        <f t="shared" si="49"/>
        <v>12</v>
      </c>
    </row>
    <row r="391" spans="1:10" x14ac:dyDescent="0.25">
      <c r="A391">
        <v>389</v>
      </c>
      <c r="B391" t="str">
        <f t="shared" si="44"/>
        <v>NOK</v>
      </c>
      <c r="C391" t="str">
        <f t="shared" si="50"/>
        <v>B</v>
      </c>
      <c r="D391" t="str">
        <f t="shared" si="50"/>
        <v>A</v>
      </c>
      <c r="E391" t="str">
        <f t="shared" si="50"/>
        <v>E</v>
      </c>
      <c r="F391" t="str">
        <f t="shared" si="45"/>
        <v>M</v>
      </c>
      <c r="G391">
        <f t="shared" si="46"/>
        <v>2</v>
      </c>
      <c r="H391">
        <f t="shared" si="47"/>
        <v>1</v>
      </c>
      <c r="I391">
        <f t="shared" si="48"/>
        <v>5</v>
      </c>
      <c r="J391">
        <f t="shared" si="49"/>
        <v>13</v>
      </c>
    </row>
    <row r="392" spans="1:10" x14ac:dyDescent="0.25">
      <c r="A392">
        <v>390</v>
      </c>
      <c r="B392" t="str">
        <f t="shared" si="44"/>
        <v>NOK</v>
      </c>
      <c r="C392" t="str">
        <f t="shared" si="50"/>
        <v>B</v>
      </c>
      <c r="D392" t="str">
        <f t="shared" si="50"/>
        <v>B</v>
      </c>
      <c r="E392" t="str">
        <f t="shared" si="50"/>
        <v>A</v>
      </c>
      <c r="F392" t="str">
        <f t="shared" si="45"/>
        <v>A</v>
      </c>
      <c r="G392">
        <f t="shared" si="46"/>
        <v>2</v>
      </c>
      <c r="H392">
        <f t="shared" si="47"/>
        <v>2</v>
      </c>
      <c r="I392">
        <f t="shared" si="48"/>
        <v>1</v>
      </c>
      <c r="J392">
        <f t="shared" si="49"/>
        <v>1</v>
      </c>
    </row>
    <row r="393" spans="1:10" x14ac:dyDescent="0.25">
      <c r="A393">
        <v>391</v>
      </c>
      <c r="B393" t="str">
        <f t="shared" si="44"/>
        <v>NOK</v>
      </c>
      <c r="C393" t="str">
        <f t="shared" si="50"/>
        <v>B</v>
      </c>
      <c r="D393" t="str">
        <f t="shared" si="50"/>
        <v>B</v>
      </c>
      <c r="E393" t="str">
        <f t="shared" si="50"/>
        <v>A</v>
      </c>
      <c r="F393" t="str">
        <f t="shared" si="45"/>
        <v>B</v>
      </c>
      <c r="G393">
        <f t="shared" si="46"/>
        <v>2</v>
      </c>
      <c r="H393">
        <f t="shared" si="47"/>
        <v>2</v>
      </c>
      <c r="I393">
        <f t="shared" si="48"/>
        <v>1</v>
      </c>
      <c r="J393">
        <f t="shared" si="49"/>
        <v>2</v>
      </c>
    </row>
    <row r="394" spans="1:10" x14ac:dyDescent="0.25">
      <c r="A394">
        <v>392</v>
      </c>
      <c r="B394" t="str">
        <f t="shared" si="44"/>
        <v>OK</v>
      </c>
      <c r="C394" t="str">
        <f t="shared" si="50"/>
        <v>B</v>
      </c>
      <c r="D394" t="str">
        <f t="shared" si="50"/>
        <v>B</v>
      </c>
      <c r="E394" t="str">
        <f t="shared" si="50"/>
        <v>A</v>
      </c>
      <c r="F394" t="str">
        <f t="shared" si="45"/>
        <v>C</v>
      </c>
      <c r="G394">
        <f t="shared" si="46"/>
        <v>2</v>
      </c>
      <c r="H394">
        <f t="shared" si="47"/>
        <v>2</v>
      </c>
      <c r="I394">
        <f t="shared" si="48"/>
        <v>1</v>
      </c>
      <c r="J394">
        <f t="shared" si="49"/>
        <v>3</v>
      </c>
    </row>
    <row r="395" spans="1:10" x14ac:dyDescent="0.25">
      <c r="A395">
        <v>393</v>
      </c>
      <c r="B395" t="str">
        <f t="shared" si="44"/>
        <v>NOK</v>
      </c>
      <c r="C395" t="str">
        <f t="shared" si="50"/>
        <v>B</v>
      </c>
      <c r="D395" t="str">
        <f t="shared" si="50"/>
        <v>B</v>
      </c>
      <c r="E395" t="str">
        <f t="shared" si="50"/>
        <v>A</v>
      </c>
      <c r="F395" t="str">
        <f t="shared" si="45"/>
        <v>D</v>
      </c>
      <c r="G395">
        <f t="shared" si="46"/>
        <v>2</v>
      </c>
      <c r="H395">
        <f t="shared" si="47"/>
        <v>2</v>
      </c>
      <c r="I395">
        <f t="shared" si="48"/>
        <v>1</v>
      </c>
      <c r="J395">
        <f t="shared" si="49"/>
        <v>4</v>
      </c>
    </row>
    <row r="396" spans="1:10" x14ac:dyDescent="0.25">
      <c r="A396">
        <v>394</v>
      </c>
      <c r="B396" t="str">
        <f t="shared" si="44"/>
        <v>NOK</v>
      </c>
      <c r="C396" t="str">
        <f t="shared" si="50"/>
        <v>B</v>
      </c>
      <c r="D396" t="str">
        <f t="shared" si="50"/>
        <v>B</v>
      </c>
      <c r="E396" t="str">
        <f t="shared" si="50"/>
        <v>A</v>
      </c>
      <c r="F396" t="str">
        <f t="shared" si="45"/>
        <v>E</v>
      </c>
      <c r="G396">
        <f t="shared" si="46"/>
        <v>2</v>
      </c>
      <c r="H396">
        <f t="shared" si="47"/>
        <v>2</v>
      </c>
      <c r="I396">
        <f t="shared" si="48"/>
        <v>1</v>
      </c>
      <c r="J396">
        <f t="shared" si="49"/>
        <v>5</v>
      </c>
    </row>
    <row r="397" spans="1:10" x14ac:dyDescent="0.25">
      <c r="A397">
        <v>395</v>
      </c>
      <c r="B397" t="str">
        <f t="shared" si="44"/>
        <v>NOK</v>
      </c>
      <c r="C397" t="str">
        <f t="shared" si="50"/>
        <v>B</v>
      </c>
      <c r="D397" t="str">
        <f t="shared" si="50"/>
        <v>B</v>
      </c>
      <c r="E397" t="str">
        <f t="shared" si="50"/>
        <v>A</v>
      </c>
      <c r="F397" t="str">
        <f t="shared" si="45"/>
        <v>F</v>
      </c>
      <c r="G397">
        <f t="shared" si="46"/>
        <v>2</v>
      </c>
      <c r="H397">
        <f t="shared" si="47"/>
        <v>2</v>
      </c>
      <c r="I397">
        <f t="shared" si="48"/>
        <v>1</v>
      </c>
      <c r="J397">
        <f t="shared" si="49"/>
        <v>6</v>
      </c>
    </row>
    <row r="398" spans="1:10" x14ac:dyDescent="0.25">
      <c r="A398">
        <v>396</v>
      </c>
      <c r="B398" t="str">
        <f t="shared" si="44"/>
        <v>NOK</v>
      </c>
      <c r="C398" t="str">
        <f t="shared" si="50"/>
        <v>B</v>
      </c>
      <c r="D398" t="str">
        <f t="shared" si="50"/>
        <v>B</v>
      </c>
      <c r="E398" t="str">
        <f t="shared" si="50"/>
        <v>A</v>
      </c>
      <c r="F398" t="str">
        <f t="shared" si="45"/>
        <v>G</v>
      </c>
      <c r="G398">
        <f t="shared" si="46"/>
        <v>2</v>
      </c>
      <c r="H398">
        <f t="shared" si="47"/>
        <v>2</v>
      </c>
      <c r="I398">
        <f t="shared" si="48"/>
        <v>1</v>
      </c>
      <c r="J398">
        <f t="shared" si="49"/>
        <v>7</v>
      </c>
    </row>
    <row r="399" spans="1:10" x14ac:dyDescent="0.25">
      <c r="A399">
        <v>397</v>
      </c>
      <c r="B399" t="str">
        <f t="shared" si="44"/>
        <v>NOK</v>
      </c>
      <c r="C399" t="str">
        <f t="shared" si="50"/>
        <v>B</v>
      </c>
      <c r="D399" t="str">
        <f t="shared" si="50"/>
        <v>B</v>
      </c>
      <c r="E399" t="str">
        <f t="shared" si="50"/>
        <v>A</v>
      </c>
      <c r="F399" t="str">
        <f t="shared" si="45"/>
        <v>H</v>
      </c>
      <c r="G399">
        <f t="shared" si="46"/>
        <v>2</v>
      </c>
      <c r="H399">
        <f t="shared" si="47"/>
        <v>2</v>
      </c>
      <c r="I399">
        <f t="shared" si="48"/>
        <v>1</v>
      </c>
      <c r="J399">
        <f t="shared" si="49"/>
        <v>8</v>
      </c>
    </row>
    <row r="400" spans="1:10" x14ac:dyDescent="0.25">
      <c r="A400">
        <v>398</v>
      </c>
      <c r="B400" t="str">
        <f t="shared" si="44"/>
        <v>NOK</v>
      </c>
      <c r="C400" t="str">
        <f t="shared" si="50"/>
        <v>B</v>
      </c>
      <c r="D400" t="str">
        <f t="shared" si="50"/>
        <v>B</v>
      </c>
      <c r="E400" t="str">
        <f t="shared" si="50"/>
        <v>A</v>
      </c>
      <c r="F400" t="str">
        <f t="shared" si="45"/>
        <v>I</v>
      </c>
      <c r="G400">
        <f t="shared" si="46"/>
        <v>2</v>
      </c>
      <c r="H400">
        <f t="shared" si="47"/>
        <v>2</v>
      </c>
      <c r="I400">
        <f t="shared" si="48"/>
        <v>1</v>
      </c>
      <c r="J400">
        <f t="shared" si="49"/>
        <v>9</v>
      </c>
    </row>
    <row r="401" spans="1:10" x14ac:dyDescent="0.25">
      <c r="A401">
        <v>399</v>
      </c>
      <c r="B401" t="str">
        <f t="shared" si="44"/>
        <v>NOK</v>
      </c>
      <c r="C401" t="str">
        <f t="shared" si="50"/>
        <v>B</v>
      </c>
      <c r="D401" t="str">
        <f t="shared" si="50"/>
        <v>B</v>
      </c>
      <c r="E401" t="str">
        <f t="shared" si="50"/>
        <v>A</v>
      </c>
      <c r="F401" t="str">
        <f t="shared" si="45"/>
        <v>J</v>
      </c>
      <c r="G401">
        <f t="shared" si="46"/>
        <v>2</v>
      </c>
      <c r="H401">
        <f t="shared" si="47"/>
        <v>2</v>
      </c>
      <c r="I401">
        <f t="shared" si="48"/>
        <v>1</v>
      </c>
      <c r="J401">
        <f t="shared" si="49"/>
        <v>10</v>
      </c>
    </row>
    <row r="402" spans="1:10" x14ac:dyDescent="0.25">
      <c r="A402">
        <v>400</v>
      </c>
      <c r="B402" t="str">
        <f t="shared" si="44"/>
        <v>NOK</v>
      </c>
      <c r="C402" t="str">
        <f t="shared" si="50"/>
        <v>B</v>
      </c>
      <c r="D402" t="str">
        <f t="shared" si="50"/>
        <v>B</v>
      </c>
      <c r="E402" t="str">
        <f t="shared" si="50"/>
        <v>A</v>
      </c>
      <c r="F402" t="str">
        <f t="shared" si="45"/>
        <v>K</v>
      </c>
      <c r="G402">
        <f t="shared" si="46"/>
        <v>2</v>
      </c>
      <c r="H402">
        <f t="shared" si="47"/>
        <v>2</v>
      </c>
      <c r="I402">
        <f t="shared" si="48"/>
        <v>1</v>
      </c>
      <c r="J402">
        <f t="shared" si="49"/>
        <v>11</v>
      </c>
    </row>
    <row r="403" spans="1:10" x14ac:dyDescent="0.25">
      <c r="A403">
        <v>401</v>
      </c>
      <c r="B403" t="str">
        <f t="shared" si="44"/>
        <v>NOK</v>
      </c>
      <c r="C403" t="str">
        <f t="shared" si="50"/>
        <v>B</v>
      </c>
      <c r="D403" t="str">
        <f t="shared" si="50"/>
        <v>B</v>
      </c>
      <c r="E403" t="str">
        <f t="shared" si="50"/>
        <v>A</v>
      </c>
      <c r="F403" t="str">
        <f t="shared" si="45"/>
        <v>L</v>
      </c>
      <c r="G403">
        <f t="shared" si="46"/>
        <v>2</v>
      </c>
      <c r="H403">
        <f t="shared" si="47"/>
        <v>2</v>
      </c>
      <c r="I403">
        <f t="shared" si="48"/>
        <v>1</v>
      </c>
      <c r="J403">
        <f t="shared" si="49"/>
        <v>12</v>
      </c>
    </row>
    <row r="404" spans="1:10" x14ac:dyDescent="0.25">
      <c r="A404">
        <v>402</v>
      </c>
      <c r="B404" t="str">
        <f t="shared" si="44"/>
        <v>NOK</v>
      </c>
      <c r="C404" t="str">
        <f t="shared" si="50"/>
        <v>B</v>
      </c>
      <c r="D404" t="str">
        <f t="shared" si="50"/>
        <v>B</v>
      </c>
      <c r="E404" t="str">
        <f t="shared" si="50"/>
        <v>A</v>
      </c>
      <c r="F404" t="str">
        <f t="shared" si="45"/>
        <v>M</v>
      </c>
      <c r="G404">
        <f t="shared" si="46"/>
        <v>2</v>
      </c>
      <c r="H404">
        <f t="shared" si="47"/>
        <v>2</v>
      </c>
      <c r="I404">
        <f t="shared" si="48"/>
        <v>1</v>
      </c>
      <c r="J404">
        <f t="shared" si="49"/>
        <v>13</v>
      </c>
    </row>
    <row r="405" spans="1:10" x14ac:dyDescent="0.25">
      <c r="A405">
        <v>403</v>
      </c>
      <c r="B405" t="str">
        <f t="shared" si="44"/>
        <v>NOK</v>
      </c>
      <c r="C405" t="str">
        <f t="shared" si="50"/>
        <v>B</v>
      </c>
      <c r="D405" t="str">
        <f t="shared" si="50"/>
        <v>B</v>
      </c>
      <c r="E405" t="str">
        <f t="shared" si="50"/>
        <v>B</v>
      </c>
      <c r="F405" t="str">
        <f t="shared" si="45"/>
        <v>A</v>
      </c>
      <c r="G405">
        <f t="shared" si="46"/>
        <v>2</v>
      </c>
      <c r="H405">
        <f t="shared" si="47"/>
        <v>2</v>
      </c>
      <c r="I405">
        <f t="shared" si="48"/>
        <v>2</v>
      </c>
      <c r="J405">
        <f t="shared" si="49"/>
        <v>1</v>
      </c>
    </row>
    <row r="406" spans="1:10" x14ac:dyDescent="0.25">
      <c r="A406">
        <v>404</v>
      </c>
      <c r="B406" t="str">
        <f t="shared" si="44"/>
        <v>NOK</v>
      </c>
      <c r="C406" t="str">
        <f t="shared" si="50"/>
        <v>B</v>
      </c>
      <c r="D406" t="str">
        <f t="shared" si="50"/>
        <v>B</v>
      </c>
      <c r="E406" t="str">
        <f t="shared" si="50"/>
        <v>B</v>
      </c>
      <c r="F406" t="str">
        <f t="shared" si="45"/>
        <v>B</v>
      </c>
      <c r="G406">
        <f t="shared" si="46"/>
        <v>2</v>
      </c>
      <c r="H406">
        <f t="shared" si="47"/>
        <v>2</v>
      </c>
      <c r="I406">
        <f t="shared" si="48"/>
        <v>2</v>
      </c>
      <c r="J406">
        <f t="shared" si="49"/>
        <v>2</v>
      </c>
    </row>
    <row r="407" spans="1:10" x14ac:dyDescent="0.25">
      <c r="A407">
        <v>405</v>
      </c>
      <c r="B407" t="str">
        <f t="shared" si="44"/>
        <v>NOK</v>
      </c>
      <c r="C407" t="str">
        <f t="shared" si="50"/>
        <v>B</v>
      </c>
      <c r="D407" t="str">
        <f t="shared" si="50"/>
        <v>B</v>
      </c>
      <c r="E407" t="str">
        <f t="shared" si="50"/>
        <v>B</v>
      </c>
      <c r="F407" t="str">
        <f t="shared" si="45"/>
        <v>C</v>
      </c>
      <c r="G407">
        <f t="shared" si="46"/>
        <v>2</v>
      </c>
      <c r="H407">
        <f t="shared" si="47"/>
        <v>2</v>
      </c>
      <c r="I407">
        <f t="shared" si="48"/>
        <v>2</v>
      </c>
      <c r="J407">
        <f t="shared" si="49"/>
        <v>3</v>
      </c>
    </row>
    <row r="408" spans="1:10" x14ac:dyDescent="0.25">
      <c r="A408">
        <v>406</v>
      </c>
      <c r="B408" t="str">
        <f t="shared" si="44"/>
        <v>OK</v>
      </c>
      <c r="C408" t="str">
        <f t="shared" si="50"/>
        <v>B</v>
      </c>
      <c r="D408" t="str">
        <f t="shared" si="50"/>
        <v>B</v>
      </c>
      <c r="E408" t="str">
        <f t="shared" si="50"/>
        <v>B</v>
      </c>
      <c r="F408" t="str">
        <f t="shared" si="45"/>
        <v>D</v>
      </c>
      <c r="G408">
        <f t="shared" si="46"/>
        <v>2</v>
      </c>
      <c r="H408">
        <f t="shared" si="47"/>
        <v>2</v>
      </c>
      <c r="I408">
        <f t="shared" si="48"/>
        <v>2</v>
      </c>
      <c r="J408">
        <f t="shared" si="49"/>
        <v>4</v>
      </c>
    </row>
    <row r="409" spans="1:10" x14ac:dyDescent="0.25">
      <c r="A409">
        <v>407</v>
      </c>
      <c r="B409" t="str">
        <f t="shared" si="44"/>
        <v>NOK</v>
      </c>
      <c r="C409" t="str">
        <f t="shared" si="50"/>
        <v>B</v>
      </c>
      <c r="D409" t="str">
        <f t="shared" si="50"/>
        <v>B</v>
      </c>
      <c r="E409" t="str">
        <f t="shared" si="50"/>
        <v>B</v>
      </c>
      <c r="F409" t="str">
        <f t="shared" si="45"/>
        <v>E</v>
      </c>
      <c r="G409">
        <f t="shared" si="46"/>
        <v>2</v>
      </c>
      <c r="H409">
        <f t="shared" si="47"/>
        <v>2</v>
      </c>
      <c r="I409">
        <f t="shared" si="48"/>
        <v>2</v>
      </c>
      <c r="J409">
        <f t="shared" si="49"/>
        <v>5</v>
      </c>
    </row>
    <row r="410" spans="1:10" x14ac:dyDescent="0.25">
      <c r="A410">
        <v>408</v>
      </c>
      <c r="B410" t="str">
        <f t="shared" si="44"/>
        <v>NOK</v>
      </c>
      <c r="C410" t="str">
        <f t="shared" si="50"/>
        <v>B</v>
      </c>
      <c r="D410" t="str">
        <f t="shared" si="50"/>
        <v>B</v>
      </c>
      <c r="E410" t="str">
        <f t="shared" si="50"/>
        <v>B</v>
      </c>
      <c r="F410" t="str">
        <f t="shared" si="45"/>
        <v>F</v>
      </c>
      <c r="G410">
        <f t="shared" si="46"/>
        <v>2</v>
      </c>
      <c r="H410">
        <f t="shared" si="47"/>
        <v>2</v>
      </c>
      <c r="I410">
        <f t="shared" si="48"/>
        <v>2</v>
      </c>
      <c r="J410">
        <f t="shared" si="49"/>
        <v>6</v>
      </c>
    </row>
    <row r="411" spans="1:10" x14ac:dyDescent="0.25">
      <c r="A411">
        <v>409</v>
      </c>
      <c r="B411" t="str">
        <f t="shared" si="44"/>
        <v>NOK</v>
      </c>
      <c r="C411" t="str">
        <f t="shared" si="50"/>
        <v>B</v>
      </c>
      <c r="D411" t="str">
        <f t="shared" si="50"/>
        <v>B</v>
      </c>
      <c r="E411" t="str">
        <f t="shared" si="50"/>
        <v>B</v>
      </c>
      <c r="F411" t="str">
        <f t="shared" si="45"/>
        <v>G</v>
      </c>
      <c r="G411">
        <f t="shared" si="46"/>
        <v>2</v>
      </c>
      <c r="H411">
        <f t="shared" si="47"/>
        <v>2</v>
      </c>
      <c r="I411">
        <f t="shared" si="48"/>
        <v>2</v>
      </c>
      <c r="J411">
        <f t="shared" si="49"/>
        <v>7</v>
      </c>
    </row>
    <row r="412" spans="1:10" x14ac:dyDescent="0.25">
      <c r="A412">
        <v>410</v>
      </c>
      <c r="B412" t="str">
        <f t="shared" si="44"/>
        <v>NOK</v>
      </c>
      <c r="C412" t="str">
        <f t="shared" si="50"/>
        <v>B</v>
      </c>
      <c r="D412" t="str">
        <f t="shared" si="50"/>
        <v>B</v>
      </c>
      <c r="E412" t="str">
        <f t="shared" si="50"/>
        <v>B</v>
      </c>
      <c r="F412" t="str">
        <f t="shared" si="45"/>
        <v>H</v>
      </c>
      <c r="G412">
        <f t="shared" si="46"/>
        <v>2</v>
      </c>
      <c r="H412">
        <f t="shared" si="47"/>
        <v>2</v>
      </c>
      <c r="I412">
        <f t="shared" si="48"/>
        <v>2</v>
      </c>
      <c r="J412">
        <f t="shared" si="49"/>
        <v>8</v>
      </c>
    </row>
    <row r="413" spans="1:10" x14ac:dyDescent="0.25">
      <c r="A413">
        <v>411</v>
      </c>
      <c r="B413" t="str">
        <f t="shared" si="44"/>
        <v>NOK</v>
      </c>
      <c r="C413" t="str">
        <f t="shared" si="50"/>
        <v>B</v>
      </c>
      <c r="D413" t="str">
        <f t="shared" si="50"/>
        <v>B</v>
      </c>
      <c r="E413" t="str">
        <f t="shared" si="50"/>
        <v>B</v>
      </c>
      <c r="F413" t="str">
        <f t="shared" si="45"/>
        <v>I</v>
      </c>
      <c r="G413">
        <f t="shared" si="46"/>
        <v>2</v>
      </c>
      <c r="H413">
        <f t="shared" si="47"/>
        <v>2</v>
      </c>
      <c r="I413">
        <f t="shared" si="48"/>
        <v>2</v>
      </c>
      <c r="J413">
        <f t="shared" si="49"/>
        <v>9</v>
      </c>
    </row>
    <row r="414" spans="1:10" x14ac:dyDescent="0.25">
      <c r="A414">
        <v>412</v>
      </c>
      <c r="B414" t="str">
        <f t="shared" si="44"/>
        <v>NOK</v>
      </c>
      <c r="C414" t="str">
        <f t="shared" si="50"/>
        <v>B</v>
      </c>
      <c r="D414" t="str">
        <f t="shared" si="50"/>
        <v>B</v>
      </c>
      <c r="E414" t="str">
        <f t="shared" si="50"/>
        <v>B</v>
      </c>
      <c r="F414" t="str">
        <f t="shared" si="45"/>
        <v>J</v>
      </c>
      <c r="G414">
        <f t="shared" si="46"/>
        <v>2</v>
      </c>
      <c r="H414">
        <f t="shared" si="47"/>
        <v>2</v>
      </c>
      <c r="I414">
        <f t="shared" si="48"/>
        <v>2</v>
      </c>
      <c r="J414">
        <f t="shared" si="49"/>
        <v>10</v>
      </c>
    </row>
    <row r="415" spans="1:10" x14ac:dyDescent="0.25">
      <c r="A415">
        <v>413</v>
      </c>
      <c r="B415" t="str">
        <f t="shared" si="44"/>
        <v>NOK</v>
      </c>
      <c r="C415" t="str">
        <f t="shared" si="50"/>
        <v>B</v>
      </c>
      <c r="D415" t="str">
        <f t="shared" si="50"/>
        <v>B</v>
      </c>
      <c r="E415" t="str">
        <f t="shared" si="50"/>
        <v>B</v>
      </c>
      <c r="F415" t="str">
        <f t="shared" si="45"/>
        <v>K</v>
      </c>
      <c r="G415">
        <f t="shared" si="46"/>
        <v>2</v>
      </c>
      <c r="H415">
        <f t="shared" si="47"/>
        <v>2</v>
      </c>
      <c r="I415">
        <f t="shared" si="48"/>
        <v>2</v>
      </c>
      <c r="J415">
        <f t="shared" si="49"/>
        <v>11</v>
      </c>
    </row>
    <row r="416" spans="1:10" x14ac:dyDescent="0.25">
      <c r="A416">
        <v>414</v>
      </c>
      <c r="B416" t="str">
        <f t="shared" si="44"/>
        <v>NOK</v>
      </c>
      <c r="C416" t="str">
        <f t="shared" si="50"/>
        <v>B</v>
      </c>
      <c r="D416" t="str">
        <f t="shared" si="50"/>
        <v>B</v>
      </c>
      <c r="E416" t="str">
        <f t="shared" si="50"/>
        <v>B</v>
      </c>
      <c r="F416" t="str">
        <f t="shared" si="45"/>
        <v>L</v>
      </c>
      <c r="G416">
        <f t="shared" si="46"/>
        <v>2</v>
      </c>
      <c r="H416">
        <f t="shared" si="47"/>
        <v>2</v>
      </c>
      <c r="I416">
        <f t="shared" si="48"/>
        <v>2</v>
      </c>
      <c r="J416">
        <f t="shared" si="49"/>
        <v>12</v>
      </c>
    </row>
    <row r="417" spans="1:10" x14ac:dyDescent="0.25">
      <c r="A417">
        <v>415</v>
      </c>
      <c r="B417" t="str">
        <f t="shared" si="44"/>
        <v>NOK</v>
      </c>
      <c r="C417" t="str">
        <f t="shared" si="50"/>
        <v>B</v>
      </c>
      <c r="D417" t="str">
        <f t="shared" si="50"/>
        <v>B</v>
      </c>
      <c r="E417" t="str">
        <f t="shared" si="50"/>
        <v>B</v>
      </c>
      <c r="F417" t="str">
        <f t="shared" si="45"/>
        <v>M</v>
      </c>
      <c r="G417">
        <f t="shared" si="46"/>
        <v>2</v>
      </c>
      <c r="H417">
        <f t="shared" si="47"/>
        <v>2</v>
      </c>
      <c r="I417">
        <f t="shared" si="48"/>
        <v>2</v>
      </c>
      <c r="J417">
        <f t="shared" si="49"/>
        <v>13</v>
      </c>
    </row>
    <row r="418" spans="1:10" x14ac:dyDescent="0.25">
      <c r="A418">
        <v>416</v>
      </c>
      <c r="B418" t="str">
        <f t="shared" si="44"/>
        <v>NOK</v>
      </c>
      <c r="C418" t="str">
        <f t="shared" si="50"/>
        <v>B</v>
      </c>
      <c r="D418" t="str">
        <f t="shared" si="50"/>
        <v>B</v>
      </c>
      <c r="E418" t="str">
        <f t="shared" si="50"/>
        <v>C</v>
      </c>
      <c r="F418" t="str">
        <f t="shared" si="45"/>
        <v>A</v>
      </c>
      <c r="G418">
        <f t="shared" si="46"/>
        <v>2</v>
      </c>
      <c r="H418">
        <f t="shared" si="47"/>
        <v>2</v>
      </c>
      <c r="I418">
        <f t="shared" si="48"/>
        <v>3</v>
      </c>
      <c r="J418">
        <f t="shared" si="49"/>
        <v>1</v>
      </c>
    </row>
    <row r="419" spans="1:10" x14ac:dyDescent="0.25">
      <c r="A419">
        <v>417</v>
      </c>
      <c r="B419" t="str">
        <f t="shared" si="44"/>
        <v>NOK</v>
      </c>
      <c r="C419" t="str">
        <f t="shared" si="50"/>
        <v>B</v>
      </c>
      <c r="D419" t="str">
        <f t="shared" si="50"/>
        <v>B</v>
      </c>
      <c r="E419" t="str">
        <f t="shared" si="50"/>
        <v>C</v>
      </c>
      <c r="F419" t="str">
        <f t="shared" si="45"/>
        <v>B</v>
      </c>
      <c r="G419">
        <f t="shared" si="46"/>
        <v>2</v>
      </c>
      <c r="H419">
        <f t="shared" si="47"/>
        <v>2</v>
      </c>
      <c r="I419">
        <f t="shared" si="48"/>
        <v>3</v>
      </c>
      <c r="J419">
        <f t="shared" si="49"/>
        <v>2</v>
      </c>
    </row>
    <row r="420" spans="1:10" x14ac:dyDescent="0.25">
      <c r="A420">
        <v>418</v>
      </c>
      <c r="B420" t="str">
        <f t="shared" si="44"/>
        <v>NOK</v>
      </c>
      <c r="C420" t="str">
        <f t="shared" si="50"/>
        <v>B</v>
      </c>
      <c r="D420" t="str">
        <f t="shared" si="50"/>
        <v>B</v>
      </c>
      <c r="E420" t="str">
        <f t="shared" si="50"/>
        <v>C</v>
      </c>
      <c r="F420" t="str">
        <f t="shared" si="45"/>
        <v>C</v>
      </c>
      <c r="G420">
        <f t="shared" si="46"/>
        <v>2</v>
      </c>
      <c r="H420">
        <f t="shared" si="47"/>
        <v>2</v>
      </c>
      <c r="I420">
        <f t="shared" si="48"/>
        <v>3</v>
      </c>
      <c r="J420">
        <f t="shared" si="49"/>
        <v>3</v>
      </c>
    </row>
    <row r="421" spans="1:10" x14ac:dyDescent="0.25">
      <c r="A421">
        <v>419</v>
      </c>
      <c r="B421" t="str">
        <f t="shared" si="44"/>
        <v>NOK</v>
      </c>
      <c r="C421" t="str">
        <f t="shared" si="50"/>
        <v>B</v>
      </c>
      <c r="D421" t="str">
        <f t="shared" si="50"/>
        <v>B</v>
      </c>
      <c r="E421" t="str">
        <f t="shared" si="50"/>
        <v>C</v>
      </c>
      <c r="F421" t="str">
        <f t="shared" si="45"/>
        <v>D</v>
      </c>
      <c r="G421">
        <f t="shared" si="46"/>
        <v>2</v>
      </c>
      <c r="H421">
        <f t="shared" si="47"/>
        <v>2</v>
      </c>
      <c r="I421">
        <f t="shared" si="48"/>
        <v>3</v>
      </c>
      <c r="J421">
        <f t="shared" si="49"/>
        <v>4</v>
      </c>
    </row>
    <row r="422" spans="1:10" x14ac:dyDescent="0.25">
      <c r="A422">
        <v>420</v>
      </c>
      <c r="B422" t="str">
        <f t="shared" si="44"/>
        <v>OK</v>
      </c>
      <c r="C422" t="str">
        <f t="shared" si="50"/>
        <v>B</v>
      </c>
      <c r="D422" t="str">
        <f t="shared" si="50"/>
        <v>B</v>
      </c>
      <c r="E422" t="str">
        <f t="shared" si="50"/>
        <v>C</v>
      </c>
      <c r="F422" t="str">
        <f t="shared" si="45"/>
        <v>E</v>
      </c>
      <c r="G422">
        <f t="shared" si="46"/>
        <v>2</v>
      </c>
      <c r="H422">
        <f t="shared" si="47"/>
        <v>2</v>
      </c>
      <c r="I422">
        <f t="shared" si="48"/>
        <v>3</v>
      </c>
      <c r="J422">
        <f t="shared" si="49"/>
        <v>5</v>
      </c>
    </row>
    <row r="423" spans="1:10" x14ac:dyDescent="0.25">
      <c r="A423">
        <v>421</v>
      </c>
      <c r="B423" t="str">
        <f t="shared" si="44"/>
        <v>NOK</v>
      </c>
      <c r="C423" t="str">
        <f t="shared" si="50"/>
        <v>B</v>
      </c>
      <c r="D423" t="str">
        <f t="shared" si="50"/>
        <v>B</v>
      </c>
      <c r="E423" t="str">
        <f t="shared" si="50"/>
        <v>C</v>
      </c>
      <c r="F423" t="str">
        <f t="shared" si="45"/>
        <v>F</v>
      </c>
      <c r="G423">
        <f t="shared" si="46"/>
        <v>2</v>
      </c>
      <c r="H423">
        <f t="shared" si="47"/>
        <v>2</v>
      </c>
      <c r="I423">
        <f t="shared" si="48"/>
        <v>3</v>
      </c>
      <c r="J423">
        <f t="shared" si="49"/>
        <v>6</v>
      </c>
    </row>
    <row r="424" spans="1:10" x14ac:dyDescent="0.25">
      <c r="A424">
        <v>422</v>
      </c>
      <c r="B424" t="str">
        <f t="shared" si="44"/>
        <v>NOK</v>
      </c>
      <c r="C424" t="str">
        <f t="shared" si="50"/>
        <v>B</v>
      </c>
      <c r="D424" t="str">
        <f t="shared" si="50"/>
        <v>B</v>
      </c>
      <c r="E424" t="str">
        <f t="shared" si="50"/>
        <v>C</v>
      </c>
      <c r="F424" t="str">
        <f t="shared" si="45"/>
        <v>G</v>
      </c>
      <c r="G424">
        <f t="shared" si="46"/>
        <v>2</v>
      </c>
      <c r="H424">
        <f t="shared" si="47"/>
        <v>2</v>
      </c>
      <c r="I424">
        <f t="shared" si="48"/>
        <v>3</v>
      </c>
      <c r="J424">
        <f t="shared" si="49"/>
        <v>7</v>
      </c>
    </row>
    <row r="425" spans="1:10" x14ac:dyDescent="0.25">
      <c r="A425">
        <v>423</v>
      </c>
      <c r="B425" t="str">
        <f t="shared" si="44"/>
        <v>NOK</v>
      </c>
      <c r="C425" t="str">
        <f t="shared" si="50"/>
        <v>B</v>
      </c>
      <c r="D425" t="str">
        <f t="shared" si="50"/>
        <v>B</v>
      </c>
      <c r="E425" t="str">
        <f t="shared" si="50"/>
        <v>C</v>
      </c>
      <c r="F425" t="str">
        <f t="shared" si="45"/>
        <v>H</v>
      </c>
      <c r="G425">
        <f t="shared" si="46"/>
        <v>2</v>
      </c>
      <c r="H425">
        <f t="shared" si="47"/>
        <v>2</v>
      </c>
      <c r="I425">
        <f t="shared" si="48"/>
        <v>3</v>
      </c>
      <c r="J425">
        <f t="shared" si="49"/>
        <v>8</v>
      </c>
    </row>
    <row r="426" spans="1:10" x14ac:dyDescent="0.25">
      <c r="A426">
        <v>424</v>
      </c>
      <c r="B426" t="str">
        <f t="shared" si="44"/>
        <v>NOK</v>
      </c>
      <c r="C426" t="str">
        <f t="shared" si="50"/>
        <v>B</v>
      </c>
      <c r="D426" t="str">
        <f t="shared" si="50"/>
        <v>B</v>
      </c>
      <c r="E426" t="str">
        <f t="shared" si="50"/>
        <v>C</v>
      </c>
      <c r="F426" t="str">
        <f t="shared" si="45"/>
        <v>I</v>
      </c>
      <c r="G426">
        <f t="shared" si="46"/>
        <v>2</v>
      </c>
      <c r="H426">
        <f t="shared" si="47"/>
        <v>2</v>
      </c>
      <c r="I426">
        <f t="shared" si="48"/>
        <v>3</v>
      </c>
      <c r="J426">
        <f t="shared" si="49"/>
        <v>9</v>
      </c>
    </row>
    <row r="427" spans="1:10" x14ac:dyDescent="0.25">
      <c r="A427">
        <v>425</v>
      </c>
      <c r="B427" t="str">
        <f t="shared" si="44"/>
        <v>NOK</v>
      </c>
      <c r="C427" t="str">
        <f t="shared" si="50"/>
        <v>B</v>
      </c>
      <c r="D427" t="str">
        <f t="shared" si="50"/>
        <v>B</v>
      </c>
      <c r="E427" t="str">
        <f t="shared" si="50"/>
        <v>C</v>
      </c>
      <c r="F427" t="str">
        <f t="shared" si="45"/>
        <v>J</v>
      </c>
      <c r="G427">
        <f t="shared" si="46"/>
        <v>2</v>
      </c>
      <c r="H427">
        <f t="shared" si="47"/>
        <v>2</v>
      </c>
      <c r="I427">
        <f t="shared" si="48"/>
        <v>3</v>
      </c>
      <c r="J427">
        <f t="shared" si="49"/>
        <v>10</v>
      </c>
    </row>
    <row r="428" spans="1:10" x14ac:dyDescent="0.25">
      <c r="A428">
        <v>426</v>
      </c>
      <c r="B428" t="str">
        <f t="shared" si="44"/>
        <v>NOK</v>
      </c>
      <c r="C428" t="str">
        <f t="shared" si="50"/>
        <v>B</v>
      </c>
      <c r="D428" t="str">
        <f t="shared" si="50"/>
        <v>B</v>
      </c>
      <c r="E428" t="str">
        <f t="shared" si="50"/>
        <v>C</v>
      </c>
      <c r="F428" t="str">
        <f t="shared" si="45"/>
        <v>K</v>
      </c>
      <c r="G428">
        <f t="shared" si="46"/>
        <v>2</v>
      </c>
      <c r="H428">
        <f t="shared" si="47"/>
        <v>2</v>
      </c>
      <c r="I428">
        <f t="shared" si="48"/>
        <v>3</v>
      </c>
      <c r="J428">
        <f t="shared" si="49"/>
        <v>11</v>
      </c>
    </row>
    <row r="429" spans="1:10" x14ac:dyDescent="0.25">
      <c r="A429">
        <v>427</v>
      </c>
      <c r="B429" t="str">
        <f t="shared" si="44"/>
        <v>NOK</v>
      </c>
      <c r="C429" t="str">
        <f t="shared" si="50"/>
        <v>B</v>
      </c>
      <c r="D429" t="str">
        <f t="shared" si="50"/>
        <v>B</v>
      </c>
      <c r="E429" t="str">
        <f t="shared" si="50"/>
        <v>C</v>
      </c>
      <c r="F429" t="str">
        <f t="shared" si="45"/>
        <v>L</v>
      </c>
      <c r="G429">
        <f t="shared" si="46"/>
        <v>2</v>
      </c>
      <c r="H429">
        <f t="shared" si="47"/>
        <v>2</v>
      </c>
      <c r="I429">
        <f t="shared" si="48"/>
        <v>3</v>
      </c>
      <c r="J429">
        <f t="shared" si="49"/>
        <v>12</v>
      </c>
    </row>
    <row r="430" spans="1:10" x14ac:dyDescent="0.25">
      <c r="A430">
        <v>428</v>
      </c>
      <c r="B430" t="str">
        <f t="shared" si="44"/>
        <v>NOK</v>
      </c>
      <c r="C430" t="str">
        <f t="shared" si="50"/>
        <v>B</v>
      </c>
      <c r="D430" t="str">
        <f t="shared" si="50"/>
        <v>B</v>
      </c>
      <c r="E430" t="str">
        <f t="shared" si="50"/>
        <v>C</v>
      </c>
      <c r="F430" t="str">
        <f t="shared" si="45"/>
        <v>M</v>
      </c>
      <c r="G430">
        <f t="shared" si="46"/>
        <v>2</v>
      </c>
      <c r="H430">
        <f t="shared" si="47"/>
        <v>2</v>
      </c>
      <c r="I430">
        <f t="shared" si="48"/>
        <v>3</v>
      </c>
      <c r="J430">
        <f t="shared" si="49"/>
        <v>13</v>
      </c>
    </row>
    <row r="431" spans="1:10" x14ac:dyDescent="0.25">
      <c r="A431">
        <v>429</v>
      </c>
      <c r="B431" t="str">
        <f t="shared" si="44"/>
        <v>NOK</v>
      </c>
      <c r="C431" t="str">
        <f t="shared" si="50"/>
        <v>B</v>
      </c>
      <c r="D431" t="str">
        <f t="shared" si="50"/>
        <v>B</v>
      </c>
      <c r="E431" t="str">
        <f t="shared" si="50"/>
        <v>D</v>
      </c>
      <c r="F431" t="str">
        <f t="shared" si="45"/>
        <v>A</v>
      </c>
      <c r="G431">
        <f t="shared" si="46"/>
        <v>2</v>
      </c>
      <c r="H431">
        <f t="shared" si="47"/>
        <v>2</v>
      </c>
      <c r="I431">
        <f t="shared" si="48"/>
        <v>4</v>
      </c>
      <c r="J431">
        <f t="shared" si="49"/>
        <v>1</v>
      </c>
    </row>
    <row r="432" spans="1:10" x14ac:dyDescent="0.25">
      <c r="A432">
        <v>430</v>
      </c>
      <c r="B432" t="str">
        <f t="shared" si="44"/>
        <v>NOK</v>
      </c>
      <c r="C432" t="str">
        <f t="shared" si="50"/>
        <v>B</v>
      </c>
      <c r="D432" t="str">
        <f t="shared" si="50"/>
        <v>B</v>
      </c>
      <c r="E432" t="str">
        <f t="shared" si="50"/>
        <v>D</v>
      </c>
      <c r="F432" t="str">
        <f t="shared" si="45"/>
        <v>B</v>
      </c>
      <c r="G432">
        <f t="shared" si="46"/>
        <v>2</v>
      </c>
      <c r="H432">
        <f t="shared" si="47"/>
        <v>2</v>
      </c>
      <c r="I432">
        <f t="shared" si="48"/>
        <v>4</v>
      </c>
      <c r="J432">
        <f t="shared" si="49"/>
        <v>2</v>
      </c>
    </row>
    <row r="433" spans="1:10" x14ac:dyDescent="0.25">
      <c r="A433">
        <v>431</v>
      </c>
      <c r="B433" t="str">
        <f t="shared" si="44"/>
        <v>NOK</v>
      </c>
      <c r="C433" t="str">
        <f t="shared" si="50"/>
        <v>B</v>
      </c>
      <c r="D433" t="str">
        <f t="shared" si="50"/>
        <v>B</v>
      </c>
      <c r="E433" t="str">
        <f t="shared" si="50"/>
        <v>D</v>
      </c>
      <c r="F433" t="str">
        <f t="shared" si="45"/>
        <v>C</v>
      </c>
      <c r="G433">
        <f t="shared" si="46"/>
        <v>2</v>
      </c>
      <c r="H433">
        <f t="shared" si="47"/>
        <v>2</v>
      </c>
      <c r="I433">
        <f t="shared" si="48"/>
        <v>4</v>
      </c>
      <c r="J433">
        <f t="shared" si="49"/>
        <v>3</v>
      </c>
    </row>
    <row r="434" spans="1:10" x14ac:dyDescent="0.25">
      <c r="A434">
        <v>432</v>
      </c>
      <c r="B434" t="str">
        <f t="shared" si="44"/>
        <v>NOK</v>
      </c>
      <c r="C434" t="str">
        <f t="shared" si="50"/>
        <v>B</v>
      </c>
      <c r="D434" t="str">
        <f t="shared" si="50"/>
        <v>B</v>
      </c>
      <c r="E434" t="str">
        <f t="shared" si="50"/>
        <v>D</v>
      </c>
      <c r="F434" t="str">
        <f t="shared" si="45"/>
        <v>D</v>
      </c>
      <c r="G434">
        <f t="shared" si="46"/>
        <v>2</v>
      </c>
      <c r="H434">
        <f t="shared" si="47"/>
        <v>2</v>
      </c>
      <c r="I434">
        <f t="shared" si="48"/>
        <v>4</v>
      </c>
      <c r="J434">
        <f t="shared" si="49"/>
        <v>4</v>
      </c>
    </row>
    <row r="435" spans="1:10" x14ac:dyDescent="0.25">
      <c r="A435">
        <v>433</v>
      </c>
      <c r="B435" t="str">
        <f t="shared" si="44"/>
        <v>NOK</v>
      </c>
      <c r="C435" t="str">
        <f t="shared" si="50"/>
        <v>B</v>
      </c>
      <c r="D435" t="str">
        <f t="shared" si="50"/>
        <v>B</v>
      </c>
      <c r="E435" t="str">
        <f t="shared" si="50"/>
        <v>D</v>
      </c>
      <c r="F435" t="str">
        <f t="shared" si="45"/>
        <v>E</v>
      </c>
      <c r="G435">
        <f t="shared" si="46"/>
        <v>2</v>
      </c>
      <c r="H435">
        <f t="shared" si="47"/>
        <v>2</v>
      </c>
      <c r="I435">
        <f t="shared" si="48"/>
        <v>4</v>
      </c>
      <c r="J435">
        <f t="shared" si="49"/>
        <v>5</v>
      </c>
    </row>
    <row r="436" spans="1:10" x14ac:dyDescent="0.25">
      <c r="A436">
        <v>434</v>
      </c>
      <c r="B436" t="str">
        <f t="shared" si="44"/>
        <v>OK</v>
      </c>
      <c r="C436" t="str">
        <f t="shared" si="50"/>
        <v>B</v>
      </c>
      <c r="D436" t="str">
        <f t="shared" si="50"/>
        <v>B</v>
      </c>
      <c r="E436" t="str">
        <f t="shared" si="50"/>
        <v>D</v>
      </c>
      <c r="F436" t="str">
        <f t="shared" si="45"/>
        <v>F</v>
      </c>
      <c r="G436">
        <f t="shared" si="46"/>
        <v>2</v>
      </c>
      <c r="H436">
        <f t="shared" si="47"/>
        <v>2</v>
      </c>
      <c r="I436">
        <f t="shared" si="48"/>
        <v>4</v>
      </c>
      <c r="J436">
        <f t="shared" si="49"/>
        <v>6</v>
      </c>
    </row>
    <row r="437" spans="1:10" x14ac:dyDescent="0.25">
      <c r="A437">
        <v>435</v>
      </c>
      <c r="B437" t="str">
        <f t="shared" si="44"/>
        <v>NOK</v>
      </c>
      <c r="C437" t="str">
        <f t="shared" si="50"/>
        <v>B</v>
      </c>
      <c r="D437" t="str">
        <f t="shared" si="50"/>
        <v>B</v>
      </c>
      <c r="E437" t="str">
        <f t="shared" si="50"/>
        <v>D</v>
      </c>
      <c r="F437" t="str">
        <f t="shared" si="45"/>
        <v>G</v>
      </c>
      <c r="G437">
        <f t="shared" si="46"/>
        <v>2</v>
      </c>
      <c r="H437">
        <f t="shared" si="47"/>
        <v>2</v>
      </c>
      <c r="I437">
        <f t="shared" si="48"/>
        <v>4</v>
      </c>
      <c r="J437">
        <f t="shared" si="49"/>
        <v>7</v>
      </c>
    </row>
    <row r="438" spans="1:10" x14ac:dyDescent="0.25">
      <c r="A438">
        <v>436</v>
      </c>
      <c r="B438" t="str">
        <f t="shared" si="44"/>
        <v>NOK</v>
      </c>
      <c r="C438" t="str">
        <f t="shared" si="50"/>
        <v>B</v>
      </c>
      <c r="D438" t="str">
        <f t="shared" si="50"/>
        <v>B</v>
      </c>
      <c r="E438" t="str">
        <f t="shared" si="50"/>
        <v>D</v>
      </c>
      <c r="F438" t="str">
        <f t="shared" si="45"/>
        <v>H</v>
      </c>
      <c r="G438">
        <f t="shared" si="46"/>
        <v>2</v>
      </c>
      <c r="H438">
        <f t="shared" si="47"/>
        <v>2</v>
      </c>
      <c r="I438">
        <f t="shared" si="48"/>
        <v>4</v>
      </c>
      <c r="J438">
        <f t="shared" si="49"/>
        <v>8</v>
      </c>
    </row>
    <row r="439" spans="1:10" x14ac:dyDescent="0.25">
      <c r="A439">
        <v>437</v>
      </c>
      <c r="B439" t="str">
        <f t="shared" si="44"/>
        <v>NOK</v>
      </c>
      <c r="C439" t="str">
        <f t="shared" si="50"/>
        <v>B</v>
      </c>
      <c r="D439" t="str">
        <f t="shared" si="50"/>
        <v>B</v>
      </c>
      <c r="E439" t="str">
        <f t="shared" si="50"/>
        <v>D</v>
      </c>
      <c r="F439" t="str">
        <f t="shared" si="45"/>
        <v>I</v>
      </c>
      <c r="G439">
        <f t="shared" si="46"/>
        <v>2</v>
      </c>
      <c r="H439">
        <f t="shared" si="47"/>
        <v>2</v>
      </c>
      <c r="I439">
        <f t="shared" si="48"/>
        <v>4</v>
      </c>
      <c r="J439">
        <f t="shared" si="49"/>
        <v>9</v>
      </c>
    </row>
    <row r="440" spans="1:10" x14ac:dyDescent="0.25">
      <c r="A440">
        <v>438</v>
      </c>
      <c r="B440" t="str">
        <f t="shared" si="44"/>
        <v>NOK</v>
      </c>
      <c r="C440" t="str">
        <f t="shared" si="50"/>
        <v>B</v>
      </c>
      <c r="D440" t="str">
        <f t="shared" si="50"/>
        <v>B</v>
      </c>
      <c r="E440" t="str">
        <f t="shared" si="50"/>
        <v>D</v>
      </c>
      <c r="F440" t="str">
        <f t="shared" si="45"/>
        <v>J</v>
      </c>
      <c r="G440">
        <f t="shared" si="46"/>
        <v>2</v>
      </c>
      <c r="H440">
        <f t="shared" si="47"/>
        <v>2</v>
      </c>
      <c r="I440">
        <f t="shared" si="48"/>
        <v>4</v>
      </c>
      <c r="J440">
        <f t="shared" si="49"/>
        <v>10</v>
      </c>
    </row>
    <row r="441" spans="1:10" x14ac:dyDescent="0.25">
      <c r="A441">
        <v>439</v>
      </c>
      <c r="B441" t="str">
        <f t="shared" si="44"/>
        <v>NOK</v>
      </c>
      <c r="C441" t="str">
        <f t="shared" si="50"/>
        <v>B</v>
      </c>
      <c r="D441" t="str">
        <f t="shared" si="50"/>
        <v>B</v>
      </c>
      <c r="E441" t="str">
        <f t="shared" si="50"/>
        <v>D</v>
      </c>
      <c r="F441" t="str">
        <f t="shared" si="45"/>
        <v>K</v>
      </c>
      <c r="G441">
        <f t="shared" si="46"/>
        <v>2</v>
      </c>
      <c r="H441">
        <f t="shared" si="47"/>
        <v>2</v>
      </c>
      <c r="I441">
        <f t="shared" si="48"/>
        <v>4</v>
      </c>
      <c r="J441">
        <f t="shared" si="49"/>
        <v>11</v>
      </c>
    </row>
    <row r="442" spans="1:10" x14ac:dyDescent="0.25">
      <c r="A442">
        <v>440</v>
      </c>
      <c r="B442" t="str">
        <f t="shared" si="44"/>
        <v>NOK</v>
      </c>
      <c r="C442" t="str">
        <f t="shared" si="50"/>
        <v>B</v>
      </c>
      <c r="D442" t="str">
        <f t="shared" si="50"/>
        <v>B</v>
      </c>
      <c r="E442" t="str">
        <f t="shared" si="50"/>
        <v>D</v>
      </c>
      <c r="F442" t="str">
        <f t="shared" si="45"/>
        <v>L</v>
      </c>
      <c r="G442">
        <f t="shared" si="46"/>
        <v>2</v>
      </c>
      <c r="H442">
        <f t="shared" si="47"/>
        <v>2</v>
      </c>
      <c r="I442">
        <f t="shared" si="48"/>
        <v>4</v>
      </c>
      <c r="J442">
        <f t="shared" si="49"/>
        <v>12</v>
      </c>
    </row>
    <row r="443" spans="1:10" x14ac:dyDescent="0.25">
      <c r="A443">
        <v>441</v>
      </c>
      <c r="B443" t="str">
        <f t="shared" si="44"/>
        <v>NOK</v>
      </c>
      <c r="C443" t="str">
        <f t="shared" si="50"/>
        <v>B</v>
      </c>
      <c r="D443" t="str">
        <f t="shared" si="50"/>
        <v>B</v>
      </c>
      <c r="E443" t="str">
        <f t="shared" si="50"/>
        <v>D</v>
      </c>
      <c r="F443" t="str">
        <f t="shared" si="45"/>
        <v>M</v>
      </c>
      <c r="G443">
        <f t="shared" si="46"/>
        <v>2</v>
      </c>
      <c r="H443">
        <f t="shared" si="47"/>
        <v>2</v>
      </c>
      <c r="I443">
        <f t="shared" si="48"/>
        <v>4</v>
      </c>
      <c r="J443">
        <f t="shared" si="49"/>
        <v>13</v>
      </c>
    </row>
    <row r="444" spans="1:10" x14ac:dyDescent="0.25">
      <c r="A444">
        <v>442</v>
      </c>
      <c r="B444" t="str">
        <f t="shared" si="44"/>
        <v>NOK</v>
      </c>
      <c r="C444" t="str">
        <f t="shared" si="50"/>
        <v>B</v>
      </c>
      <c r="D444" t="str">
        <f t="shared" si="50"/>
        <v>B</v>
      </c>
      <c r="E444" t="str">
        <f t="shared" si="50"/>
        <v>E</v>
      </c>
      <c r="F444" t="str">
        <f t="shared" si="45"/>
        <v>A</v>
      </c>
      <c r="G444">
        <f t="shared" si="46"/>
        <v>2</v>
      </c>
      <c r="H444">
        <f t="shared" si="47"/>
        <v>2</v>
      </c>
      <c r="I444">
        <f t="shared" si="48"/>
        <v>5</v>
      </c>
      <c r="J444">
        <f t="shared" si="49"/>
        <v>1</v>
      </c>
    </row>
    <row r="445" spans="1:10" x14ac:dyDescent="0.25">
      <c r="A445">
        <v>443</v>
      </c>
      <c r="B445" t="str">
        <f t="shared" si="44"/>
        <v>NOK</v>
      </c>
      <c r="C445" t="str">
        <f t="shared" si="50"/>
        <v>B</v>
      </c>
      <c r="D445" t="str">
        <f t="shared" si="50"/>
        <v>B</v>
      </c>
      <c r="E445" t="str">
        <f t="shared" si="50"/>
        <v>E</v>
      </c>
      <c r="F445" t="str">
        <f t="shared" si="45"/>
        <v>B</v>
      </c>
      <c r="G445">
        <f t="shared" si="46"/>
        <v>2</v>
      </c>
      <c r="H445">
        <f t="shared" si="47"/>
        <v>2</v>
      </c>
      <c r="I445">
        <f t="shared" si="48"/>
        <v>5</v>
      </c>
      <c r="J445">
        <f t="shared" si="49"/>
        <v>2</v>
      </c>
    </row>
    <row r="446" spans="1:10" x14ac:dyDescent="0.25">
      <c r="A446">
        <v>444</v>
      </c>
      <c r="B446" t="str">
        <f t="shared" si="44"/>
        <v>NOK</v>
      </c>
      <c r="C446" t="str">
        <f t="shared" si="50"/>
        <v>B</v>
      </c>
      <c r="D446" t="str">
        <f t="shared" si="50"/>
        <v>B</v>
      </c>
      <c r="E446" t="str">
        <f t="shared" si="50"/>
        <v>E</v>
      </c>
      <c r="F446" t="str">
        <f t="shared" si="45"/>
        <v>C</v>
      </c>
      <c r="G446">
        <f t="shared" si="46"/>
        <v>2</v>
      </c>
      <c r="H446">
        <f t="shared" si="47"/>
        <v>2</v>
      </c>
      <c r="I446">
        <f t="shared" si="48"/>
        <v>5</v>
      </c>
      <c r="J446">
        <f t="shared" si="49"/>
        <v>3</v>
      </c>
    </row>
    <row r="447" spans="1:10" x14ac:dyDescent="0.25">
      <c r="A447">
        <v>445</v>
      </c>
      <c r="B447" t="str">
        <f t="shared" si="44"/>
        <v>NOK</v>
      </c>
      <c r="C447" t="str">
        <f t="shared" si="50"/>
        <v>B</v>
      </c>
      <c r="D447" t="str">
        <f t="shared" si="50"/>
        <v>B</v>
      </c>
      <c r="E447" t="str">
        <f t="shared" si="50"/>
        <v>E</v>
      </c>
      <c r="F447" t="str">
        <f t="shared" si="45"/>
        <v>D</v>
      </c>
      <c r="G447">
        <f t="shared" si="46"/>
        <v>2</v>
      </c>
      <c r="H447">
        <f t="shared" si="47"/>
        <v>2</v>
      </c>
      <c r="I447">
        <f t="shared" si="48"/>
        <v>5</v>
      </c>
      <c r="J447">
        <f t="shared" si="49"/>
        <v>4</v>
      </c>
    </row>
    <row r="448" spans="1:10" x14ac:dyDescent="0.25">
      <c r="A448">
        <v>446</v>
      </c>
      <c r="B448" t="str">
        <f t="shared" si="44"/>
        <v>NOK</v>
      </c>
      <c r="C448" t="str">
        <f t="shared" si="50"/>
        <v>B</v>
      </c>
      <c r="D448" t="str">
        <f t="shared" si="50"/>
        <v>B</v>
      </c>
      <c r="E448" t="str">
        <f t="shared" si="50"/>
        <v>E</v>
      </c>
      <c r="F448" t="str">
        <f t="shared" si="45"/>
        <v>E</v>
      </c>
      <c r="G448">
        <f t="shared" si="46"/>
        <v>2</v>
      </c>
      <c r="H448">
        <f t="shared" si="47"/>
        <v>2</v>
      </c>
      <c r="I448">
        <f t="shared" si="48"/>
        <v>5</v>
      </c>
      <c r="J448">
        <f t="shared" si="49"/>
        <v>5</v>
      </c>
    </row>
    <row r="449" spans="1:10" x14ac:dyDescent="0.25">
      <c r="A449">
        <v>447</v>
      </c>
      <c r="B449" t="str">
        <f t="shared" si="44"/>
        <v>NOK</v>
      </c>
      <c r="C449" t="str">
        <f t="shared" si="50"/>
        <v>B</v>
      </c>
      <c r="D449" t="str">
        <f t="shared" si="50"/>
        <v>B</v>
      </c>
      <c r="E449" t="str">
        <f t="shared" si="50"/>
        <v>E</v>
      </c>
      <c r="F449" t="str">
        <f t="shared" si="45"/>
        <v>F</v>
      </c>
      <c r="G449">
        <f t="shared" si="46"/>
        <v>2</v>
      </c>
      <c r="H449">
        <f t="shared" si="47"/>
        <v>2</v>
      </c>
      <c r="I449">
        <f t="shared" si="48"/>
        <v>5</v>
      </c>
      <c r="J449">
        <f t="shared" si="49"/>
        <v>6</v>
      </c>
    </row>
    <row r="450" spans="1:10" x14ac:dyDescent="0.25">
      <c r="A450">
        <v>448</v>
      </c>
      <c r="B450" t="str">
        <f t="shared" ref="B450:B513" si="51">IF(ROUND(_xlfn.XLOOKUP(C450,$U$1:$U$5,$T$1:$T$5,,0,1)+_xlfn.XLOOKUP(D450,$W$1:$W$5,$V$1:$V$5,,0,1)+_xlfn.XLOOKUP(E450,$Y$1:$Y$5,$X$1:$X$5,,0,1)-_xlfn.XLOOKUP(F450,$AA$1:$AA$13,$Z$1:$Z$13,,0,1),3)=0.325,"OK","NOK")</f>
        <v>OK</v>
      </c>
      <c r="C450" t="str">
        <f t="shared" si="50"/>
        <v>B</v>
      </c>
      <c r="D450" t="str">
        <f t="shared" si="50"/>
        <v>B</v>
      </c>
      <c r="E450" t="str">
        <f t="shared" si="50"/>
        <v>E</v>
      </c>
      <c r="F450" t="str">
        <f t="shared" ref="F450:F513" si="52">IF(J450=1,"A",IF(J450=2,"B",IF(J450=3,"C",IF(J450=4,"D",IF(J450=5,"E",IF(J450=6,"F",IF(J450=7,"G",IF(J450=8,"H",IF(J450=9,"I",IF(J450=10,"J",IF(J450=11,"K",IF(J450=12,"L",IF(J450=13,"M","ERRO")))))))))))))</f>
        <v>G</v>
      </c>
      <c r="G450">
        <f t="shared" ref="G450:G513" si="53">INT($A450/325)+1</f>
        <v>2</v>
      </c>
      <c r="H450">
        <f t="shared" ref="H450:H513" si="54">INT(MOD($A450,325)/65)+1</f>
        <v>2</v>
      </c>
      <c r="I450">
        <f t="shared" ref="I450:I513" si="55">INT(MOD($A450,65)/13)+1</f>
        <v>5</v>
      </c>
      <c r="J450">
        <f t="shared" ref="J450:J513" si="56">MOD($A450,13)+1</f>
        <v>7</v>
      </c>
    </row>
    <row r="451" spans="1:10" x14ac:dyDescent="0.25">
      <c r="A451">
        <v>449</v>
      </c>
      <c r="B451" t="str">
        <f t="shared" si="51"/>
        <v>NOK</v>
      </c>
      <c r="C451" t="str">
        <f t="shared" ref="C451:E514" si="57">IF(G451=1,"A",IF(G451=2,"B",IF(G451=3,"C",IF(G451=4,"D",IF(G451=5,"E","ERRO")))))</f>
        <v>B</v>
      </c>
      <c r="D451" t="str">
        <f t="shared" si="57"/>
        <v>B</v>
      </c>
      <c r="E451" t="str">
        <f t="shared" si="57"/>
        <v>E</v>
      </c>
      <c r="F451" t="str">
        <f t="shared" si="52"/>
        <v>H</v>
      </c>
      <c r="G451">
        <f t="shared" si="53"/>
        <v>2</v>
      </c>
      <c r="H451">
        <f t="shared" si="54"/>
        <v>2</v>
      </c>
      <c r="I451">
        <f t="shared" si="55"/>
        <v>5</v>
      </c>
      <c r="J451">
        <f t="shared" si="56"/>
        <v>8</v>
      </c>
    </row>
    <row r="452" spans="1:10" x14ac:dyDescent="0.25">
      <c r="A452">
        <v>450</v>
      </c>
      <c r="B452" t="str">
        <f t="shared" si="51"/>
        <v>NOK</v>
      </c>
      <c r="C452" t="str">
        <f t="shared" si="57"/>
        <v>B</v>
      </c>
      <c r="D452" t="str">
        <f t="shared" si="57"/>
        <v>B</v>
      </c>
      <c r="E452" t="str">
        <f t="shared" si="57"/>
        <v>E</v>
      </c>
      <c r="F452" t="str">
        <f t="shared" si="52"/>
        <v>I</v>
      </c>
      <c r="G452">
        <f t="shared" si="53"/>
        <v>2</v>
      </c>
      <c r="H452">
        <f t="shared" si="54"/>
        <v>2</v>
      </c>
      <c r="I452">
        <f t="shared" si="55"/>
        <v>5</v>
      </c>
      <c r="J452">
        <f t="shared" si="56"/>
        <v>9</v>
      </c>
    </row>
    <row r="453" spans="1:10" x14ac:dyDescent="0.25">
      <c r="A453">
        <v>451</v>
      </c>
      <c r="B453" t="str">
        <f t="shared" si="51"/>
        <v>NOK</v>
      </c>
      <c r="C453" t="str">
        <f t="shared" si="57"/>
        <v>B</v>
      </c>
      <c r="D453" t="str">
        <f t="shared" si="57"/>
        <v>B</v>
      </c>
      <c r="E453" t="str">
        <f t="shared" si="57"/>
        <v>E</v>
      </c>
      <c r="F453" t="str">
        <f t="shared" si="52"/>
        <v>J</v>
      </c>
      <c r="G453">
        <f t="shared" si="53"/>
        <v>2</v>
      </c>
      <c r="H453">
        <f t="shared" si="54"/>
        <v>2</v>
      </c>
      <c r="I453">
        <f t="shared" si="55"/>
        <v>5</v>
      </c>
      <c r="J453">
        <f t="shared" si="56"/>
        <v>10</v>
      </c>
    </row>
    <row r="454" spans="1:10" x14ac:dyDescent="0.25">
      <c r="A454">
        <v>452</v>
      </c>
      <c r="B454" t="str">
        <f t="shared" si="51"/>
        <v>NOK</v>
      </c>
      <c r="C454" t="str">
        <f t="shared" si="57"/>
        <v>B</v>
      </c>
      <c r="D454" t="str">
        <f t="shared" si="57"/>
        <v>B</v>
      </c>
      <c r="E454" t="str">
        <f t="shared" si="57"/>
        <v>E</v>
      </c>
      <c r="F454" t="str">
        <f t="shared" si="52"/>
        <v>K</v>
      </c>
      <c r="G454">
        <f t="shared" si="53"/>
        <v>2</v>
      </c>
      <c r="H454">
        <f t="shared" si="54"/>
        <v>2</v>
      </c>
      <c r="I454">
        <f t="shared" si="55"/>
        <v>5</v>
      </c>
      <c r="J454">
        <f t="shared" si="56"/>
        <v>11</v>
      </c>
    </row>
    <row r="455" spans="1:10" x14ac:dyDescent="0.25">
      <c r="A455">
        <v>453</v>
      </c>
      <c r="B455" t="str">
        <f t="shared" si="51"/>
        <v>NOK</v>
      </c>
      <c r="C455" t="str">
        <f t="shared" si="57"/>
        <v>B</v>
      </c>
      <c r="D455" t="str">
        <f t="shared" si="57"/>
        <v>B</v>
      </c>
      <c r="E455" t="str">
        <f t="shared" si="57"/>
        <v>E</v>
      </c>
      <c r="F455" t="str">
        <f t="shared" si="52"/>
        <v>L</v>
      </c>
      <c r="G455">
        <f t="shared" si="53"/>
        <v>2</v>
      </c>
      <c r="H455">
        <f t="shared" si="54"/>
        <v>2</v>
      </c>
      <c r="I455">
        <f t="shared" si="55"/>
        <v>5</v>
      </c>
      <c r="J455">
        <f t="shared" si="56"/>
        <v>12</v>
      </c>
    </row>
    <row r="456" spans="1:10" x14ac:dyDescent="0.25">
      <c r="A456">
        <v>454</v>
      </c>
      <c r="B456" t="str">
        <f t="shared" si="51"/>
        <v>NOK</v>
      </c>
      <c r="C456" t="str">
        <f t="shared" si="57"/>
        <v>B</v>
      </c>
      <c r="D456" t="str">
        <f t="shared" si="57"/>
        <v>B</v>
      </c>
      <c r="E456" t="str">
        <f t="shared" si="57"/>
        <v>E</v>
      </c>
      <c r="F456" t="str">
        <f t="shared" si="52"/>
        <v>M</v>
      </c>
      <c r="G456">
        <f t="shared" si="53"/>
        <v>2</v>
      </c>
      <c r="H456">
        <f t="shared" si="54"/>
        <v>2</v>
      </c>
      <c r="I456">
        <f t="shared" si="55"/>
        <v>5</v>
      </c>
      <c r="J456">
        <f t="shared" si="56"/>
        <v>13</v>
      </c>
    </row>
    <row r="457" spans="1:10" x14ac:dyDescent="0.25">
      <c r="A457">
        <v>455</v>
      </c>
      <c r="B457" t="str">
        <f t="shared" si="51"/>
        <v>NOK</v>
      </c>
      <c r="C457" t="str">
        <f t="shared" si="57"/>
        <v>B</v>
      </c>
      <c r="D457" t="str">
        <f t="shared" si="57"/>
        <v>C</v>
      </c>
      <c r="E457" t="str">
        <f t="shared" si="57"/>
        <v>A</v>
      </c>
      <c r="F457" t="str">
        <f t="shared" si="52"/>
        <v>A</v>
      </c>
      <c r="G457">
        <f t="shared" si="53"/>
        <v>2</v>
      </c>
      <c r="H457">
        <f t="shared" si="54"/>
        <v>3</v>
      </c>
      <c r="I457">
        <f t="shared" si="55"/>
        <v>1</v>
      </c>
      <c r="J457">
        <f t="shared" si="56"/>
        <v>1</v>
      </c>
    </row>
    <row r="458" spans="1:10" x14ac:dyDescent="0.25">
      <c r="A458">
        <v>456</v>
      </c>
      <c r="B458" t="str">
        <f t="shared" si="51"/>
        <v>NOK</v>
      </c>
      <c r="C458" t="str">
        <f t="shared" si="57"/>
        <v>B</v>
      </c>
      <c r="D458" t="str">
        <f t="shared" si="57"/>
        <v>C</v>
      </c>
      <c r="E458" t="str">
        <f t="shared" si="57"/>
        <v>A</v>
      </c>
      <c r="F458" t="str">
        <f t="shared" si="52"/>
        <v>B</v>
      </c>
      <c r="G458">
        <f t="shared" si="53"/>
        <v>2</v>
      </c>
      <c r="H458">
        <f t="shared" si="54"/>
        <v>3</v>
      </c>
      <c r="I458">
        <f t="shared" si="55"/>
        <v>1</v>
      </c>
      <c r="J458">
        <f t="shared" si="56"/>
        <v>2</v>
      </c>
    </row>
    <row r="459" spans="1:10" x14ac:dyDescent="0.25">
      <c r="A459">
        <v>457</v>
      </c>
      <c r="B459" t="str">
        <f t="shared" si="51"/>
        <v>NOK</v>
      </c>
      <c r="C459" t="str">
        <f t="shared" si="57"/>
        <v>B</v>
      </c>
      <c r="D459" t="str">
        <f t="shared" si="57"/>
        <v>C</v>
      </c>
      <c r="E459" t="str">
        <f t="shared" si="57"/>
        <v>A</v>
      </c>
      <c r="F459" t="str">
        <f t="shared" si="52"/>
        <v>C</v>
      </c>
      <c r="G459">
        <f t="shared" si="53"/>
        <v>2</v>
      </c>
      <c r="H459">
        <f t="shared" si="54"/>
        <v>3</v>
      </c>
      <c r="I459">
        <f t="shared" si="55"/>
        <v>1</v>
      </c>
      <c r="J459">
        <f t="shared" si="56"/>
        <v>3</v>
      </c>
    </row>
    <row r="460" spans="1:10" x14ac:dyDescent="0.25">
      <c r="A460">
        <v>458</v>
      </c>
      <c r="B460" t="str">
        <f t="shared" si="51"/>
        <v>OK</v>
      </c>
      <c r="C460" t="str">
        <f t="shared" si="57"/>
        <v>B</v>
      </c>
      <c r="D460" t="str">
        <f t="shared" si="57"/>
        <v>C</v>
      </c>
      <c r="E460" t="str">
        <f t="shared" si="57"/>
        <v>A</v>
      </c>
      <c r="F460" t="str">
        <f t="shared" si="52"/>
        <v>D</v>
      </c>
      <c r="G460">
        <f t="shared" si="53"/>
        <v>2</v>
      </c>
      <c r="H460">
        <f t="shared" si="54"/>
        <v>3</v>
      </c>
      <c r="I460">
        <f t="shared" si="55"/>
        <v>1</v>
      </c>
      <c r="J460">
        <f t="shared" si="56"/>
        <v>4</v>
      </c>
    </row>
    <row r="461" spans="1:10" x14ac:dyDescent="0.25">
      <c r="A461">
        <v>459</v>
      </c>
      <c r="B461" t="str">
        <f t="shared" si="51"/>
        <v>NOK</v>
      </c>
      <c r="C461" t="str">
        <f t="shared" si="57"/>
        <v>B</v>
      </c>
      <c r="D461" t="str">
        <f t="shared" si="57"/>
        <v>C</v>
      </c>
      <c r="E461" t="str">
        <f t="shared" si="57"/>
        <v>A</v>
      </c>
      <c r="F461" t="str">
        <f t="shared" si="52"/>
        <v>E</v>
      </c>
      <c r="G461">
        <f t="shared" si="53"/>
        <v>2</v>
      </c>
      <c r="H461">
        <f t="shared" si="54"/>
        <v>3</v>
      </c>
      <c r="I461">
        <f t="shared" si="55"/>
        <v>1</v>
      </c>
      <c r="J461">
        <f t="shared" si="56"/>
        <v>5</v>
      </c>
    </row>
    <row r="462" spans="1:10" x14ac:dyDescent="0.25">
      <c r="A462">
        <v>460</v>
      </c>
      <c r="B462" t="str">
        <f t="shared" si="51"/>
        <v>NOK</v>
      </c>
      <c r="C462" t="str">
        <f t="shared" si="57"/>
        <v>B</v>
      </c>
      <c r="D462" t="str">
        <f t="shared" si="57"/>
        <v>C</v>
      </c>
      <c r="E462" t="str">
        <f t="shared" si="57"/>
        <v>A</v>
      </c>
      <c r="F462" t="str">
        <f t="shared" si="52"/>
        <v>F</v>
      </c>
      <c r="G462">
        <f t="shared" si="53"/>
        <v>2</v>
      </c>
      <c r="H462">
        <f t="shared" si="54"/>
        <v>3</v>
      </c>
      <c r="I462">
        <f t="shared" si="55"/>
        <v>1</v>
      </c>
      <c r="J462">
        <f t="shared" si="56"/>
        <v>6</v>
      </c>
    </row>
    <row r="463" spans="1:10" x14ac:dyDescent="0.25">
      <c r="A463">
        <v>461</v>
      </c>
      <c r="B463" t="str">
        <f t="shared" si="51"/>
        <v>NOK</v>
      </c>
      <c r="C463" t="str">
        <f t="shared" si="57"/>
        <v>B</v>
      </c>
      <c r="D463" t="str">
        <f t="shared" si="57"/>
        <v>C</v>
      </c>
      <c r="E463" t="str">
        <f t="shared" si="57"/>
        <v>A</v>
      </c>
      <c r="F463" t="str">
        <f t="shared" si="52"/>
        <v>G</v>
      </c>
      <c r="G463">
        <f t="shared" si="53"/>
        <v>2</v>
      </c>
      <c r="H463">
        <f t="shared" si="54"/>
        <v>3</v>
      </c>
      <c r="I463">
        <f t="shared" si="55"/>
        <v>1</v>
      </c>
      <c r="J463">
        <f t="shared" si="56"/>
        <v>7</v>
      </c>
    </row>
    <row r="464" spans="1:10" x14ac:dyDescent="0.25">
      <c r="A464">
        <v>462</v>
      </c>
      <c r="B464" t="str">
        <f t="shared" si="51"/>
        <v>NOK</v>
      </c>
      <c r="C464" t="str">
        <f t="shared" si="57"/>
        <v>B</v>
      </c>
      <c r="D464" t="str">
        <f t="shared" si="57"/>
        <v>C</v>
      </c>
      <c r="E464" t="str">
        <f t="shared" si="57"/>
        <v>A</v>
      </c>
      <c r="F464" t="str">
        <f t="shared" si="52"/>
        <v>H</v>
      </c>
      <c r="G464">
        <f t="shared" si="53"/>
        <v>2</v>
      </c>
      <c r="H464">
        <f t="shared" si="54"/>
        <v>3</v>
      </c>
      <c r="I464">
        <f t="shared" si="55"/>
        <v>1</v>
      </c>
      <c r="J464">
        <f t="shared" si="56"/>
        <v>8</v>
      </c>
    </row>
    <row r="465" spans="1:10" x14ac:dyDescent="0.25">
      <c r="A465">
        <v>463</v>
      </c>
      <c r="B465" t="str">
        <f t="shared" si="51"/>
        <v>NOK</v>
      </c>
      <c r="C465" t="str">
        <f t="shared" si="57"/>
        <v>B</v>
      </c>
      <c r="D465" t="str">
        <f t="shared" si="57"/>
        <v>C</v>
      </c>
      <c r="E465" t="str">
        <f t="shared" si="57"/>
        <v>A</v>
      </c>
      <c r="F465" t="str">
        <f t="shared" si="52"/>
        <v>I</v>
      </c>
      <c r="G465">
        <f t="shared" si="53"/>
        <v>2</v>
      </c>
      <c r="H465">
        <f t="shared" si="54"/>
        <v>3</v>
      </c>
      <c r="I465">
        <f t="shared" si="55"/>
        <v>1</v>
      </c>
      <c r="J465">
        <f t="shared" si="56"/>
        <v>9</v>
      </c>
    </row>
    <row r="466" spans="1:10" x14ac:dyDescent="0.25">
      <c r="A466">
        <v>464</v>
      </c>
      <c r="B466" t="str">
        <f t="shared" si="51"/>
        <v>NOK</v>
      </c>
      <c r="C466" t="str">
        <f t="shared" si="57"/>
        <v>B</v>
      </c>
      <c r="D466" t="str">
        <f t="shared" si="57"/>
        <v>C</v>
      </c>
      <c r="E466" t="str">
        <f t="shared" si="57"/>
        <v>A</v>
      </c>
      <c r="F466" t="str">
        <f t="shared" si="52"/>
        <v>J</v>
      </c>
      <c r="G466">
        <f t="shared" si="53"/>
        <v>2</v>
      </c>
      <c r="H466">
        <f t="shared" si="54"/>
        <v>3</v>
      </c>
      <c r="I466">
        <f t="shared" si="55"/>
        <v>1</v>
      </c>
      <c r="J466">
        <f t="shared" si="56"/>
        <v>10</v>
      </c>
    </row>
    <row r="467" spans="1:10" x14ac:dyDescent="0.25">
      <c r="A467">
        <v>465</v>
      </c>
      <c r="B467" t="str">
        <f t="shared" si="51"/>
        <v>NOK</v>
      </c>
      <c r="C467" t="str">
        <f t="shared" si="57"/>
        <v>B</v>
      </c>
      <c r="D467" t="str">
        <f t="shared" si="57"/>
        <v>C</v>
      </c>
      <c r="E467" t="str">
        <f t="shared" si="57"/>
        <v>A</v>
      </c>
      <c r="F467" t="str">
        <f t="shared" si="52"/>
        <v>K</v>
      </c>
      <c r="G467">
        <f t="shared" si="53"/>
        <v>2</v>
      </c>
      <c r="H467">
        <f t="shared" si="54"/>
        <v>3</v>
      </c>
      <c r="I467">
        <f t="shared" si="55"/>
        <v>1</v>
      </c>
      <c r="J467">
        <f t="shared" si="56"/>
        <v>11</v>
      </c>
    </row>
    <row r="468" spans="1:10" x14ac:dyDescent="0.25">
      <c r="A468">
        <v>466</v>
      </c>
      <c r="B468" t="str">
        <f t="shared" si="51"/>
        <v>NOK</v>
      </c>
      <c r="C468" t="str">
        <f t="shared" si="57"/>
        <v>B</v>
      </c>
      <c r="D468" t="str">
        <f t="shared" si="57"/>
        <v>C</v>
      </c>
      <c r="E468" t="str">
        <f t="shared" si="57"/>
        <v>A</v>
      </c>
      <c r="F468" t="str">
        <f t="shared" si="52"/>
        <v>L</v>
      </c>
      <c r="G468">
        <f t="shared" si="53"/>
        <v>2</v>
      </c>
      <c r="H468">
        <f t="shared" si="54"/>
        <v>3</v>
      </c>
      <c r="I468">
        <f t="shared" si="55"/>
        <v>1</v>
      </c>
      <c r="J468">
        <f t="shared" si="56"/>
        <v>12</v>
      </c>
    </row>
    <row r="469" spans="1:10" x14ac:dyDescent="0.25">
      <c r="A469">
        <v>467</v>
      </c>
      <c r="B469" t="str">
        <f t="shared" si="51"/>
        <v>NOK</v>
      </c>
      <c r="C469" t="str">
        <f t="shared" si="57"/>
        <v>B</v>
      </c>
      <c r="D469" t="str">
        <f t="shared" si="57"/>
        <v>C</v>
      </c>
      <c r="E469" t="str">
        <f t="shared" si="57"/>
        <v>A</v>
      </c>
      <c r="F469" t="str">
        <f t="shared" si="52"/>
        <v>M</v>
      </c>
      <c r="G469">
        <f t="shared" si="53"/>
        <v>2</v>
      </c>
      <c r="H469">
        <f t="shared" si="54"/>
        <v>3</v>
      </c>
      <c r="I469">
        <f t="shared" si="55"/>
        <v>1</v>
      </c>
      <c r="J469">
        <f t="shared" si="56"/>
        <v>13</v>
      </c>
    </row>
    <row r="470" spans="1:10" x14ac:dyDescent="0.25">
      <c r="A470">
        <v>468</v>
      </c>
      <c r="B470" t="str">
        <f t="shared" si="51"/>
        <v>NOK</v>
      </c>
      <c r="C470" t="str">
        <f t="shared" si="57"/>
        <v>B</v>
      </c>
      <c r="D470" t="str">
        <f t="shared" si="57"/>
        <v>C</v>
      </c>
      <c r="E470" t="str">
        <f t="shared" si="57"/>
        <v>B</v>
      </c>
      <c r="F470" t="str">
        <f t="shared" si="52"/>
        <v>A</v>
      </c>
      <c r="G470">
        <f t="shared" si="53"/>
        <v>2</v>
      </c>
      <c r="H470">
        <f t="shared" si="54"/>
        <v>3</v>
      </c>
      <c r="I470">
        <f t="shared" si="55"/>
        <v>2</v>
      </c>
      <c r="J470">
        <f t="shared" si="56"/>
        <v>1</v>
      </c>
    </row>
    <row r="471" spans="1:10" x14ac:dyDescent="0.25">
      <c r="A471">
        <v>469</v>
      </c>
      <c r="B471" t="str">
        <f t="shared" si="51"/>
        <v>NOK</v>
      </c>
      <c r="C471" t="str">
        <f t="shared" si="57"/>
        <v>B</v>
      </c>
      <c r="D471" t="str">
        <f t="shared" si="57"/>
        <v>C</v>
      </c>
      <c r="E471" t="str">
        <f t="shared" si="57"/>
        <v>B</v>
      </c>
      <c r="F471" t="str">
        <f t="shared" si="52"/>
        <v>B</v>
      </c>
      <c r="G471">
        <f t="shared" si="53"/>
        <v>2</v>
      </c>
      <c r="H471">
        <f t="shared" si="54"/>
        <v>3</v>
      </c>
      <c r="I471">
        <f t="shared" si="55"/>
        <v>2</v>
      </c>
      <c r="J471">
        <f t="shared" si="56"/>
        <v>2</v>
      </c>
    </row>
    <row r="472" spans="1:10" x14ac:dyDescent="0.25">
      <c r="A472">
        <v>470</v>
      </c>
      <c r="B472" t="str">
        <f t="shared" si="51"/>
        <v>NOK</v>
      </c>
      <c r="C472" t="str">
        <f t="shared" si="57"/>
        <v>B</v>
      </c>
      <c r="D472" t="str">
        <f t="shared" si="57"/>
        <v>C</v>
      </c>
      <c r="E472" t="str">
        <f t="shared" si="57"/>
        <v>B</v>
      </c>
      <c r="F472" t="str">
        <f t="shared" si="52"/>
        <v>C</v>
      </c>
      <c r="G472">
        <f t="shared" si="53"/>
        <v>2</v>
      </c>
      <c r="H472">
        <f t="shared" si="54"/>
        <v>3</v>
      </c>
      <c r="I472">
        <f t="shared" si="55"/>
        <v>2</v>
      </c>
      <c r="J472">
        <f t="shared" si="56"/>
        <v>3</v>
      </c>
    </row>
    <row r="473" spans="1:10" x14ac:dyDescent="0.25">
      <c r="A473">
        <v>471</v>
      </c>
      <c r="B473" t="str">
        <f t="shared" si="51"/>
        <v>NOK</v>
      </c>
      <c r="C473" t="str">
        <f t="shared" si="57"/>
        <v>B</v>
      </c>
      <c r="D473" t="str">
        <f t="shared" si="57"/>
        <v>C</v>
      </c>
      <c r="E473" t="str">
        <f t="shared" si="57"/>
        <v>B</v>
      </c>
      <c r="F473" t="str">
        <f t="shared" si="52"/>
        <v>D</v>
      </c>
      <c r="G473">
        <f t="shared" si="53"/>
        <v>2</v>
      </c>
      <c r="H473">
        <f t="shared" si="54"/>
        <v>3</v>
      </c>
      <c r="I473">
        <f t="shared" si="55"/>
        <v>2</v>
      </c>
      <c r="J473">
        <f t="shared" si="56"/>
        <v>4</v>
      </c>
    </row>
    <row r="474" spans="1:10" x14ac:dyDescent="0.25">
      <c r="A474">
        <v>472</v>
      </c>
      <c r="B474" t="str">
        <f t="shared" si="51"/>
        <v>OK</v>
      </c>
      <c r="C474" t="str">
        <f t="shared" si="57"/>
        <v>B</v>
      </c>
      <c r="D474" t="str">
        <f t="shared" si="57"/>
        <v>C</v>
      </c>
      <c r="E474" t="str">
        <f t="shared" si="57"/>
        <v>B</v>
      </c>
      <c r="F474" t="str">
        <f t="shared" si="52"/>
        <v>E</v>
      </c>
      <c r="G474">
        <f t="shared" si="53"/>
        <v>2</v>
      </c>
      <c r="H474">
        <f t="shared" si="54"/>
        <v>3</v>
      </c>
      <c r="I474">
        <f t="shared" si="55"/>
        <v>2</v>
      </c>
      <c r="J474">
        <f t="shared" si="56"/>
        <v>5</v>
      </c>
    </row>
    <row r="475" spans="1:10" x14ac:dyDescent="0.25">
      <c r="A475">
        <v>473</v>
      </c>
      <c r="B475" t="str">
        <f t="shared" si="51"/>
        <v>NOK</v>
      </c>
      <c r="C475" t="str">
        <f t="shared" si="57"/>
        <v>B</v>
      </c>
      <c r="D475" t="str">
        <f t="shared" si="57"/>
        <v>C</v>
      </c>
      <c r="E475" t="str">
        <f t="shared" si="57"/>
        <v>B</v>
      </c>
      <c r="F475" t="str">
        <f t="shared" si="52"/>
        <v>F</v>
      </c>
      <c r="G475">
        <f t="shared" si="53"/>
        <v>2</v>
      </c>
      <c r="H475">
        <f t="shared" si="54"/>
        <v>3</v>
      </c>
      <c r="I475">
        <f t="shared" si="55"/>
        <v>2</v>
      </c>
      <c r="J475">
        <f t="shared" si="56"/>
        <v>6</v>
      </c>
    </row>
    <row r="476" spans="1:10" x14ac:dyDescent="0.25">
      <c r="A476">
        <v>474</v>
      </c>
      <c r="B476" t="str">
        <f t="shared" si="51"/>
        <v>NOK</v>
      </c>
      <c r="C476" t="str">
        <f t="shared" si="57"/>
        <v>B</v>
      </c>
      <c r="D476" t="str">
        <f t="shared" si="57"/>
        <v>C</v>
      </c>
      <c r="E476" t="str">
        <f t="shared" si="57"/>
        <v>B</v>
      </c>
      <c r="F476" t="str">
        <f t="shared" si="52"/>
        <v>G</v>
      </c>
      <c r="G476">
        <f t="shared" si="53"/>
        <v>2</v>
      </c>
      <c r="H476">
        <f t="shared" si="54"/>
        <v>3</v>
      </c>
      <c r="I476">
        <f t="shared" si="55"/>
        <v>2</v>
      </c>
      <c r="J476">
        <f t="shared" si="56"/>
        <v>7</v>
      </c>
    </row>
    <row r="477" spans="1:10" x14ac:dyDescent="0.25">
      <c r="A477">
        <v>475</v>
      </c>
      <c r="B477" t="str">
        <f t="shared" si="51"/>
        <v>NOK</v>
      </c>
      <c r="C477" t="str">
        <f t="shared" si="57"/>
        <v>B</v>
      </c>
      <c r="D477" t="str">
        <f t="shared" si="57"/>
        <v>C</v>
      </c>
      <c r="E477" t="str">
        <f t="shared" si="57"/>
        <v>B</v>
      </c>
      <c r="F477" t="str">
        <f t="shared" si="52"/>
        <v>H</v>
      </c>
      <c r="G477">
        <f t="shared" si="53"/>
        <v>2</v>
      </c>
      <c r="H477">
        <f t="shared" si="54"/>
        <v>3</v>
      </c>
      <c r="I477">
        <f t="shared" si="55"/>
        <v>2</v>
      </c>
      <c r="J477">
        <f t="shared" si="56"/>
        <v>8</v>
      </c>
    </row>
    <row r="478" spans="1:10" x14ac:dyDescent="0.25">
      <c r="A478">
        <v>476</v>
      </c>
      <c r="B478" t="str">
        <f t="shared" si="51"/>
        <v>NOK</v>
      </c>
      <c r="C478" t="str">
        <f t="shared" si="57"/>
        <v>B</v>
      </c>
      <c r="D478" t="str">
        <f t="shared" si="57"/>
        <v>C</v>
      </c>
      <c r="E478" t="str">
        <f t="shared" si="57"/>
        <v>B</v>
      </c>
      <c r="F478" t="str">
        <f t="shared" si="52"/>
        <v>I</v>
      </c>
      <c r="G478">
        <f t="shared" si="53"/>
        <v>2</v>
      </c>
      <c r="H478">
        <f t="shared" si="54"/>
        <v>3</v>
      </c>
      <c r="I478">
        <f t="shared" si="55"/>
        <v>2</v>
      </c>
      <c r="J478">
        <f t="shared" si="56"/>
        <v>9</v>
      </c>
    </row>
    <row r="479" spans="1:10" x14ac:dyDescent="0.25">
      <c r="A479">
        <v>477</v>
      </c>
      <c r="B479" t="str">
        <f t="shared" si="51"/>
        <v>NOK</v>
      </c>
      <c r="C479" t="str">
        <f t="shared" si="57"/>
        <v>B</v>
      </c>
      <c r="D479" t="str">
        <f t="shared" si="57"/>
        <v>C</v>
      </c>
      <c r="E479" t="str">
        <f t="shared" si="57"/>
        <v>B</v>
      </c>
      <c r="F479" t="str">
        <f t="shared" si="52"/>
        <v>J</v>
      </c>
      <c r="G479">
        <f t="shared" si="53"/>
        <v>2</v>
      </c>
      <c r="H479">
        <f t="shared" si="54"/>
        <v>3</v>
      </c>
      <c r="I479">
        <f t="shared" si="55"/>
        <v>2</v>
      </c>
      <c r="J479">
        <f t="shared" si="56"/>
        <v>10</v>
      </c>
    </row>
    <row r="480" spans="1:10" x14ac:dyDescent="0.25">
      <c r="A480">
        <v>478</v>
      </c>
      <c r="B480" t="str">
        <f t="shared" si="51"/>
        <v>NOK</v>
      </c>
      <c r="C480" t="str">
        <f t="shared" si="57"/>
        <v>B</v>
      </c>
      <c r="D480" t="str">
        <f t="shared" si="57"/>
        <v>C</v>
      </c>
      <c r="E480" t="str">
        <f t="shared" si="57"/>
        <v>B</v>
      </c>
      <c r="F480" t="str">
        <f t="shared" si="52"/>
        <v>K</v>
      </c>
      <c r="G480">
        <f t="shared" si="53"/>
        <v>2</v>
      </c>
      <c r="H480">
        <f t="shared" si="54"/>
        <v>3</v>
      </c>
      <c r="I480">
        <f t="shared" si="55"/>
        <v>2</v>
      </c>
      <c r="J480">
        <f t="shared" si="56"/>
        <v>11</v>
      </c>
    </row>
    <row r="481" spans="1:10" x14ac:dyDescent="0.25">
      <c r="A481">
        <v>479</v>
      </c>
      <c r="B481" t="str">
        <f t="shared" si="51"/>
        <v>NOK</v>
      </c>
      <c r="C481" t="str">
        <f t="shared" si="57"/>
        <v>B</v>
      </c>
      <c r="D481" t="str">
        <f t="shared" si="57"/>
        <v>C</v>
      </c>
      <c r="E481" t="str">
        <f t="shared" si="57"/>
        <v>B</v>
      </c>
      <c r="F481" t="str">
        <f t="shared" si="52"/>
        <v>L</v>
      </c>
      <c r="G481">
        <f t="shared" si="53"/>
        <v>2</v>
      </c>
      <c r="H481">
        <f t="shared" si="54"/>
        <v>3</v>
      </c>
      <c r="I481">
        <f t="shared" si="55"/>
        <v>2</v>
      </c>
      <c r="J481">
        <f t="shared" si="56"/>
        <v>12</v>
      </c>
    </row>
    <row r="482" spans="1:10" x14ac:dyDescent="0.25">
      <c r="A482">
        <v>480</v>
      </c>
      <c r="B482" t="str">
        <f t="shared" si="51"/>
        <v>NOK</v>
      </c>
      <c r="C482" t="str">
        <f t="shared" si="57"/>
        <v>B</v>
      </c>
      <c r="D482" t="str">
        <f t="shared" si="57"/>
        <v>C</v>
      </c>
      <c r="E482" t="str">
        <f t="shared" si="57"/>
        <v>B</v>
      </c>
      <c r="F482" t="str">
        <f t="shared" si="52"/>
        <v>M</v>
      </c>
      <c r="G482">
        <f t="shared" si="53"/>
        <v>2</v>
      </c>
      <c r="H482">
        <f t="shared" si="54"/>
        <v>3</v>
      </c>
      <c r="I482">
        <f t="shared" si="55"/>
        <v>2</v>
      </c>
      <c r="J482">
        <f t="shared" si="56"/>
        <v>13</v>
      </c>
    </row>
    <row r="483" spans="1:10" x14ac:dyDescent="0.25">
      <c r="A483">
        <v>481</v>
      </c>
      <c r="B483" t="str">
        <f t="shared" si="51"/>
        <v>NOK</v>
      </c>
      <c r="C483" t="str">
        <f t="shared" si="57"/>
        <v>B</v>
      </c>
      <c r="D483" t="str">
        <f t="shared" si="57"/>
        <v>C</v>
      </c>
      <c r="E483" t="str">
        <f t="shared" si="57"/>
        <v>C</v>
      </c>
      <c r="F483" t="str">
        <f t="shared" si="52"/>
        <v>A</v>
      </c>
      <c r="G483">
        <f t="shared" si="53"/>
        <v>2</v>
      </c>
      <c r="H483">
        <f t="shared" si="54"/>
        <v>3</v>
      </c>
      <c r="I483">
        <f t="shared" si="55"/>
        <v>3</v>
      </c>
      <c r="J483">
        <f t="shared" si="56"/>
        <v>1</v>
      </c>
    </row>
    <row r="484" spans="1:10" x14ac:dyDescent="0.25">
      <c r="A484">
        <v>482</v>
      </c>
      <c r="B484" t="str">
        <f t="shared" si="51"/>
        <v>NOK</v>
      </c>
      <c r="C484" t="str">
        <f t="shared" si="57"/>
        <v>B</v>
      </c>
      <c r="D484" t="str">
        <f t="shared" si="57"/>
        <v>C</v>
      </c>
      <c r="E484" t="str">
        <f t="shared" si="57"/>
        <v>C</v>
      </c>
      <c r="F484" t="str">
        <f t="shared" si="52"/>
        <v>B</v>
      </c>
      <c r="G484">
        <f t="shared" si="53"/>
        <v>2</v>
      </c>
      <c r="H484">
        <f t="shared" si="54"/>
        <v>3</v>
      </c>
      <c r="I484">
        <f t="shared" si="55"/>
        <v>3</v>
      </c>
      <c r="J484">
        <f t="shared" si="56"/>
        <v>2</v>
      </c>
    </row>
    <row r="485" spans="1:10" x14ac:dyDescent="0.25">
      <c r="A485">
        <v>483</v>
      </c>
      <c r="B485" t="str">
        <f t="shared" si="51"/>
        <v>NOK</v>
      </c>
      <c r="C485" t="str">
        <f t="shared" si="57"/>
        <v>B</v>
      </c>
      <c r="D485" t="str">
        <f t="shared" si="57"/>
        <v>C</v>
      </c>
      <c r="E485" t="str">
        <f t="shared" si="57"/>
        <v>C</v>
      </c>
      <c r="F485" t="str">
        <f t="shared" si="52"/>
        <v>C</v>
      </c>
      <c r="G485">
        <f t="shared" si="53"/>
        <v>2</v>
      </c>
      <c r="H485">
        <f t="shared" si="54"/>
        <v>3</v>
      </c>
      <c r="I485">
        <f t="shared" si="55"/>
        <v>3</v>
      </c>
      <c r="J485">
        <f t="shared" si="56"/>
        <v>3</v>
      </c>
    </row>
    <row r="486" spans="1:10" x14ac:dyDescent="0.25">
      <c r="A486">
        <v>484</v>
      </c>
      <c r="B486" t="str">
        <f t="shared" si="51"/>
        <v>NOK</v>
      </c>
      <c r="C486" t="str">
        <f t="shared" si="57"/>
        <v>B</v>
      </c>
      <c r="D486" t="str">
        <f t="shared" si="57"/>
        <v>C</v>
      </c>
      <c r="E486" t="str">
        <f t="shared" si="57"/>
        <v>C</v>
      </c>
      <c r="F486" t="str">
        <f t="shared" si="52"/>
        <v>D</v>
      </c>
      <c r="G486">
        <f t="shared" si="53"/>
        <v>2</v>
      </c>
      <c r="H486">
        <f t="shared" si="54"/>
        <v>3</v>
      </c>
      <c r="I486">
        <f t="shared" si="55"/>
        <v>3</v>
      </c>
      <c r="J486">
        <f t="shared" si="56"/>
        <v>4</v>
      </c>
    </row>
    <row r="487" spans="1:10" x14ac:dyDescent="0.25">
      <c r="A487">
        <v>485</v>
      </c>
      <c r="B487" t="str">
        <f t="shared" si="51"/>
        <v>NOK</v>
      </c>
      <c r="C487" t="str">
        <f t="shared" si="57"/>
        <v>B</v>
      </c>
      <c r="D487" t="str">
        <f t="shared" si="57"/>
        <v>C</v>
      </c>
      <c r="E487" t="str">
        <f t="shared" si="57"/>
        <v>C</v>
      </c>
      <c r="F487" t="str">
        <f t="shared" si="52"/>
        <v>E</v>
      </c>
      <c r="G487">
        <f t="shared" si="53"/>
        <v>2</v>
      </c>
      <c r="H487">
        <f t="shared" si="54"/>
        <v>3</v>
      </c>
      <c r="I487">
        <f t="shared" si="55"/>
        <v>3</v>
      </c>
      <c r="J487">
        <f t="shared" si="56"/>
        <v>5</v>
      </c>
    </row>
    <row r="488" spans="1:10" x14ac:dyDescent="0.25">
      <c r="A488">
        <v>486</v>
      </c>
      <c r="B488" t="str">
        <f t="shared" si="51"/>
        <v>OK</v>
      </c>
      <c r="C488" t="str">
        <f t="shared" si="57"/>
        <v>B</v>
      </c>
      <c r="D488" t="str">
        <f t="shared" si="57"/>
        <v>C</v>
      </c>
      <c r="E488" t="str">
        <f t="shared" si="57"/>
        <v>C</v>
      </c>
      <c r="F488" t="str">
        <f t="shared" si="52"/>
        <v>F</v>
      </c>
      <c r="G488">
        <f t="shared" si="53"/>
        <v>2</v>
      </c>
      <c r="H488">
        <f t="shared" si="54"/>
        <v>3</v>
      </c>
      <c r="I488">
        <f t="shared" si="55"/>
        <v>3</v>
      </c>
      <c r="J488">
        <f t="shared" si="56"/>
        <v>6</v>
      </c>
    </row>
    <row r="489" spans="1:10" x14ac:dyDescent="0.25">
      <c r="A489">
        <v>487</v>
      </c>
      <c r="B489" t="str">
        <f t="shared" si="51"/>
        <v>NOK</v>
      </c>
      <c r="C489" t="str">
        <f t="shared" si="57"/>
        <v>B</v>
      </c>
      <c r="D489" t="str">
        <f t="shared" si="57"/>
        <v>C</v>
      </c>
      <c r="E489" t="str">
        <f t="shared" si="57"/>
        <v>C</v>
      </c>
      <c r="F489" t="str">
        <f t="shared" si="52"/>
        <v>G</v>
      </c>
      <c r="G489">
        <f t="shared" si="53"/>
        <v>2</v>
      </c>
      <c r="H489">
        <f t="shared" si="54"/>
        <v>3</v>
      </c>
      <c r="I489">
        <f t="shared" si="55"/>
        <v>3</v>
      </c>
      <c r="J489">
        <f t="shared" si="56"/>
        <v>7</v>
      </c>
    </row>
    <row r="490" spans="1:10" x14ac:dyDescent="0.25">
      <c r="A490">
        <v>488</v>
      </c>
      <c r="B490" t="str">
        <f t="shared" si="51"/>
        <v>NOK</v>
      </c>
      <c r="C490" t="str">
        <f t="shared" si="57"/>
        <v>B</v>
      </c>
      <c r="D490" t="str">
        <f t="shared" si="57"/>
        <v>C</v>
      </c>
      <c r="E490" t="str">
        <f t="shared" si="57"/>
        <v>C</v>
      </c>
      <c r="F490" t="str">
        <f t="shared" si="52"/>
        <v>H</v>
      </c>
      <c r="G490">
        <f t="shared" si="53"/>
        <v>2</v>
      </c>
      <c r="H490">
        <f t="shared" si="54"/>
        <v>3</v>
      </c>
      <c r="I490">
        <f t="shared" si="55"/>
        <v>3</v>
      </c>
      <c r="J490">
        <f t="shared" si="56"/>
        <v>8</v>
      </c>
    </row>
    <row r="491" spans="1:10" x14ac:dyDescent="0.25">
      <c r="A491">
        <v>489</v>
      </c>
      <c r="B491" t="str">
        <f t="shared" si="51"/>
        <v>NOK</v>
      </c>
      <c r="C491" t="str">
        <f t="shared" si="57"/>
        <v>B</v>
      </c>
      <c r="D491" t="str">
        <f t="shared" si="57"/>
        <v>C</v>
      </c>
      <c r="E491" t="str">
        <f t="shared" si="57"/>
        <v>C</v>
      </c>
      <c r="F491" t="str">
        <f t="shared" si="52"/>
        <v>I</v>
      </c>
      <c r="G491">
        <f t="shared" si="53"/>
        <v>2</v>
      </c>
      <c r="H491">
        <f t="shared" si="54"/>
        <v>3</v>
      </c>
      <c r="I491">
        <f t="shared" si="55"/>
        <v>3</v>
      </c>
      <c r="J491">
        <f t="shared" si="56"/>
        <v>9</v>
      </c>
    </row>
    <row r="492" spans="1:10" x14ac:dyDescent="0.25">
      <c r="A492">
        <v>490</v>
      </c>
      <c r="B492" t="str">
        <f t="shared" si="51"/>
        <v>NOK</v>
      </c>
      <c r="C492" t="str">
        <f t="shared" si="57"/>
        <v>B</v>
      </c>
      <c r="D492" t="str">
        <f t="shared" si="57"/>
        <v>C</v>
      </c>
      <c r="E492" t="str">
        <f t="shared" si="57"/>
        <v>C</v>
      </c>
      <c r="F492" t="str">
        <f t="shared" si="52"/>
        <v>J</v>
      </c>
      <c r="G492">
        <f t="shared" si="53"/>
        <v>2</v>
      </c>
      <c r="H492">
        <f t="shared" si="54"/>
        <v>3</v>
      </c>
      <c r="I492">
        <f t="shared" si="55"/>
        <v>3</v>
      </c>
      <c r="J492">
        <f t="shared" si="56"/>
        <v>10</v>
      </c>
    </row>
    <row r="493" spans="1:10" x14ac:dyDescent="0.25">
      <c r="A493">
        <v>491</v>
      </c>
      <c r="B493" t="str">
        <f t="shared" si="51"/>
        <v>NOK</v>
      </c>
      <c r="C493" t="str">
        <f t="shared" si="57"/>
        <v>B</v>
      </c>
      <c r="D493" t="str">
        <f t="shared" si="57"/>
        <v>C</v>
      </c>
      <c r="E493" t="str">
        <f t="shared" si="57"/>
        <v>C</v>
      </c>
      <c r="F493" t="str">
        <f t="shared" si="52"/>
        <v>K</v>
      </c>
      <c r="G493">
        <f t="shared" si="53"/>
        <v>2</v>
      </c>
      <c r="H493">
        <f t="shared" si="54"/>
        <v>3</v>
      </c>
      <c r="I493">
        <f t="shared" si="55"/>
        <v>3</v>
      </c>
      <c r="J493">
        <f t="shared" si="56"/>
        <v>11</v>
      </c>
    </row>
    <row r="494" spans="1:10" x14ac:dyDescent="0.25">
      <c r="A494">
        <v>492</v>
      </c>
      <c r="B494" t="str">
        <f t="shared" si="51"/>
        <v>NOK</v>
      </c>
      <c r="C494" t="str">
        <f t="shared" si="57"/>
        <v>B</v>
      </c>
      <c r="D494" t="str">
        <f t="shared" si="57"/>
        <v>C</v>
      </c>
      <c r="E494" t="str">
        <f t="shared" si="57"/>
        <v>C</v>
      </c>
      <c r="F494" t="str">
        <f t="shared" si="52"/>
        <v>L</v>
      </c>
      <c r="G494">
        <f t="shared" si="53"/>
        <v>2</v>
      </c>
      <c r="H494">
        <f t="shared" si="54"/>
        <v>3</v>
      </c>
      <c r="I494">
        <f t="shared" si="55"/>
        <v>3</v>
      </c>
      <c r="J494">
        <f t="shared" si="56"/>
        <v>12</v>
      </c>
    </row>
    <row r="495" spans="1:10" x14ac:dyDescent="0.25">
      <c r="A495">
        <v>493</v>
      </c>
      <c r="B495" t="str">
        <f t="shared" si="51"/>
        <v>NOK</v>
      </c>
      <c r="C495" t="str">
        <f t="shared" si="57"/>
        <v>B</v>
      </c>
      <c r="D495" t="str">
        <f t="shared" si="57"/>
        <v>C</v>
      </c>
      <c r="E495" t="str">
        <f t="shared" si="57"/>
        <v>C</v>
      </c>
      <c r="F495" t="str">
        <f t="shared" si="52"/>
        <v>M</v>
      </c>
      <c r="G495">
        <f t="shared" si="53"/>
        <v>2</v>
      </c>
      <c r="H495">
        <f t="shared" si="54"/>
        <v>3</v>
      </c>
      <c r="I495">
        <f t="shared" si="55"/>
        <v>3</v>
      </c>
      <c r="J495">
        <f t="shared" si="56"/>
        <v>13</v>
      </c>
    </row>
    <row r="496" spans="1:10" x14ac:dyDescent="0.25">
      <c r="A496">
        <v>494</v>
      </c>
      <c r="B496" t="str">
        <f t="shared" si="51"/>
        <v>NOK</v>
      </c>
      <c r="C496" t="str">
        <f t="shared" si="57"/>
        <v>B</v>
      </c>
      <c r="D496" t="str">
        <f t="shared" si="57"/>
        <v>C</v>
      </c>
      <c r="E496" t="str">
        <f t="shared" si="57"/>
        <v>D</v>
      </c>
      <c r="F496" t="str">
        <f t="shared" si="52"/>
        <v>A</v>
      </c>
      <c r="G496">
        <f t="shared" si="53"/>
        <v>2</v>
      </c>
      <c r="H496">
        <f t="shared" si="54"/>
        <v>3</v>
      </c>
      <c r="I496">
        <f t="shared" si="55"/>
        <v>4</v>
      </c>
      <c r="J496">
        <f t="shared" si="56"/>
        <v>1</v>
      </c>
    </row>
    <row r="497" spans="1:10" x14ac:dyDescent="0.25">
      <c r="A497">
        <v>495</v>
      </c>
      <c r="B497" t="str">
        <f t="shared" si="51"/>
        <v>NOK</v>
      </c>
      <c r="C497" t="str">
        <f t="shared" si="57"/>
        <v>B</v>
      </c>
      <c r="D497" t="str">
        <f t="shared" si="57"/>
        <v>C</v>
      </c>
      <c r="E497" t="str">
        <f t="shared" si="57"/>
        <v>D</v>
      </c>
      <c r="F497" t="str">
        <f t="shared" si="52"/>
        <v>B</v>
      </c>
      <c r="G497">
        <f t="shared" si="53"/>
        <v>2</v>
      </c>
      <c r="H497">
        <f t="shared" si="54"/>
        <v>3</v>
      </c>
      <c r="I497">
        <f t="shared" si="55"/>
        <v>4</v>
      </c>
      <c r="J497">
        <f t="shared" si="56"/>
        <v>2</v>
      </c>
    </row>
    <row r="498" spans="1:10" x14ac:dyDescent="0.25">
      <c r="A498">
        <v>496</v>
      </c>
      <c r="B498" t="str">
        <f t="shared" si="51"/>
        <v>NOK</v>
      </c>
      <c r="C498" t="str">
        <f t="shared" si="57"/>
        <v>B</v>
      </c>
      <c r="D498" t="str">
        <f t="shared" si="57"/>
        <v>C</v>
      </c>
      <c r="E498" t="str">
        <f t="shared" si="57"/>
        <v>D</v>
      </c>
      <c r="F498" t="str">
        <f t="shared" si="52"/>
        <v>C</v>
      </c>
      <c r="G498">
        <f t="shared" si="53"/>
        <v>2</v>
      </c>
      <c r="H498">
        <f t="shared" si="54"/>
        <v>3</v>
      </c>
      <c r="I498">
        <f t="shared" si="55"/>
        <v>4</v>
      </c>
      <c r="J498">
        <f t="shared" si="56"/>
        <v>3</v>
      </c>
    </row>
    <row r="499" spans="1:10" x14ac:dyDescent="0.25">
      <c r="A499">
        <v>497</v>
      </c>
      <c r="B499" t="str">
        <f t="shared" si="51"/>
        <v>NOK</v>
      </c>
      <c r="C499" t="str">
        <f t="shared" si="57"/>
        <v>B</v>
      </c>
      <c r="D499" t="str">
        <f t="shared" si="57"/>
        <v>C</v>
      </c>
      <c r="E499" t="str">
        <f t="shared" si="57"/>
        <v>D</v>
      </c>
      <c r="F499" t="str">
        <f t="shared" si="52"/>
        <v>D</v>
      </c>
      <c r="G499">
        <f t="shared" si="53"/>
        <v>2</v>
      </c>
      <c r="H499">
        <f t="shared" si="54"/>
        <v>3</v>
      </c>
      <c r="I499">
        <f t="shared" si="55"/>
        <v>4</v>
      </c>
      <c r="J499">
        <f t="shared" si="56"/>
        <v>4</v>
      </c>
    </row>
    <row r="500" spans="1:10" x14ac:dyDescent="0.25">
      <c r="A500">
        <v>498</v>
      </c>
      <c r="B500" t="str">
        <f t="shared" si="51"/>
        <v>NOK</v>
      </c>
      <c r="C500" t="str">
        <f t="shared" si="57"/>
        <v>B</v>
      </c>
      <c r="D500" t="str">
        <f t="shared" si="57"/>
        <v>C</v>
      </c>
      <c r="E500" t="str">
        <f t="shared" si="57"/>
        <v>D</v>
      </c>
      <c r="F500" t="str">
        <f t="shared" si="52"/>
        <v>E</v>
      </c>
      <c r="G500">
        <f t="shared" si="53"/>
        <v>2</v>
      </c>
      <c r="H500">
        <f t="shared" si="54"/>
        <v>3</v>
      </c>
      <c r="I500">
        <f t="shared" si="55"/>
        <v>4</v>
      </c>
      <c r="J500">
        <f t="shared" si="56"/>
        <v>5</v>
      </c>
    </row>
    <row r="501" spans="1:10" x14ac:dyDescent="0.25">
      <c r="A501">
        <v>499</v>
      </c>
      <c r="B501" t="str">
        <f t="shared" si="51"/>
        <v>NOK</v>
      </c>
      <c r="C501" t="str">
        <f t="shared" si="57"/>
        <v>B</v>
      </c>
      <c r="D501" t="str">
        <f t="shared" si="57"/>
        <v>C</v>
      </c>
      <c r="E501" t="str">
        <f t="shared" si="57"/>
        <v>D</v>
      </c>
      <c r="F501" t="str">
        <f t="shared" si="52"/>
        <v>F</v>
      </c>
      <c r="G501">
        <f t="shared" si="53"/>
        <v>2</v>
      </c>
      <c r="H501">
        <f t="shared" si="54"/>
        <v>3</v>
      </c>
      <c r="I501">
        <f t="shared" si="55"/>
        <v>4</v>
      </c>
      <c r="J501">
        <f t="shared" si="56"/>
        <v>6</v>
      </c>
    </row>
    <row r="502" spans="1:10" x14ac:dyDescent="0.25">
      <c r="A502">
        <v>500</v>
      </c>
      <c r="B502" t="str">
        <f t="shared" si="51"/>
        <v>OK</v>
      </c>
      <c r="C502" t="str">
        <f t="shared" si="57"/>
        <v>B</v>
      </c>
      <c r="D502" t="str">
        <f t="shared" si="57"/>
        <v>C</v>
      </c>
      <c r="E502" t="str">
        <f t="shared" si="57"/>
        <v>D</v>
      </c>
      <c r="F502" t="str">
        <f t="shared" si="52"/>
        <v>G</v>
      </c>
      <c r="G502">
        <f t="shared" si="53"/>
        <v>2</v>
      </c>
      <c r="H502">
        <f t="shared" si="54"/>
        <v>3</v>
      </c>
      <c r="I502">
        <f t="shared" si="55"/>
        <v>4</v>
      </c>
      <c r="J502">
        <f t="shared" si="56"/>
        <v>7</v>
      </c>
    </row>
    <row r="503" spans="1:10" x14ac:dyDescent="0.25">
      <c r="A503">
        <v>501</v>
      </c>
      <c r="B503" t="str">
        <f t="shared" si="51"/>
        <v>NOK</v>
      </c>
      <c r="C503" t="str">
        <f t="shared" si="57"/>
        <v>B</v>
      </c>
      <c r="D503" t="str">
        <f t="shared" si="57"/>
        <v>C</v>
      </c>
      <c r="E503" t="str">
        <f t="shared" si="57"/>
        <v>D</v>
      </c>
      <c r="F503" t="str">
        <f t="shared" si="52"/>
        <v>H</v>
      </c>
      <c r="G503">
        <f t="shared" si="53"/>
        <v>2</v>
      </c>
      <c r="H503">
        <f t="shared" si="54"/>
        <v>3</v>
      </c>
      <c r="I503">
        <f t="shared" si="55"/>
        <v>4</v>
      </c>
      <c r="J503">
        <f t="shared" si="56"/>
        <v>8</v>
      </c>
    </row>
    <row r="504" spans="1:10" x14ac:dyDescent="0.25">
      <c r="A504">
        <v>502</v>
      </c>
      <c r="B504" t="str">
        <f t="shared" si="51"/>
        <v>NOK</v>
      </c>
      <c r="C504" t="str">
        <f t="shared" si="57"/>
        <v>B</v>
      </c>
      <c r="D504" t="str">
        <f t="shared" si="57"/>
        <v>C</v>
      </c>
      <c r="E504" t="str">
        <f t="shared" si="57"/>
        <v>D</v>
      </c>
      <c r="F504" t="str">
        <f t="shared" si="52"/>
        <v>I</v>
      </c>
      <c r="G504">
        <f t="shared" si="53"/>
        <v>2</v>
      </c>
      <c r="H504">
        <f t="shared" si="54"/>
        <v>3</v>
      </c>
      <c r="I504">
        <f t="shared" si="55"/>
        <v>4</v>
      </c>
      <c r="J504">
        <f t="shared" si="56"/>
        <v>9</v>
      </c>
    </row>
    <row r="505" spans="1:10" x14ac:dyDescent="0.25">
      <c r="A505">
        <v>503</v>
      </c>
      <c r="B505" t="str">
        <f t="shared" si="51"/>
        <v>NOK</v>
      </c>
      <c r="C505" t="str">
        <f t="shared" si="57"/>
        <v>B</v>
      </c>
      <c r="D505" t="str">
        <f t="shared" si="57"/>
        <v>C</v>
      </c>
      <c r="E505" t="str">
        <f t="shared" si="57"/>
        <v>D</v>
      </c>
      <c r="F505" t="str">
        <f t="shared" si="52"/>
        <v>J</v>
      </c>
      <c r="G505">
        <f t="shared" si="53"/>
        <v>2</v>
      </c>
      <c r="H505">
        <f t="shared" si="54"/>
        <v>3</v>
      </c>
      <c r="I505">
        <f t="shared" si="55"/>
        <v>4</v>
      </c>
      <c r="J505">
        <f t="shared" si="56"/>
        <v>10</v>
      </c>
    </row>
    <row r="506" spans="1:10" x14ac:dyDescent="0.25">
      <c r="A506">
        <v>504</v>
      </c>
      <c r="B506" t="str">
        <f t="shared" si="51"/>
        <v>NOK</v>
      </c>
      <c r="C506" t="str">
        <f t="shared" si="57"/>
        <v>B</v>
      </c>
      <c r="D506" t="str">
        <f t="shared" si="57"/>
        <v>C</v>
      </c>
      <c r="E506" t="str">
        <f t="shared" si="57"/>
        <v>D</v>
      </c>
      <c r="F506" t="str">
        <f t="shared" si="52"/>
        <v>K</v>
      </c>
      <c r="G506">
        <f t="shared" si="53"/>
        <v>2</v>
      </c>
      <c r="H506">
        <f t="shared" si="54"/>
        <v>3</v>
      </c>
      <c r="I506">
        <f t="shared" si="55"/>
        <v>4</v>
      </c>
      <c r="J506">
        <f t="shared" si="56"/>
        <v>11</v>
      </c>
    </row>
    <row r="507" spans="1:10" x14ac:dyDescent="0.25">
      <c r="A507">
        <v>505</v>
      </c>
      <c r="B507" t="str">
        <f t="shared" si="51"/>
        <v>NOK</v>
      </c>
      <c r="C507" t="str">
        <f t="shared" si="57"/>
        <v>B</v>
      </c>
      <c r="D507" t="str">
        <f t="shared" si="57"/>
        <v>C</v>
      </c>
      <c r="E507" t="str">
        <f t="shared" si="57"/>
        <v>D</v>
      </c>
      <c r="F507" t="str">
        <f t="shared" si="52"/>
        <v>L</v>
      </c>
      <c r="G507">
        <f t="shared" si="53"/>
        <v>2</v>
      </c>
      <c r="H507">
        <f t="shared" si="54"/>
        <v>3</v>
      </c>
      <c r="I507">
        <f t="shared" si="55"/>
        <v>4</v>
      </c>
      <c r="J507">
        <f t="shared" si="56"/>
        <v>12</v>
      </c>
    </row>
    <row r="508" spans="1:10" x14ac:dyDescent="0.25">
      <c r="A508">
        <v>506</v>
      </c>
      <c r="B508" t="str">
        <f t="shared" si="51"/>
        <v>NOK</v>
      </c>
      <c r="C508" t="str">
        <f t="shared" si="57"/>
        <v>B</v>
      </c>
      <c r="D508" t="str">
        <f t="shared" si="57"/>
        <v>C</v>
      </c>
      <c r="E508" t="str">
        <f t="shared" si="57"/>
        <v>D</v>
      </c>
      <c r="F508" t="str">
        <f t="shared" si="52"/>
        <v>M</v>
      </c>
      <c r="G508">
        <f t="shared" si="53"/>
        <v>2</v>
      </c>
      <c r="H508">
        <f t="shared" si="54"/>
        <v>3</v>
      </c>
      <c r="I508">
        <f t="shared" si="55"/>
        <v>4</v>
      </c>
      <c r="J508">
        <f t="shared" si="56"/>
        <v>13</v>
      </c>
    </row>
    <row r="509" spans="1:10" x14ac:dyDescent="0.25">
      <c r="A509">
        <v>507</v>
      </c>
      <c r="B509" t="str">
        <f t="shared" si="51"/>
        <v>NOK</v>
      </c>
      <c r="C509" t="str">
        <f t="shared" si="57"/>
        <v>B</v>
      </c>
      <c r="D509" t="str">
        <f t="shared" si="57"/>
        <v>C</v>
      </c>
      <c r="E509" t="str">
        <f t="shared" si="57"/>
        <v>E</v>
      </c>
      <c r="F509" t="str">
        <f t="shared" si="52"/>
        <v>A</v>
      </c>
      <c r="G509">
        <f t="shared" si="53"/>
        <v>2</v>
      </c>
      <c r="H509">
        <f t="shared" si="54"/>
        <v>3</v>
      </c>
      <c r="I509">
        <f t="shared" si="55"/>
        <v>5</v>
      </c>
      <c r="J509">
        <f t="shared" si="56"/>
        <v>1</v>
      </c>
    </row>
    <row r="510" spans="1:10" x14ac:dyDescent="0.25">
      <c r="A510">
        <v>508</v>
      </c>
      <c r="B510" t="str">
        <f t="shared" si="51"/>
        <v>NOK</v>
      </c>
      <c r="C510" t="str">
        <f t="shared" si="57"/>
        <v>B</v>
      </c>
      <c r="D510" t="str">
        <f t="shared" si="57"/>
        <v>C</v>
      </c>
      <c r="E510" t="str">
        <f t="shared" si="57"/>
        <v>E</v>
      </c>
      <c r="F510" t="str">
        <f t="shared" si="52"/>
        <v>B</v>
      </c>
      <c r="G510">
        <f t="shared" si="53"/>
        <v>2</v>
      </c>
      <c r="H510">
        <f t="shared" si="54"/>
        <v>3</v>
      </c>
      <c r="I510">
        <f t="shared" si="55"/>
        <v>5</v>
      </c>
      <c r="J510">
        <f t="shared" si="56"/>
        <v>2</v>
      </c>
    </row>
    <row r="511" spans="1:10" x14ac:dyDescent="0.25">
      <c r="A511">
        <v>509</v>
      </c>
      <c r="B511" t="str">
        <f t="shared" si="51"/>
        <v>NOK</v>
      </c>
      <c r="C511" t="str">
        <f t="shared" si="57"/>
        <v>B</v>
      </c>
      <c r="D511" t="str">
        <f t="shared" si="57"/>
        <v>C</v>
      </c>
      <c r="E511" t="str">
        <f t="shared" si="57"/>
        <v>E</v>
      </c>
      <c r="F511" t="str">
        <f t="shared" si="52"/>
        <v>C</v>
      </c>
      <c r="G511">
        <f t="shared" si="53"/>
        <v>2</v>
      </c>
      <c r="H511">
        <f t="shared" si="54"/>
        <v>3</v>
      </c>
      <c r="I511">
        <f t="shared" si="55"/>
        <v>5</v>
      </c>
      <c r="J511">
        <f t="shared" si="56"/>
        <v>3</v>
      </c>
    </row>
    <row r="512" spans="1:10" x14ac:dyDescent="0.25">
      <c r="A512">
        <v>510</v>
      </c>
      <c r="B512" t="str">
        <f t="shared" si="51"/>
        <v>NOK</v>
      </c>
      <c r="C512" t="str">
        <f t="shared" si="57"/>
        <v>B</v>
      </c>
      <c r="D512" t="str">
        <f t="shared" si="57"/>
        <v>C</v>
      </c>
      <c r="E512" t="str">
        <f t="shared" si="57"/>
        <v>E</v>
      </c>
      <c r="F512" t="str">
        <f t="shared" si="52"/>
        <v>D</v>
      </c>
      <c r="G512">
        <f t="shared" si="53"/>
        <v>2</v>
      </c>
      <c r="H512">
        <f t="shared" si="54"/>
        <v>3</v>
      </c>
      <c r="I512">
        <f t="shared" si="55"/>
        <v>5</v>
      </c>
      <c r="J512">
        <f t="shared" si="56"/>
        <v>4</v>
      </c>
    </row>
    <row r="513" spans="1:10" x14ac:dyDescent="0.25">
      <c r="A513">
        <v>511</v>
      </c>
      <c r="B513" t="str">
        <f t="shared" si="51"/>
        <v>NOK</v>
      </c>
      <c r="C513" t="str">
        <f t="shared" si="57"/>
        <v>B</v>
      </c>
      <c r="D513" t="str">
        <f t="shared" si="57"/>
        <v>C</v>
      </c>
      <c r="E513" t="str">
        <f t="shared" si="57"/>
        <v>E</v>
      </c>
      <c r="F513" t="str">
        <f t="shared" si="52"/>
        <v>E</v>
      </c>
      <c r="G513">
        <f t="shared" si="53"/>
        <v>2</v>
      </c>
      <c r="H513">
        <f t="shared" si="54"/>
        <v>3</v>
      </c>
      <c r="I513">
        <f t="shared" si="55"/>
        <v>5</v>
      </c>
      <c r="J513">
        <f t="shared" si="56"/>
        <v>5</v>
      </c>
    </row>
    <row r="514" spans="1:10" x14ac:dyDescent="0.25">
      <c r="A514">
        <v>512</v>
      </c>
      <c r="B514" t="str">
        <f t="shared" ref="B514:B577" si="58">IF(ROUND(_xlfn.XLOOKUP(C514,$U$1:$U$5,$T$1:$T$5,,0,1)+_xlfn.XLOOKUP(D514,$W$1:$W$5,$V$1:$V$5,,0,1)+_xlfn.XLOOKUP(E514,$Y$1:$Y$5,$X$1:$X$5,,0,1)-_xlfn.XLOOKUP(F514,$AA$1:$AA$13,$Z$1:$Z$13,,0,1),3)=0.325,"OK","NOK")</f>
        <v>NOK</v>
      </c>
      <c r="C514" t="str">
        <f t="shared" si="57"/>
        <v>B</v>
      </c>
      <c r="D514" t="str">
        <f t="shared" si="57"/>
        <v>C</v>
      </c>
      <c r="E514" t="str">
        <f t="shared" si="57"/>
        <v>E</v>
      </c>
      <c r="F514" t="str">
        <f t="shared" ref="F514:F577" si="59">IF(J514=1,"A",IF(J514=2,"B",IF(J514=3,"C",IF(J514=4,"D",IF(J514=5,"E",IF(J514=6,"F",IF(J514=7,"G",IF(J514=8,"H",IF(J514=9,"I",IF(J514=10,"J",IF(J514=11,"K",IF(J514=12,"L",IF(J514=13,"M","ERRO")))))))))))))</f>
        <v>F</v>
      </c>
      <c r="G514">
        <f t="shared" ref="G514:G577" si="60">INT($A514/325)+1</f>
        <v>2</v>
      </c>
      <c r="H514">
        <f t="shared" ref="H514:H577" si="61">INT(MOD($A514,325)/65)+1</f>
        <v>3</v>
      </c>
      <c r="I514">
        <f t="shared" ref="I514:I577" si="62">INT(MOD($A514,65)/13)+1</f>
        <v>5</v>
      </c>
      <c r="J514">
        <f t="shared" ref="J514:J577" si="63">MOD($A514,13)+1</f>
        <v>6</v>
      </c>
    </row>
    <row r="515" spans="1:10" x14ac:dyDescent="0.25">
      <c r="A515">
        <v>513</v>
      </c>
      <c r="B515" t="str">
        <f t="shared" si="58"/>
        <v>NOK</v>
      </c>
      <c r="C515" t="str">
        <f t="shared" ref="C515:E578" si="64">IF(G515=1,"A",IF(G515=2,"B",IF(G515=3,"C",IF(G515=4,"D",IF(G515=5,"E","ERRO")))))</f>
        <v>B</v>
      </c>
      <c r="D515" t="str">
        <f t="shared" si="64"/>
        <v>C</v>
      </c>
      <c r="E515" t="str">
        <f t="shared" si="64"/>
        <v>E</v>
      </c>
      <c r="F515" t="str">
        <f t="shared" si="59"/>
        <v>G</v>
      </c>
      <c r="G515">
        <f t="shared" si="60"/>
        <v>2</v>
      </c>
      <c r="H515">
        <f t="shared" si="61"/>
        <v>3</v>
      </c>
      <c r="I515">
        <f t="shared" si="62"/>
        <v>5</v>
      </c>
      <c r="J515">
        <f t="shared" si="63"/>
        <v>7</v>
      </c>
    </row>
    <row r="516" spans="1:10" x14ac:dyDescent="0.25">
      <c r="A516">
        <v>514</v>
      </c>
      <c r="B516" t="str">
        <f t="shared" si="58"/>
        <v>OK</v>
      </c>
      <c r="C516" t="str">
        <f t="shared" si="64"/>
        <v>B</v>
      </c>
      <c r="D516" t="str">
        <f t="shared" si="64"/>
        <v>C</v>
      </c>
      <c r="E516" t="str">
        <f t="shared" si="64"/>
        <v>E</v>
      </c>
      <c r="F516" t="str">
        <f t="shared" si="59"/>
        <v>H</v>
      </c>
      <c r="G516">
        <f t="shared" si="60"/>
        <v>2</v>
      </c>
      <c r="H516">
        <f t="shared" si="61"/>
        <v>3</v>
      </c>
      <c r="I516">
        <f t="shared" si="62"/>
        <v>5</v>
      </c>
      <c r="J516">
        <f t="shared" si="63"/>
        <v>8</v>
      </c>
    </row>
    <row r="517" spans="1:10" x14ac:dyDescent="0.25">
      <c r="A517">
        <v>515</v>
      </c>
      <c r="B517" t="str">
        <f t="shared" si="58"/>
        <v>NOK</v>
      </c>
      <c r="C517" t="str">
        <f t="shared" si="64"/>
        <v>B</v>
      </c>
      <c r="D517" t="str">
        <f t="shared" si="64"/>
        <v>C</v>
      </c>
      <c r="E517" t="str">
        <f t="shared" si="64"/>
        <v>E</v>
      </c>
      <c r="F517" t="str">
        <f t="shared" si="59"/>
        <v>I</v>
      </c>
      <c r="G517">
        <f t="shared" si="60"/>
        <v>2</v>
      </c>
      <c r="H517">
        <f t="shared" si="61"/>
        <v>3</v>
      </c>
      <c r="I517">
        <f t="shared" si="62"/>
        <v>5</v>
      </c>
      <c r="J517">
        <f t="shared" si="63"/>
        <v>9</v>
      </c>
    </row>
    <row r="518" spans="1:10" x14ac:dyDescent="0.25">
      <c r="A518">
        <v>516</v>
      </c>
      <c r="B518" t="str">
        <f t="shared" si="58"/>
        <v>NOK</v>
      </c>
      <c r="C518" t="str">
        <f t="shared" si="64"/>
        <v>B</v>
      </c>
      <c r="D518" t="str">
        <f t="shared" si="64"/>
        <v>C</v>
      </c>
      <c r="E518" t="str">
        <f t="shared" si="64"/>
        <v>E</v>
      </c>
      <c r="F518" t="str">
        <f t="shared" si="59"/>
        <v>J</v>
      </c>
      <c r="G518">
        <f t="shared" si="60"/>
        <v>2</v>
      </c>
      <c r="H518">
        <f t="shared" si="61"/>
        <v>3</v>
      </c>
      <c r="I518">
        <f t="shared" si="62"/>
        <v>5</v>
      </c>
      <c r="J518">
        <f t="shared" si="63"/>
        <v>10</v>
      </c>
    </row>
    <row r="519" spans="1:10" x14ac:dyDescent="0.25">
      <c r="A519">
        <v>517</v>
      </c>
      <c r="B519" t="str">
        <f t="shared" si="58"/>
        <v>NOK</v>
      </c>
      <c r="C519" t="str">
        <f t="shared" si="64"/>
        <v>B</v>
      </c>
      <c r="D519" t="str">
        <f t="shared" si="64"/>
        <v>C</v>
      </c>
      <c r="E519" t="str">
        <f t="shared" si="64"/>
        <v>E</v>
      </c>
      <c r="F519" t="str">
        <f t="shared" si="59"/>
        <v>K</v>
      </c>
      <c r="G519">
        <f t="shared" si="60"/>
        <v>2</v>
      </c>
      <c r="H519">
        <f t="shared" si="61"/>
        <v>3</v>
      </c>
      <c r="I519">
        <f t="shared" si="62"/>
        <v>5</v>
      </c>
      <c r="J519">
        <f t="shared" si="63"/>
        <v>11</v>
      </c>
    </row>
    <row r="520" spans="1:10" x14ac:dyDescent="0.25">
      <c r="A520">
        <v>518</v>
      </c>
      <c r="B520" t="str">
        <f t="shared" si="58"/>
        <v>NOK</v>
      </c>
      <c r="C520" t="str">
        <f t="shared" si="64"/>
        <v>B</v>
      </c>
      <c r="D520" t="str">
        <f t="shared" si="64"/>
        <v>C</v>
      </c>
      <c r="E520" t="str">
        <f t="shared" si="64"/>
        <v>E</v>
      </c>
      <c r="F520" t="str">
        <f t="shared" si="59"/>
        <v>L</v>
      </c>
      <c r="G520">
        <f t="shared" si="60"/>
        <v>2</v>
      </c>
      <c r="H520">
        <f t="shared" si="61"/>
        <v>3</v>
      </c>
      <c r="I520">
        <f t="shared" si="62"/>
        <v>5</v>
      </c>
      <c r="J520">
        <f t="shared" si="63"/>
        <v>12</v>
      </c>
    </row>
    <row r="521" spans="1:10" x14ac:dyDescent="0.25">
      <c r="A521">
        <v>519</v>
      </c>
      <c r="B521" t="str">
        <f t="shared" si="58"/>
        <v>NOK</v>
      </c>
      <c r="C521" t="str">
        <f t="shared" si="64"/>
        <v>B</v>
      </c>
      <c r="D521" t="str">
        <f t="shared" si="64"/>
        <v>C</v>
      </c>
      <c r="E521" t="str">
        <f t="shared" si="64"/>
        <v>E</v>
      </c>
      <c r="F521" t="str">
        <f t="shared" si="59"/>
        <v>M</v>
      </c>
      <c r="G521">
        <f t="shared" si="60"/>
        <v>2</v>
      </c>
      <c r="H521">
        <f t="shared" si="61"/>
        <v>3</v>
      </c>
      <c r="I521">
        <f t="shared" si="62"/>
        <v>5</v>
      </c>
      <c r="J521">
        <f t="shared" si="63"/>
        <v>13</v>
      </c>
    </row>
    <row r="522" spans="1:10" x14ac:dyDescent="0.25">
      <c r="A522">
        <v>520</v>
      </c>
      <c r="B522" t="str">
        <f t="shared" si="58"/>
        <v>NOK</v>
      </c>
      <c r="C522" t="str">
        <f t="shared" si="64"/>
        <v>B</v>
      </c>
      <c r="D522" t="str">
        <f t="shared" si="64"/>
        <v>D</v>
      </c>
      <c r="E522" t="str">
        <f t="shared" si="64"/>
        <v>A</v>
      </c>
      <c r="F522" t="str">
        <f t="shared" si="59"/>
        <v>A</v>
      </c>
      <c r="G522">
        <f t="shared" si="60"/>
        <v>2</v>
      </c>
      <c r="H522">
        <f t="shared" si="61"/>
        <v>4</v>
      </c>
      <c r="I522">
        <f t="shared" si="62"/>
        <v>1</v>
      </c>
      <c r="J522">
        <f t="shared" si="63"/>
        <v>1</v>
      </c>
    </row>
    <row r="523" spans="1:10" x14ac:dyDescent="0.25">
      <c r="A523">
        <v>521</v>
      </c>
      <c r="B523" t="str">
        <f t="shared" si="58"/>
        <v>NOK</v>
      </c>
      <c r="C523" t="str">
        <f t="shared" si="64"/>
        <v>B</v>
      </c>
      <c r="D523" t="str">
        <f t="shared" si="64"/>
        <v>D</v>
      </c>
      <c r="E523" t="str">
        <f t="shared" si="64"/>
        <v>A</v>
      </c>
      <c r="F523" t="str">
        <f t="shared" si="59"/>
        <v>B</v>
      </c>
      <c r="G523">
        <f t="shared" si="60"/>
        <v>2</v>
      </c>
      <c r="H523">
        <f t="shared" si="61"/>
        <v>4</v>
      </c>
      <c r="I523">
        <f t="shared" si="62"/>
        <v>1</v>
      </c>
      <c r="J523">
        <f t="shared" si="63"/>
        <v>2</v>
      </c>
    </row>
    <row r="524" spans="1:10" x14ac:dyDescent="0.25">
      <c r="A524">
        <v>522</v>
      </c>
      <c r="B524" t="str">
        <f t="shared" si="58"/>
        <v>NOK</v>
      </c>
      <c r="C524" t="str">
        <f t="shared" si="64"/>
        <v>B</v>
      </c>
      <c r="D524" t="str">
        <f t="shared" si="64"/>
        <v>D</v>
      </c>
      <c r="E524" t="str">
        <f t="shared" si="64"/>
        <v>A</v>
      </c>
      <c r="F524" t="str">
        <f t="shared" si="59"/>
        <v>C</v>
      </c>
      <c r="G524">
        <f t="shared" si="60"/>
        <v>2</v>
      </c>
      <c r="H524">
        <f t="shared" si="61"/>
        <v>4</v>
      </c>
      <c r="I524">
        <f t="shared" si="62"/>
        <v>1</v>
      </c>
      <c r="J524">
        <f t="shared" si="63"/>
        <v>3</v>
      </c>
    </row>
    <row r="525" spans="1:10" x14ac:dyDescent="0.25">
      <c r="A525">
        <v>523</v>
      </c>
      <c r="B525" t="str">
        <f t="shared" si="58"/>
        <v>NOK</v>
      </c>
      <c r="C525" t="str">
        <f t="shared" si="64"/>
        <v>B</v>
      </c>
      <c r="D525" t="str">
        <f t="shared" si="64"/>
        <v>D</v>
      </c>
      <c r="E525" t="str">
        <f t="shared" si="64"/>
        <v>A</v>
      </c>
      <c r="F525" t="str">
        <f t="shared" si="59"/>
        <v>D</v>
      </c>
      <c r="G525">
        <f t="shared" si="60"/>
        <v>2</v>
      </c>
      <c r="H525">
        <f t="shared" si="61"/>
        <v>4</v>
      </c>
      <c r="I525">
        <f t="shared" si="62"/>
        <v>1</v>
      </c>
      <c r="J525">
        <f t="shared" si="63"/>
        <v>4</v>
      </c>
    </row>
    <row r="526" spans="1:10" x14ac:dyDescent="0.25">
      <c r="A526">
        <v>524</v>
      </c>
      <c r="B526" t="str">
        <f t="shared" si="58"/>
        <v>OK</v>
      </c>
      <c r="C526" t="str">
        <f t="shared" si="64"/>
        <v>B</v>
      </c>
      <c r="D526" t="str">
        <f t="shared" si="64"/>
        <v>D</v>
      </c>
      <c r="E526" t="str">
        <f t="shared" si="64"/>
        <v>A</v>
      </c>
      <c r="F526" t="str">
        <f t="shared" si="59"/>
        <v>E</v>
      </c>
      <c r="G526">
        <f t="shared" si="60"/>
        <v>2</v>
      </c>
      <c r="H526">
        <f t="shared" si="61"/>
        <v>4</v>
      </c>
      <c r="I526">
        <f t="shared" si="62"/>
        <v>1</v>
      </c>
      <c r="J526">
        <f t="shared" si="63"/>
        <v>5</v>
      </c>
    </row>
    <row r="527" spans="1:10" x14ac:dyDescent="0.25">
      <c r="A527">
        <v>525</v>
      </c>
      <c r="B527" t="str">
        <f t="shared" si="58"/>
        <v>NOK</v>
      </c>
      <c r="C527" t="str">
        <f t="shared" si="64"/>
        <v>B</v>
      </c>
      <c r="D527" t="str">
        <f t="shared" si="64"/>
        <v>D</v>
      </c>
      <c r="E527" t="str">
        <f t="shared" si="64"/>
        <v>A</v>
      </c>
      <c r="F527" t="str">
        <f t="shared" si="59"/>
        <v>F</v>
      </c>
      <c r="G527">
        <f t="shared" si="60"/>
        <v>2</v>
      </c>
      <c r="H527">
        <f t="shared" si="61"/>
        <v>4</v>
      </c>
      <c r="I527">
        <f t="shared" si="62"/>
        <v>1</v>
      </c>
      <c r="J527">
        <f t="shared" si="63"/>
        <v>6</v>
      </c>
    </row>
    <row r="528" spans="1:10" x14ac:dyDescent="0.25">
      <c r="A528">
        <v>526</v>
      </c>
      <c r="B528" t="str">
        <f t="shared" si="58"/>
        <v>NOK</v>
      </c>
      <c r="C528" t="str">
        <f t="shared" si="64"/>
        <v>B</v>
      </c>
      <c r="D528" t="str">
        <f t="shared" si="64"/>
        <v>D</v>
      </c>
      <c r="E528" t="str">
        <f t="shared" si="64"/>
        <v>A</v>
      </c>
      <c r="F528" t="str">
        <f t="shared" si="59"/>
        <v>G</v>
      </c>
      <c r="G528">
        <f t="shared" si="60"/>
        <v>2</v>
      </c>
      <c r="H528">
        <f t="shared" si="61"/>
        <v>4</v>
      </c>
      <c r="I528">
        <f t="shared" si="62"/>
        <v>1</v>
      </c>
      <c r="J528">
        <f t="shared" si="63"/>
        <v>7</v>
      </c>
    </row>
    <row r="529" spans="1:10" x14ac:dyDescent="0.25">
      <c r="A529">
        <v>527</v>
      </c>
      <c r="B529" t="str">
        <f t="shared" si="58"/>
        <v>NOK</v>
      </c>
      <c r="C529" t="str">
        <f t="shared" si="64"/>
        <v>B</v>
      </c>
      <c r="D529" t="str">
        <f t="shared" si="64"/>
        <v>D</v>
      </c>
      <c r="E529" t="str">
        <f t="shared" si="64"/>
        <v>A</v>
      </c>
      <c r="F529" t="str">
        <f t="shared" si="59"/>
        <v>H</v>
      </c>
      <c r="G529">
        <f t="shared" si="60"/>
        <v>2</v>
      </c>
      <c r="H529">
        <f t="shared" si="61"/>
        <v>4</v>
      </c>
      <c r="I529">
        <f t="shared" si="62"/>
        <v>1</v>
      </c>
      <c r="J529">
        <f t="shared" si="63"/>
        <v>8</v>
      </c>
    </row>
    <row r="530" spans="1:10" x14ac:dyDescent="0.25">
      <c r="A530">
        <v>528</v>
      </c>
      <c r="B530" t="str">
        <f t="shared" si="58"/>
        <v>NOK</v>
      </c>
      <c r="C530" t="str">
        <f t="shared" si="64"/>
        <v>B</v>
      </c>
      <c r="D530" t="str">
        <f t="shared" si="64"/>
        <v>D</v>
      </c>
      <c r="E530" t="str">
        <f t="shared" si="64"/>
        <v>A</v>
      </c>
      <c r="F530" t="str">
        <f t="shared" si="59"/>
        <v>I</v>
      </c>
      <c r="G530">
        <f t="shared" si="60"/>
        <v>2</v>
      </c>
      <c r="H530">
        <f t="shared" si="61"/>
        <v>4</v>
      </c>
      <c r="I530">
        <f t="shared" si="62"/>
        <v>1</v>
      </c>
      <c r="J530">
        <f t="shared" si="63"/>
        <v>9</v>
      </c>
    </row>
    <row r="531" spans="1:10" x14ac:dyDescent="0.25">
      <c r="A531">
        <v>529</v>
      </c>
      <c r="B531" t="str">
        <f t="shared" si="58"/>
        <v>NOK</v>
      </c>
      <c r="C531" t="str">
        <f t="shared" si="64"/>
        <v>B</v>
      </c>
      <c r="D531" t="str">
        <f t="shared" si="64"/>
        <v>D</v>
      </c>
      <c r="E531" t="str">
        <f t="shared" si="64"/>
        <v>A</v>
      </c>
      <c r="F531" t="str">
        <f t="shared" si="59"/>
        <v>J</v>
      </c>
      <c r="G531">
        <f t="shared" si="60"/>
        <v>2</v>
      </c>
      <c r="H531">
        <f t="shared" si="61"/>
        <v>4</v>
      </c>
      <c r="I531">
        <f t="shared" si="62"/>
        <v>1</v>
      </c>
      <c r="J531">
        <f t="shared" si="63"/>
        <v>10</v>
      </c>
    </row>
    <row r="532" spans="1:10" x14ac:dyDescent="0.25">
      <c r="A532">
        <v>530</v>
      </c>
      <c r="B532" t="str">
        <f t="shared" si="58"/>
        <v>NOK</v>
      </c>
      <c r="C532" t="str">
        <f t="shared" si="64"/>
        <v>B</v>
      </c>
      <c r="D532" t="str">
        <f t="shared" si="64"/>
        <v>D</v>
      </c>
      <c r="E532" t="str">
        <f t="shared" si="64"/>
        <v>A</v>
      </c>
      <c r="F532" t="str">
        <f t="shared" si="59"/>
        <v>K</v>
      </c>
      <c r="G532">
        <f t="shared" si="60"/>
        <v>2</v>
      </c>
      <c r="H532">
        <f t="shared" si="61"/>
        <v>4</v>
      </c>
      <c r="I532">
        <f t="shared" si="62"/>
        <v>1</v>
      </c>
      <c r="J532">
        <f t="shared" si="63"/>
        <v>11</v>
      </c>
    </row>
    <row r="533" spans="1:10" x14ac:dyDescent="0.25">
      <c r="A533">
        <v>531</v>
      </c>
      <c r="B533" t="str">
        <f t="shared" si="58"/>
        <v>NOK</v>
      </c>
      <c r="C533" t="str">
        <f t="shared" si="64"/>
        <v>B</v>
      </c>
      <c r="D533" t="str">
        <f t="shared" si="64"/>
        <v>D</v>
      </c>
      <c r="E533" t="str">
        <f t="shared" si="64"/>
        <v>A</v>
      </c>
      <c r="F533" t="str">
        <f t="shared" si="59"/>
        <v>L</v>
      </c>
      <c r="G533">
        <f t="shared" si="60"/>
        <v>2</v>
      </c>
      <c r="H533">
        <f t="shared" si="61"/>
        <v>4</v>
      </c>
      <c r="I533">
        <f t="shared" si="62"/>
        <v>1</v>
      </c>
      <c r="J533">
        <f t="shared" si="63"/>
        <v>12</v>
      </c>
    </row>
    <row r="534" spans="1:10" x14ac:dyDescent="0.25">
      <c r="A534">
        <v>532</v>
      </c>
      <c r="B534" t="str">
        <f t="shared" si="58"/>
        <v>NOK</v>
      </c>
      <c r="C534" t="str">
        <f t="shared" si="64"/>
        <v>B</v>
      </c>
      <c r="D534" t="str">
        <f t="shared" si="64"/>
        <v>D</v>
      </c>
      <c r="E534" t="str">
        <f t="shared" si="64"/>
        <v>A</v>
      </c>
      <c r="F534" t="str">
        <f t="shared" si="59"/>
        <v>M</v>
      </c>
      <c r="G534">
        <f t="shared" si="60"/>
        <v>2</v>
      </c>
      <c r="H534">
        <f t="shared" si="61"/>
        <v>4</v>
      </c>
      <c r="I534">
        <f t="shared" si="62"/>
        <v>1</v>
      </c>
      <c r="J534">
        <f t="shared" si="63"/>
        <v>13</v>
      </c>
    </row>
    <row r="535" spans="1:10" x14ac:dyDescent="0.25">
      <c r="A535">
        <v>533</v>
      </c>
      <c r="B535" t="str">
        <f t="shared" si="58"/>
        <v>NOK</v>
      </c>
      <c r="C535" t="str">
        <f t="shared" si="64"/>
        <v>B</v>
      </c>
      <c r="D535" t="str">
        <f t="shared" si="64"/>
        <v>D</v>
      </c>
      <c r="E535" t="str">
        <f t="shared" si="64"/>
        <v>B</v>
      </c>
      <c r="F535" t="str">
        <f t="shared" si="59"/>
        <v>A</v>
      </c>
      <c r="G535">
        <f t="shared" si="60"/>
        <v>2</v>
      </c>
      <c r="H535">
        <f t="shared" si="61"/>
        <v>4</v>
      </c>
      <c r="I535">
        <f t="shared" si="62"/>
        <v>2</v>
      </c>
      <c r="J535">
        <f t="shared" si="63"/>
        <v>1</v>
      </c>
    </row>
    <row r="536" spans="1:10" x14ac:dyDescent="0.25">
      <c r="A536">
        <v>534</v>
      </c>
      <c r="B536" t="str">
        <f t="shared" si="58"/>
        <v>NOK</v>
      </c>
      <c r="C536" t="str">
        <f t="shared" si="64"/>
        <v>B</v>
      </c>
      <c r="D536" t="str">
        <f t="shared" si="64"/>
        <v>D</v>
      </c>
      <c r="E536" t="str">
        <f t="shared" si="64"/>
        <v>B</v>
      </c>
      <c r="F536" t="str">
        <f t="shared" si="59"/>
        <v>B</v>
      </c>
      <c r="G536">
        <f t="shared" si="60"/>
        <v>2</v>
      </c>
      <c r="H536">
        <f t="shared" si="61"/>
        <v>4</v>
      </c>
      <c r="I536">
        <f t="shared" si="62"/>
        <v>2</v>
      </c>
      <c r="J536">
        <f t="shared" si="63"/>
        <v>2</v>
      </c>
    </row>
    <row r="537" spans="1:10" x14ac:dyDescent="0.25">
      <c r="A537">
        <v>535</v>
      </c>
      <c r="B537" t="str">
        <f t="shared" si="58"/>
        <v>NOK</v>
      </c>
      <c r="C537" t="str">
        <f t="shared" si="64"/>
        <v>B</v>
      </c>
      <c r="D537" t="str">
        <f t="shared" si="64"/>
        <v>D</v>
      </c>
      <c r="E537" t="str">
        <f t="shared" si="64"/>
        <v>B</v>
      </c>
      <c r="F537" t="str">
        <f t="shared" si="59"/>
        <v>C</v>
      </c>
      <c r="G537">
        <f t="shared" si="60"/>
        <v>2</v>
      </c>
      <c r="H537">
        <f t="shared" si="61"/>
        <v>4</v>
      </c>
      <c r="I537">
        <f t="shared" si="62"/>
        <v>2</v>
      </c>
      <c r="J537">
        <f t="shared" si="63"/>
        <v>3</v>
      </c>
    </row>
    <row r="538" spans="1:10" x14ac:dyDescent="0.25">
      <c r="A538">
        <v>536</v>
      </c>
      <c r="B538" t="str">
        <f t="shared" si="58"/>
        <v>NOK</v>
      </c>
      <c r="C538" t="str">
        <f t="shared" si="64"/>
        <v>B</v>
      </c>
      <c r="D538" t="str">
        <f t="shared" si="64"/>
        <v>D</v>
      </c>
      <c r="E538" t="str">
        <f t="shared" si="64"/>
        <v>B</v>
      </c>
      <c r="F538" t="str">
        <f t="shared" si="59"/>
        <v>D</v>
      </c>
      <c r="G538">
        <f t="shared" si="60"/>
        <v>2</v>
      </c>
      <c r="H538">
        <f t="shared" si="61"/>
        <v>4</v>
      </c>
      <c r="I538">
        <f t="shared" si="62"/>
        <v>2</v>
      </c>
      <c r="J538">
        <f t="shared" si="63"/>
        <v>4</v>
      </c>
    </row>
    <row r="539" spans="1:10" x14ac:dyDescent="0.25">
      <c r="A539">
        <v>537</v>
      </c>
      <c r="B539" t="str">
        <f t="shared" si="58"/>
        <v>NOK</v>
      </c>
      <c r="C539" t="str">
        <f t="shared" si="64"/>
        <v>B</v>
      </c>
      <c r="D539" t="str">
        <f t="shared" si="64"/>
        <v>D</v>
      </c>
      <c r="E539" t="str">
        <f t="shared" si="64"/>
        <v>B</v>
      </c>
      <c r="F539" t="str">
        <f t="shared" si="59"/>
        <v>E</v>
      </c>
      <c r="G539">
        <f t="shared" si="60"/>
        <v>2</v>
      </c>
      <c r="H539">
        <f t="shared" si="61"/>
        <v>4</v>
      </c>
      <c r="I539">
        <f t="shared" si="62"/>
        <v>2</v>
      </c>
      <c r="J539">
        <f t="shared" si="63"/>
        <v>5</v>
      </c>
    </row>
    <row r="540" spans="1:10" x14ac:dyDescent="0.25">
      <c r="A540">
        <v>538</v>
      </c>
      <c r="B540" t="str">
        <f t="shared" si="58"/>
        <v>OK</v>
      </c>
      <c r="C540" t="str">
        <f t="shared" si="64"/>
        <v>B</v>
      </c>
      <c r="D540" t="str">
        <f t="shared" si="64"/>
        <v>D</v>
      </c>
      <c r="E540" t="str">
        <f t="shared" si="64"/>
        <v>B</v>
      </c>
      <c r="F540" t="str">
        <f t="shared" si="59"/>
        <v>F</v>
      </c>
      <c r="G540">
        <f t="shared" si="60"/>
        <v>2</v>
      </c>
      <c r="H540">
        <f t="shared" si="61"/>
        <v>4</v>
      </c>
      <c r="I540">
        <f t="shared" si="62"/>
        <v>2</v>
      </c>
      <c r="J540">
        <f t="shared" si="63"/>
        <v>6</v>
      </c>
    </row>
    <row r="541" spans="1:10" x14ac:dyDescent="0.25">
      <c r="A541">
        <v>539</v>
      </c>
      <c r="B541" t="str">
        <f t="shared" si="58"/>
        <v>NOK</v>
      </c>
      <c r="C541" t="str">
        <f t="shared" si="64"/>
        <v>B</v>
      </c>
      <c r="D541" t="str">
        <f t="shared" si="64"/>
        <v>D</v>
      </c>
      <c r="E541" t="str">
        <f t="shared" si="64"/>
        <v>B</v>
      </c>
      <c r="F541" t="str">
        <f t="shared" si="59"/>
        <v>G</v>
      </c>
      <c r="G541">
        <f t="shared" si="60"/>
        <v>2</v>
      </c>
      <c r="H541">
        <f t="shared" si="61"/>
        <v>4</v>
      </c>
      <c r="I541">
        <f t="shared" si="62"/>
        <v>2</v>
      </c>
      <c r="J541">
        <f t="shared" si="63"/>
        <v>7</v>
      </c>
    </row>
    <row r="542" spans="1:10" x14ac:dyDescent="0.25">
      <c r="A542">
        <v>540</v>
      </c>
      <c r="B542" t="str">
        <f t="shared" si="58"/>
        <v>NOK</v>
      </c>
      <c r="C542" t="str">
        <f t="shared" si="64"/>
        <v>B</v>
      </c>
      <c r="D542" t="str">
        <f t="shared" si="64"/>
        <v>D</v>
      </c>
      <c r="E542" t="str">
        <f t="shared" si="64"/>
        <v>B</v>
      </c>
      <c r="F542" t="str">
        <f t="shared" si="59"/>
        <v>H</v>
      </c>
      <c r="G542">
        <f t="shared" si="60"/>
        <v>2</v>
      </c>
      <c r="H542">
        <f t="shared" si="61"/>
        <v>4</v>
      </c>
      <c r="I542">
        <f t="shared" si="62"/>
        <v>2</v>
      </c>
      <c r="J542">
        <f t="shared" si="63"/>
        <v>8</v>
      </c>
    </row>
    <row r="543" spans="1:10" x14ac:dyDescent="0.25">
      <c r="A543">
        <v>541</v>
      </c>
      <c r="B543" t="str">
        <f t="shared" si="58"/>
        <v>NOK</v>
      </c>
      <c r="C543" t="str">
        <f t="shared" si="64"/>
        <v>B</v>
      </c>
      <c r="D543" t="str">
        <f t="shared" si="64"/>
        <v>D</v>
      </c>
      <c r="E543" t="str">
        <f t="shared" si="64"/>
        <v>B</v>
      </c>
      <c r="F543" t="str">
        <f t="shared" si="59"/>
        <v>I</v>
      </c>
      <c r="G543">
        <f t="shared" si="60"/>
        <v>2</v>
      </c>
      <c r="H543">
        <f t="shared" si="61"/>
        <v>4</v>
      </c>
      <c r="I543">
        <f t="shared" si="62"/>
        <v>2</v>
      </c>
      <c r="J543">
        <f t="shared" si="63"/>
        <v>9</v>
      </c>
    </row>
    <row r="544" spans="1:10" x14ac:dyDescent="0.25">
      <c r="A544">
        <v>542</v>
      </c>
      <c r="B544" t="str">
        <f t="shared" si="58"/>
        <v>NOK</v>
      </c>
      <c r="C544" t="str">
        <f t="shared" si="64"/>
        <v>B</v>
      </c>
      <c r="D544" t="str">
        <f t="shared" si="64"/>
        <v>D</v>
      </c>
      <c r="E544" t="str">
        <f t="shared" si="64"/>
        <v>B</v>
      </c>
      <c r="F544" t="str">
        <f t="shared" si="59"/>
        <v>J</v>
      </c>
      <c r="G544">
        <f t="shared" si="60"/>
        <v>2</v>
      </c>
      <c r="H544">
        <f t="shared" si="61"/>
        <v>4</v>
      </c>
      <c r="I544">
        <f t="shared" si="62"/>
        <v>2</v>
      </c>
      <c r="J544">
        <f t="shared" si="63"/>
        <v>10</v>
      </c>
    </row>
    <row r="545" spans="1:10" x14ac:dyDescent="0.25">
      <c r="A545">
        <v>543</v>
      </c>
      <c r="B545" t="str">
        <f t="shared" si="58"/>
        <v>NOK</v>
      </c>
      <c r="C545" t="str">
        <f t="shared" si="64"/>
        <v>B</v>
      </c>
      <c r="D545" t="str">
        <f t="shared" si="64"/>
        <v>D</v>
      </c>
      <c r="E545" t="str">
        <f t="shared" si="64"/>
        <v>B</v>
      </c>
      <c r="F545" t="str">
        <f t="shared" si="59"/>
        <v>K</v>
      </c>
      <c r="G545">
        <f t="shared" si="60"/>
        <v>2</v>
      </c>
      <c r="H545">
        <f t="shared" si="61"/>
        <v>4</v>
      </c>
      <c r="I545">
        <f t="shared" si="62"/>
        <v>2</v>
      </c>
      <c r="J545">
        <f t="shared" si="63"/>
        <v>11</v>
      </c>
    </row>
    <row r="546" spans="1:10" x14ac:dyDescent="0.25">
      <c r="A546">
        <v>544</v>
      </c>
      <c r="B546" t="str">
        <f t="shared" si="58"/>
        <v>NOK</v>
      </c>
      <c r="C546" t="str">
        <f t="shared" si="64"/>
        <v>B</v>
      </c>
      <c r="D546" t="str">
        <f t="shared" si="64"/>
        <v>D</v>
      </c>
      <c r="E546" t="str">
        <f t="shared" si="64"/>
        <v>B</v>
      </c>
      <c r="F546" t="str">
        <f t="shared" si="59"/>
        <v>L</v>
      </c>
      <c r="G546">
        <f t="shared" si="60"/>
        <v>2</v>
      </c>
      <c r="H546">
        <f t="shared" si="61"/>
        <v>4</v>
      </c>
      <c r="I546">
        <f t="shared" si="62"/>
        <v>2</v>
      </c>
      <c r="J546">
        <f t="shared" si="63"/>
        <v>12</v>
      </c>
    </row>
    <row r="547" spans="1:10" x14ac:dyDescent="0.25">
      <c r="A547">
        <v>545</v>
      </c>
      <c r="B547" t="str">
        <f t="shared" si="58"/>
        <v>NOK</v>
      </c>
      <c r="C547" t="str">
        <f t="shared" si="64"/>
        <v>B</v>
      </c>
      <c r="D547" t="str">
        <f t="shared" si="64"/>
        <v>D</v>
      </c>
      <c r="E547" t="str">
        <f t="shared" si="64"/>
        <v>B</v>
      </c>
      <c r="F547" t="str">
        <f t="shared" si="59"/>
        <v>M</v>
      </c>
      <c r="G547">
        <f t="shared" si="60"/>
        <v>2</v>
      </c>
      <c r="H547">
        <f t="shared" si="61"/>
        <v>4</v>
      </c>
      <c r="I547">
        <f t="shared" si="62"/>
        <v>2</v>
      </c>
      <c r="J547">
        <f t="shared" si="63"/>
        <v>13</v>
      </c>
    </row>
    <row r="548" spans="1:10" x14ac:dyDescent="0.25">
      <c r="A548">
        <v>546</v>
      </c>
      <c r="B548" t="str">
        <f t="shared" si="58"/>
        <v>NOK</v>
      </c>
      <c r="C548" t="str">
        <f t="shared" si="64"/>
        <v>B</v>
      </c>
      <c r="D548" t="str">
        <f t="shared" si="64"/>
        <v>D</v>
      </c>
      <c r="E548" t="str">
        <f t="shared" si="64"/>
        <v>C</v>
      </c>
      <c r="F548" t="str">
        <f t="shared" si="59"/>
        <v>A</v>
      </c>
      <c r="G548">
        <f t="shared" si="60"/>
        <v>2</v>
      </c>
      <c r="H548">
        <f t="shared" si="61"/>
        <v>4</v>
      </c>
      <c r="I548">
        <f t="shared" si="62"/>
        <v>3</v>
      </c>
      <c r="J548">
        <f t="shared" si="63"/>
        <v>1</v>
      </c>
    </row>
    <row r="549" spans="1:10" x14ac:dyDescent="0.25">
      <c r="A549">
        <v>547</v>
      </c>
      <c r="B549" t="str">
        <f t="shared" si="58"/>
        <v>NOK</v>
      </c>
      <c r="C549" t="str">
        <f t="shared" si="64"/>
        <v>B</v>
      </c>
      <c r="D549" t="str">
        <f t="shared" si="64"/>
        <v>D</v>
      </c>
      <c r="E549" t="str">
        <f t="shared" si="64"/>
        <v>C</v>
      </c>
      <c r="F549" t="str">
        <f t="shared" si="59"/>
        <v>B</v>
      </c>
      <c r="G549">
        <f t="shared" si="60"/>
        <v>2</v>
      </c>
      <c r="H549">
        <f t="shared" si="61"/>
        <v>4</v>
      </c>
      <c r="I549">
        <f t="shared" si="62"/>
        <v>3</v>
      </c>
      <c r="J549">
        <f t="shared" si="63"/>
        <v>2</v>
      </c>
    </row>
    <row r="550" spans="1:10" x14ac:dyDescent="0.25">
      <c r="A550">
        <v>548</v>
      </c>
      <c r="B550" t="str">
        <f t="shared" si="58"/>
        <v>NOK</v>
      </c>
      <c r="C550" t="str">
        <f t="shared" si="64"/>
        <v>B</v>
      </c>
      <c r="D550" t="str">
        <f t="shared" si="64"/>
        <v>D</v>
      </c>
      <c r="E550" t="str">
        <f t="shared" si="64"/>
        <v>C</v>
      </c>
      <c r="F550" t="str">
        <f t="shared" si="59"/>
        <v>C</v>
      </c>
      <c r="G550">
        <f t="shared" si="60"/>
        <v>2</v>
      </c>
      <c r="H550">
        <f t="shared" si="61"/>
        <v>4</v>
      </c>
      <c r="I550">
        <f t="shared" si="62"/>
        <v>3</v>
      </c>
      <c r="J550">
        <f t="shared" si="63"/>
        <v>3</v>
      </c>
    </row>
    <row r="551" spans="1:10" x14ac:dyDescent="0.25">
      <c r="A551">
        <v>549</v>
      </c>
      <c r="B551" t="str">
        <f t="shared" si="58"/>
        <v>NOK</v>
      </c>
      <c r="C551" t="str">
        <f t="shared" si="64"/>
        <v>B</v>
      </c>
      <c r="D551" t="str">
        <f t="shared" si="64"/>
        <v>D</v>
      </c>
      <c r="E551" t="str">
        <f t="shared" si="64"/>
        <v>C</v>
      </c>
      <c r="F551" t="str">
        <f t="shared" si="59"/>
        <v>D</v>
      </c>
      <c r="G551">
        <f t="shared" si="60"/>
        <v>2</v>
      </c>
      <c r="H551">
        <f t="shared" si="61"/>
        <v>4</v>
      </c>
      <c r="I551">
        <f t="shared" si="62"/>
        <v>3</v>
      </c>
      <c r="J551">
        <f t="shared" si="63"/>
        <v>4</v>
      </c>
    </row>
    <row r="552" spans="1:10" x14ac:dyDescent="0.25">
      <c r="A552">
        <v>550</v>
      </c>
      <c r="B552" t="str">
        <f t="shared" si="58"/>
        <v>NOK</v>
      </c>
      <c r="C552" t="str">
        <f t="shared" si="64"/>
        <v>B</v>
      </c>
      <c r="D552" t="str">
        <f t="shared" si="64"/>
        <v>D</v>
      </c>
      <c r="E552" t="str">
        <f t="shared" si="64"/>
        <v>C</v>
      </c>
      <c r="F552" t="str">
        <f t="shared" si="59"/>
        <v>E</v>
      </c>
      <c r="G552">
        <f t="shared" si="60"/>
        <v>2</v>
      </c>
      <c r="H552">
        <f t="shared" si="61"/>
        <v>4</v>
      </c>
      <c r="I552">
        <f t="shared" si="62"/>
        <v>3</v>
      </c>
      <c r="J552">
        <f t="shared" si="63"/>
        <v>5</v>
      </c>
    </row>
    <row r="553" spans="1:10" x14ac:dyDescent="0.25">
      <c r="A553">
        <v>551</v>
      </c>
      <c r="B553" t="str">
        <f t="shared" si="58"/>
        <v>NOK</v>
      </c>
      <c r="C553" t="str">
        <f t="shared" si="64"/>
        <v>B</v>
      </c>
      <c r="D553" t="str">
        <f t="shared" si="64"/>
        <v>D</v>
      </c>
      <c r="E553" t="str">
        <f t="shared" si="64"/>
        <v>C</v>
      </c>
      <c r="F553" t="str">
        <f t="shared" si="59"/>
        <v>F</v>
      </c>
      <c r="G553">
        <f t="shared" si="60"/>
        <v>2</v>
      </c>
      <c r="H553">
        <f t="shared" si="61"/>
        <v>4</v>
      </c>
      <c r="I553">
        <f t="shared" si="62"/>
        <v>3</v>
      </c>
      <c r="J553">
        <f t="shared" si="63"/>
        <v>6</v>
      </c>
    </row>
    <row r="554" spans="1:10" x14ac:dyDescent="0.25">
      <c r="A554">
        <v>552</v>
      </c>
      <c r="B554" t="str">
        <f t="shared" si="58"/>
        <v>OK</v>
      </c>
      <c r="C554" t="str">
        <f t="shared" si="64"/>
        <v>B</v>
      </c>
      <c r="D554" t="str">
        <f t="shared" si="64"/>
        <v>D</v>
      </c>
      <c r="E554" t="str">
        <f t="shared" si="64"/>
        <v>C</v>
      </c>
      <c r="F554" t="str">
        <f t="shared" si="59"/>
        <v>G</v>
      </c>
      <c r="G554">
        <f t="shared" si="60"/>
        <v>2</v>
      </c>
      <c r="H554">
        <f t="shared" si="61"/>
        <v>4</v>
      </c>
      <c r="I554">
        <f t="shared" si="62"/>
        <v>3</v>
      </c>
      <c r="J554">
        <f t="shared" si="63"/>
        <v>7</v>
      </c>
    </row>
    <row r="555" spans="1:10" x14ac:dyDescent="0.25">
      <c r="A555">
        <v>553</v>
      </c>
      <c r="B555" t="str">
        <f t="shared" si="58"/>
        <v>NOK</v>
      </c>
      <c r="C555" t="str">
        <f t="shared" si="64"/>
        <v>B</v>
      </c>
      <c r="D555" t="str">
        <f t="shared" si="64"/>
        <v>D</v>
      </c>
      <c r="E555" t="str">
        <f t="shared" si="64"/>
        <v>C</v>
      </c>
      <c r="F555" t="str">
        <f t="shared" si="59"/>
        <v>H</v>
      </c>
      <c r="G555">
        <f t="shared" si="60"/>
        <v>2</v>
      </c>
      <c r="H555">
        <f t="shared" si="61"/>
        <v>4</v>
      </c>
      <c r="I555">
        <f t="shared" si="62"/>
        <v>3</v>
      </c>
      <c r="J555">
        <f t="shared" si="63"/>
        <v>8</v>
      </c>
    </row>
    <row r="556" spans="1:10" x14ac:dyDescent="0.25">
      <c r="A556">
        <v>554</v>
      </c>
      <c r="B556" t="str">
        <f t="shared" si="58"/>
        <v>NOK</v>
      </c>
      <c r="C556" t="str">
        <f t="shared" si="64"/>
        <v>B</v>
      </c>
      <c r="D556" t="str">
        <f t="shared" si="64"/>
        <v>D</v>
      </c>
      <c r="E556" t="str">
        <f t="shared" si="64"/>
        <v>C</v>
      </c>
      <c r="F556" t="str">
        <f t="shared" si="59"/>
        <v>I</v>
      </c>
      <c r="G556">
        <f t="shared" si="60"/>
        <v>2</v>
      </c>
      <c r="H556">
        <f t="shared" si="61"/>
        <v>4</v>
      </c>
      <c r="I556">
        <f t="shared" si="62"/>
        <v>3</v>
      </c>
      <c r="J556">
        <f t="shared" si="63"/>
        <v>9</v>
      </c>
    </row>
    <row r="557" spans="1:10" x14ac:dyDescent="0.25">
      <c r="A557">
        <v>555</v>
      </c>
      <c r="B557" t="str">
        <f t="shared" si="58"/>
        <v>NOK</v>
      </c>
      <c r="C557" t="str">
        <f t="shared" si="64"/>
        <v>B</v>
      </c>
      <c r="D557" t="str">
        <f t="shared" si="64"/>
        <v>D</v>
      </c>
      <c r="E557" t="str">
        <f t="shared" si="64"/>
        <v>C</v>
      </c>
      <c r="F557" t="str">
        <f t="shared" si="59"/>
        <v>J</v>
      </c>
      <c r="G557">
        <f t="shared" si="60"/>
        <v>2</v>
      </c>
      <c r="H557">
        <f t="shared" si="61"/>
        <v>4</v>
      </c>
      <c r="I557">
        <f t="shared" si="62"/>
        <v>3</v>
      </c>
      <c r="J557">
        <f t="shared" si="63"/>
        <v>10</v>
      </c>
    </row>
    <row r="558" spans="1:10" x14ac:dyDescent="0.25">
      <c r="A558">
        <v>556</v>
      </c>
      <c r="B558" t="str">
        <f t="shared" si="58"/>
        <v>NOK</v>
      </c>
      <c r="C558" t="str">
        <f t="shared" si="64"/>
        <v>B</v>
      </c>
      <c r="D558" t="str">
        <f t="shared" si="64"/>
        <v>D</v>
      </c>
      <c r="E558" t="str">
        <f t="shared" si="64"/>
        <v>C</v>
      </c>
      <c r="F558" t="str">
        <f t="shared" si="59"/>
        <v>K</v>
      </c>
      <c r="G558">
        <f t="shared" si="60"/>
        <v>2</v>
      </c>
      <c r="H558">
        <f t="shared" si="61"/>
        <v>4</v>
      </c>
      <c r="I558">
        <f t="shared" si="62"/>
        <v>3</v>
      </c>
      <c r="J558">
        <f t="shared" si="63"/>
        <v>11</v>
      </c>
    </row>
    <row r="559" spans="1:10" x14ac:dyDescent="0.25">
      <c r="A559">
        <v>557</v>
      </c>
      <c r="B559" t="str">
        <f t="shared" si="58"/>
        <v>NOK</v>
      </c>
      <c r="C559" t="str">
        <f t="shared" si="64"/>
        <v>B</v>
      </c>
      <c r="D559" t="str">
        <f t="shared" si="64"/>
        <v>D</v>
      </c>
      <c r="E559" t="str">
        <f t="shared" si="64"/>
        <v>C</v>
      </c>
      <c r="F559" t="str">
        <f t="shared" si="59"/>
        <v>L</v>
      </c>
      <c r="G559">
        <f t="shared" si="60"/>
        <v>2</v>
      </c>
      <c r="H559">
        <f t="shared" si="61"/>
        <v>4</v>
      </c>
      <c r="I559">
        <f t="shared" si="62"/>
        <v>3</v>
      </c>
      <c r="J559">
        <f t="shared" si="63"/>
        <v>12</v>
      </c>
    </row>
    <row r="560" spans="1:10" x14ac:dyDescent="0.25">
      <c r="A560">
        <v>558</v>
      </c>
      <c r="B560" t="str">
        <f t="shared" si="58"/>
        <v>NOK</v>
      </c>
      <c r="C560" t="str">
        <f t="shared" si="64"/>
        <v>B</v>
      </c>
      <c r="D560" t="str">
        <f t="shared" si="64"/>
        <v>D</v>
      </c>
      <c r="E560" t="str">
        <f t="shared" si="64"/>
        <v>C</v>
      </c>
      <c r="F560" t="str">
        <f t="shared" si="59"/>
        <v>M</v>
      </c>
      <c r="G560">
        <f t="shared" si="60"/>
        <v>2</v>
      </c>
      <c r="H560">
        <f t="shared" si="61"/>
        <v>4</v>
      </c>
      <c r="I560">
        <f t="shared" si="62"/>
        <v>3</v>
      </c>
      <c r="J560">
        <f t="shared" si="63"/>
        <v>13</v>
      </c>
    </row>
    <row r="561" spans="1:10" x14ac:dyDescent="0.25">
      <c r="A561">
        <v>559</v>
      </c>
      <c r="B561" t="str">
        <f t="shared" si="58"/>
        <v>NOK</v>
      </c>
      <c r="C561" t="str">
        <f t="shared" si="64"/>
        <v>B</v>
      </c>
      <c r="D561" t="str">
        <f t="shared" si="64"/>
        <v>D</v>
      </c>
      <c r="E561" t="str">
        <f t="shared" si="64"/>
        <v>D</v>
      </c>
      <c r="F561" t="str">
        <f t="shared" si="59"/>
        <v>A</v>
      </c>
      <c r="G561">
        <f t="shared" si="60"/>
        <v>2</v>
      </c>
      <c r="H561">
        <f t="shared" si="61"/>
        <v>4</v>
      </c>
      <c r="I561">
        <f t="shared" si="62"/>
        <v>4</v>
      </c>
      <c r="J561">
        <f t="shared" si="63"/>
        <v>1</v>
      </c>
    </row>
    <row r="562" spans="1:10" x14ac:dyDescent="0.25">
      <c r="A562">
        <v>560</v>
      </c>
      <c r="B562" t="str">
        <f t="shared" si="58"/>
        <v>NOK</v>
      </c>
      <c r="C562" t="str">
        <f t="shared" si="64"/>
        <v>B</v>
      </c>
      <c r="D562" t="str">
        <f t="shared" si="64"/>
        <v>D</v>
      </c>
      <c r="E562" t="str">
        <f t="shared" si="64"/>
        <v>D</v>
      </c>
      <c r="F562" t="str">
        <f t="shared" si="59"/>
        <v>B</v>
      </c>
      <c r="G562">
        <f t="shared" si="60"/>
        <v>2</v>
      </c>
      <c r="H562">
        <f t="shared" si="61"/>
        <v>4</v>
      </c>
      <c r="I562">
        <f t="shared" si="62"/>
        <v>4</v>
      </c>
      <c r="J562">
        <f t="shared" si="63"/>
        <v>2</v>
      </c>
    </row>
    <row r="563" spans="1:10" x14ac:dyDescent="0.25">
      <c r="A563">
        <v>561</v>
      </c>
      <c r="B563" t="str">
        <f t="shared" si="58"/>
        <v>NOK</v>
      </c>
      <c r="C563" t="str">
        <f t="shared" si="64"/>
        <v>B</v>
      </c>
      <c r="D563" t="str">
        <f t="shared" si="64"/>
        <v>D</v>
      </c>
      <c r="E563" t="str">
        <f t="shared" si="64"/>
        <v>D</v>
      </c>
      <c r="F563" t="str">
        <f t="shared" si="59"/>
        <v>C</v>
      </c>
      <c r="G563">
        <f t="shared" si="60"/>
        <v>2</v>
      </c>
      <c r="H563">
        <f t="shared" si="61"/>
        <v>4</v>
      </c>
      <c r="I563">
        <f t="shared" si="62"/>
        <v>4</v>
      </c>
      <c r="J563">
        <f t="shared" si="63"/>
        <v>3</v>
      </c>
    </row>
    <row r="564" spans="1:10" x14ac:dyDescent="0.25">
      <c r="A564">
        <v>562</v>
      </c>
      <c r="B564" t="str">
        <f t="shared" si="58"/>
        <v>NOK</v>
      </c>
      <c r="C564" t="str">
        <f t="shared" si="64"/>
        <v>B</v>
      </c>
      <c r="D564" t="str">
        <f t="shared" si="64"/>
        <v>D</v>
      </c>
      <c r="E564" t="str">
        <f t="shared" si="64"/>
        <v>D</v>
      </c>
      <c r="F564" t="str">
        <f t="shared" si="59"/>
        <v>D</v>
      </c>
      <c r="G564">
        <f t="shared" si="60"/>
        <v>2</v>
      </c>
      <c r="H564">
        <f t="shared" si="61"/>
        <v>4</v>
      </c>
      <c r="I564">
        <f t="shared" si="62"/>
        <v>4</v>
      </c>
      <c r="J564">
        <f t="shared" si="63"/>
        <v>4</v>
      </c>
    </row>
    <row r="565" spans="1:10" x14ac:dyDescent="0.25">
      <c r="A565">
        <v>563</v>
      </c>
      <c r="B565" t="str">
        <f t="shared" si="58"/>
        <v>NOK</v>
      </c>
      <c r="C565" t="str">
        <f t="shared" si="64"/>
        <v>B</v>
      </c>
      <c r="D565" t="str">
        <f t="shared" si="64"/>
        <v>D</v>
      </c>
      <c r="E565" t="str">
        <f t="shared" si="64"/>
        <v>D</v>
      </c>
      <c r="F565" t="str">
        <f t="shared" si="59"/>
        <v>E</v>
      </c>
      <c r="G565">
        <f t="shared" si="60"/>
        <v>2</v>
      </c>
      <c r="H565">
        <f t="shared" si="61"/>
        <v>4</v>
      </c>
      <c r="I565">
        <f t="shared" si="62"/>
        <v>4</v>
      </c>
      <c r="J565">
        <f t="shared" si="63"/>
        <v>5</v>
      </c>
    </row>
    <row r="566" spans="1:10" x14ac:dyDescent="0.25">
      <c r="A566">
        <v>564</v>
      </c>
      <c r="B566" t="str">
        <f t="shared" si="58"/>
        <v>NOK</v>
      </c>
      <c r="C566" t="str">
        <f t="shared" si="64"/>
        <v>B</v>
      </c>
      <c r="D566" t="str">
        <f t="shared" si="64"/>
        <v>D</v>
      </c>
      <c r="E566" t="str">
        <f t="shared" si="64"/>
        <v>D</v>
      </c>
      <c r="F566" t="str">
        <f t="shared" si="59"/>
        <v>F</v>
      </c>
      <c r="G566">
        <f t="shared" si="60"/>
        <v>2</v>
      </c>
      <c r="H566">
        <f t="shared" si="61"/>
        <v>4</v>
      </c>
      <c r="I566">
        <f t="shared" si="62"/>
        <v>4</v>
      </c>
      <c r="J566">
        <f t="shared" si="63"/>
        <v>6</v>
      </c>
    </row>
    <row r="567" spans="1:10" x14ac:dyDescent="0.25">
      <c r="A567">
        <v>565</v>
      </c>
      <c r="B567" t="str">
        <f t="shared" si="58"/>
        <v>NOK</v>
      </c>
      <c r="C567" t="str">
        <f t="shared" si="64"/>
        <v>B</v>
      </c>
      <c r="D567" t="str">
        <f t="shared" si="64"/>
        <v>D</v>
      </c>
      <c r="E567" t="str">
        <f t="shared" si="64"/>
        <v>D</v>
      </c>
      <c r="F567" t="str">
        <f t="shared" si="59"/>
        <v>G</v>
      </c>
      <c r="G567">
        <f t="shared" si="60"/>
        <v>2</v>
      </c>
      <c r="H567">
        <f t="shared" si="61"/>
        <v>4</v>
      </c>
      <c r="I567">
        <f t="shared" si="62"/>
        <v>4</v>
      </c>
      <c r="J567">
        <f t="shared" si="63"/>
        <v>7</v>
      </c>
    </row>
    <row r="568" spans="1:10" x14ac:dyDescent="0.25">
      <c r="A568">
        <v>566</v>
      </c>
      <c r="B568" t="str">
        <f t="shared" si="58"/>
        <v>OK</v>
      </c>
      <c r="C568" t="str">
        <f t="shared" si="64"/>
        <v>B</v>
      </c>
      <c r="D568" t="str">
        <f t="shared" si="64"/>
        <v>D</v>
      </c>
      <c r="E568" t="str">
        <f t="shared" si="64"/>
        <v>D</v>
      </c>
      <c r="F568" t="str">
        <f t="shared" si="59"/>
        <v>H</v>
      </c>
      <c r="G568">
        <f t="shared" si="60"/>
        <v>2</v>
      </c>
      <c r="H568">
        <f t="shared" si="61"/>
        <v>4</v>
      </c>
      <c r="I568">
        <f t="shared" si="62"/>
        <v>4</v>
      </c>
      <c r="J568">
        <f t="shared" si="63"/>
        <v>8</v>
      </c>
    </row>
    <row r="569" spans="1:10" x14ac:dyDescent="0.25">
      <c r="A569">
        <v>567</v>
      </c>
      <c r="B569" t="str">
        <f t="shared" si="58"/>
        <v>NOK</v>
      </c>
      <c r="C569" t="str">
        <f t="shared" si="64"/>
        <v>B</v>
      </c>
      <c r="D569" t="str">
        <f t="shared" si="64"/>
        <v>D</v>
      </c>
      <c r="E569" t="str">
        <f t="shared" si="64"/>
        <v>D</v>
      </c>
      <c r="F569" t="str">
        <f t="shared" si="59"/>
        <v>I</v>
      </c>
      <c r="G569">
        <f t="shared" si="60"/>
        <v>2</v>
      </c>
      <c r="H569">
        <f t="shared" si="61"/>
        <v>4</v>
      </c>
      <c r="I569">
        <f t="shared" si="62"/>
        <v>4</v>
      </c>
      <c r="J569">
        <f t="shared" si="63"/>
        <v>9</v>
      </c>
    </row>
    <row r="570" spans="1:10" x14ac:dyDescent="0.25">
      <c r="A570">
        <v>568</v>
      </c>
      <c r="B570" t="str">
        <f t="shared" si="58"/>
        <v>NOK</v>
      </c>
      <c r="C570" t="str">
        <f t="shared" si="64"/>
        <v>B</v>
      </c>
      <c r="D570" t="str">
        <f t="shared" si="64"/>
        <v>D</v>
      </c>
      <c r="E570" t="str">
        <f t="shared" si="64"/>
        <v>D</v>
      </c>
      <c r="F570" t="str">
        <f t="shared" si="59"/>
        <v>J</v>
      </c>
      <c r="G570">
        <f t="shared" si="60"/>
        <v>2</v>
      </c>
      <c r="H570">
        <f t="shared" si="61"/>
        <v>4</v>
      </c>
      <c r="I570">
        <f t="shared" si="62"/>
        <v>4</v>
      </c>
      <c r="J570">
        <f t="shared" si="63"/>
        <v>10</v>
      </c>
    </row>
    <row r="571" spans="1:10" x14ac:dyDescent="0.25">
      <c r="A571">
        <v>569</v>
      </c>
      <c r="B571" t="str">
        <f t="shared" si="58"/>
        <v>NOK</v>
      </c>
      <c r="C571" t="str">
        <f t="shared" si="64"/>
        <v>B</v>
      </c>
      <c r="D571" t="str">
        <f t="shared" si="64"/>
        <v>D</v>
      </c>
      <c r="E571" t="str">
        <f t="shared" si="64"/>
        <v>D</v>
      </c>
      <c r="F571" t="str">
        <f t="shared" si="59"/>
        <v>K</v>
      </c>
      <c r="G571">
        <f t="shared" si="60"/>
        <v>2</v>
      </c>
      <c r="H571">
        <f t="shared" si="61"/>
        <v>4</v>
      </c>
      <c r="I571">
        <f t="shared" si="62"/>
        <v>4</v>
      </c>
      <c r="J571">
        <f t="shared" si="63"/>
        <v>11</v>
      </c>
    </row>
    <row r="572" spans="1:10" x14ac:dyDescent="0.25">
      <c r="A572">
        <v>570</v>
      </c>
      <c r="B572" t="str">
        <f t="shared" si="58"/>
        <v>NOK</v>
      </c>
      <c r="C572" t="str">
        <f t="shared" si="64"/>
        <v>B</v>
      </c>
      <c r="D572" t="str">
        <f t="shared" si="64"/>
        <v>D</v>
      </c>
      <c r="E572" t="str">
        <f t="shared" si="64"/>
        <v>D</v>
      </c>
      <c r="F572" t="str">
        <f t="shared" si="59"/>
        <v>L</v>
      </c>
      <c r="G572">
        <f t="shared" si="60"/>
        <v>2</v>
      </c>
      <c r="H572">
        <f t="shared" si="61"/>
        <v>4</v>
      </c>
      <c r="I572">
        <f t="shared" si="62"/>
        <v>4</v>
      </c>
      <c r="J572">
        <f t="shared" si="63"/>
        <v>12</v>
      </c>
    </row>
    <row r="573" spans="1:10" x14ac:dyDescent="0.25">
      <c r="A573">
        <v>571</v>
      </c>
      <c r="B573" t="str">
        <f t="shared" si="58"/>
        <v>NOK</v>
      </c>
      <c r="C573" t="str">
        <f t="shared" si="64"/>
        <v>B</v>
      </c>
      <c r="D573" t="str">
        <f t="shared" si="64"/>
        <v>D</v>
      </c>
      <c r="E573" t="str">
        <f t="shared" si="64"/>
        <v>D</v>
      </c>
      <c r="F573" t="str">
        <f t="shared" si="59"/>
        <v>M</v>
      </c>
      <c r="G573">
        <f t="shared" si="60"/>
        <v>2</v>
      </c>
      <c r="H573">
        <f t="shared" si="61"/>
        <v>4</v>
      </c>
      <c r="I573">
        <f t="shared" si="62"/>
        <v>4</v>
      </c>
      <c r="J573">
        <f t="shared" si="63"/>
        <v>13</v>
      </c>
    </row>
    <row r="574" spans="1:10" x14ac:dyDescent="0.25">
      <c r="A574">
        <v>572</v>
      </c>
      <c r="B574" t="str">
        <f t="shared" si="58"/>
        <v>NOK</v>
      </c>
      <c r="C574" t="str">
        <f t="shared" si="64"/>
        <v>B</v>
      </c>
      <c r="D574" t="str">
        <f t="shared" si="64"/>
        <v>D</v>
      </c>
      <c r="E574" t="str">
        <f t="shared" si="64"/>
        <v>E</v>
      </c>
      <c r="F574" t="str">
        <f t="shared" si="59"/>
        <v>A</v>
      </c>
      <c r="G574">
        <f t="shared" si="60"/>
        <v>2</v>
      </c>
      <c r="H574">
        <f t="shared" si="61"/>
        <v>4</v>
      </c>
      <c r="I574">
        <f t="shared" si="62"/>
        <v>5</v>
      </c>
      <c r="J574">
        <f t="shared" si="63"/>
        <v>1</v>
      </c>
    </row>
    <row r="575" spans="1:10" x14ac:dyDescent="0.25">
      <c r="A575">
        <v>573</v>
      </c>
      <c r="B575" t="str">
        <f t="shared" si="58"/>
        <v>NOK</v>
      </c>
      <c r="C575" t="str">
        <f t="shared" si="64"/>
        <v>B</v>
      </c>
      <c r="D575" t="str">
        <f t="shared" si="64"/>
        <v>D</v>
      </c>
      <c r="E575" t="str">
        <f t="shared" si="64"/>
        <v>E</v>
      </c>
      <c r="F575" t="str">
        <f t="shared" si="59"/>
        <v>B</v>
      </c>
      <c r="G575">
        <f t="shared" si="60"/>
        <v>2</v>
      </c>
      <c r="H575">
        <f t="shared" si="61"/>
        <v>4</v>
      </c>
      <c r="I575">
        <f t="shared" si="62"/>
        <v>5</v>
      </c>
      <c r="J575">
        <f t="shared" si="63"/>
        <v>2</v>
      </c>
    </row>
    <row r="576" spans="1:10" x14ac:dyDescent="0.25">
      <c r="A576">
        <v>574</v>
      </c>
      <c r="B576" t="str">
        <f t="shared" si="58"/>
        <v>NOK</v>
      </c>
      <c r="C576" t="str">
        <f t="shared" si="64"/>
        <v>B</v>
      </c>
      <c r="D576" t="str">
        <f t="shared" si="64"/>
        <v>D</v>
      </c>
      <c r="E576" t="str">
        <f t="shared" si="64"/>
        <v>E</v>
      </c>
      <c r="F576" t="str">
        <f t="shared" si="59"/>
        <v>C</v>
      </c>
      <c r="G576">
        <f t="shared" si="60"/>
        <v>2</v>
      </c>
      <c r="H576">
        <f t="shared" si="61"/>
        <v>4</v>
      </c>
      <c r="I576">
        <f t="shared" si="62"/>
        <v>5</v>
      </c>
      <c r="J576">
        <f t="shared" si="63"/>
        <v>3</v>
      </c>
    </row>
    <row r="577" spans="1:10" x14ac:dyDescent="0.25">
      <c r="A577">
        <v>575</v>
      </c>
      <c r="B577" t="str">
        <f t="shared" si="58"/>
        <v>NOK</v>
      </c>
      <c r="C577" t="str">
        <f t="shared" si="64"/>
        <v>B</v>
      </c>
      <c r="D577" t="str">
        <f t="shared" si="64"/>
        <v>D</v>
      </c>
      <c r="E577" t="str">
        <f t="shared" si="64"/>
        <v>E</v>
      </c>
      <c r="F577" t="str">
        <f t="shared" si="59"/>
        <v>D</v>
      </c>
      <c r="G577">
        <f t="shared" si="60"/>
        <v>2</v>
      </c>
      <c r="H577">
        <f t="shared" si="61"/>
        <v>4</v>
      </c>
      <c r="I577">
        <f t="shared" si="62"/>
        <v>5</v>
      </c>
      <c r="J577">
        <f t="shared" si="63"/>
        <v>4</v>
      </c>
    </row>
    <row r="578" spans="1:10" x14ac:dyDescent="0.25">
      <c r="A578">
        <v>576</v>
      </c>
      <c r="B578" t="str">
        <f t="shared" ref="B578:B641" si="65">IF(ROUND(_xlfn.XLOOKUP(C578,$U$1:$U$5,$T$1:$T$5,,0,1)+_xlfn.XLOOKUP(D578,$W$1:$W$5,$V$1:$V$5,,0,1)+_xlfn.XLOOKUP(E578,$Y$1:$Y$5,$X$1:$X$5,,0,1)-_xlfn.XLOOKUP(F578,$AA$1:$AA$13,$Z$1:$Z$13,,0,1),3)=0.325,"OK","NOK")</f>
        <v>NOK</v>
      </c>
      <c r="C578" t="str">
        <f t="shared" si="64"/>
        <v>B</v>
      </c>
      <c r="D578" t="str">
        <f t="shared" si="64"/>
        <v>D</v>
      </c>
      <c r="E578" t="str">
        <f t="shared" si="64"/>
        <v>E</v>
      </c>
      <c r="F578" t="str">
        <f t="shared" ref="F578:F641" si="66">IF(J578=1,"A",IF(J578=2,"B",IF(J578=3,"C",IF(J578=4,"D",IF(J578=5,"E",IF(J578=6,"F",IF(J578=7,"G",IF(J578=8,"H",IF(J578=9,"I",IF(J578=10,"J",IF(J578=11,"K",IF(J578=12,"L",IF(J578=13,"M","ERRO")))))))))))))</f>
        <v>E</v>
      </c>
      <c r="G578">
        <f t="shared" ref="G578:G641" si="67">INT($A578/325)+1</f>
        <v>2</v>
      </c>
      <c r="H578">
        <f t="shared" ref="H578:H641" si="68">INT(MOD($A578,325)/65)+1</f>
        <v>4</v>
      </c>
      <c r="I578">
        <f t="shared" ref="I578:I641" si="69">INT(MOD($A578,65)/13)+1</f>
        <v>5</v>
      </c>
      <c r="J578">
        <f t="shared" ref="J578:J641" si="70">MOD($A578,13)+1</f>
        <v>5</v>
      </c>
    </row>
    <row r="579" spans="1:10" x14ac:dyDescent="0.25">
      <c r="A579">
        <v>577</v>
      </c>
      <c r="B579" t="str">
        <f t="shared" si="65"/>
        <v>NOK</v>
      </c>
      <c r="C579" t="str">
        <f t="shared" ref="C579:E626" si="71">IF(G579=1,"A",IF(G579=2,"B",IF(G579=3,"C",IF(G579=4,"D",IF(G579=5,"E","ERRO")))))</f>
        <v>B</v>
      </c>
      <c r="D579" t="str">
        <f t="shared" si="71"/>
        <v>D</v>
      </c>
      <c r="E579" t="str">
        <f t="shared" si="71"/>
        <v>E</v>
      </c>
      <c r="F579" t="str">
        <f t="shared" si="66"/>
        <v>F</v>
      </c>
      <c r="G579">
        <f t="shared" si="67"/>
        <v>2</v>
      </c>
      <c r="H579">
        <f t="shared" si="68"/>
        <v>4</v>
      </c>
      <c r="I579">
        <f t="shared" si="69"/>
        <v>5</v>
      </c>
      <c r="J579">
        <f t="shared" si="70"/>
        <v>6</v>
      </c>
    </row>
    <row r="580" spans="1:10" x14ac:dyDescent="0.25">
      <c r="A580">
        <v>578</v>
      </c>
      <c r="B580" t="str">
        <f t="shared" si="65"/>
        <v>NOK</v>
      </c>
      <c r="C580" t="str">
        <f t="shared" si="71"/>
        <v>B</v>
      </c>
      <c r="D580" t="str">
        <f t="shared" si="71"/>
        <v>D</v>
      </c>
      <c r="E580" t="str">
        <f t="shared" si="71"/>
        <v>E</v>
      </c>
      <c r="F580" t="str">
        <f t="shared" si="66"/>
        <v>G</v>
      </c>
      <c r="G580">
        <f t="shared" si="67"/>
        <v>2</v>
      </c>
      <c r="H580">
        <f t="shared" si="68"/>
        <v>4</v>
      </c>
      <c r="I580">
        <f t="shared" si="69"/>
        <v>5</v>
      </c>
      <c r="J580">
        <f t="shared" si="70"/>
        <v>7</v>
      </c>
    </row>
    <row r="581" spans="1:10" x14ac:dyDescent="0.25">
      <c r="A581">
        <v>579</v>
      </c>
      <c r="B581" t="str">
        <f t="shared" si="65"/>
        <v>NOK</v>
      </c>
      <c r="C581" t="str">
        <f t="shared" si="71"/>
        <v>B</v>
      </c>
      <c r="D581" t="str">
        <f t="shared" si="71"/>
        <v>D</v>
      </c>
      <c r="E581" t="str">
        <f t="shared" si="71"/>
        <v>E</v>
      </c>
      <c r="F581" t="str">
        <f t="shared" si="66"/>
        <v>H</v>
      </c>
      <c r="G581">
        <f t="shared" si="67"/>
        <v>2</v>
      </c>
      <c r="H581">
        <f t="shared" si="68"/>
        <v>4</v>
      </c>
      <c r="I581">
        <f t="shared" si="69"/>
        <v>5</v>
      </c>
      <c r="J581">
        <f t="shared" si="70"/>
        <v>8</v>
      </c>
    </row>
    <row r="582" spans="1:10" x14ac:dyDescent="0.25">
      <c r="A582">
        <v>580</v>
      </c>
      <c r="B582" t="str">
        <f t="shared" si="65"/>
        <v>OK</v>
      </c>
      <c r="C582" t="str">
        <f t="shared" si="71"/>
        <v>B</v>
      </c>
      <c r="D582" t="str">
        <f t="shared" si="71"/>
        <v>D</v>
      </c>
      <c r="E582" t="str">
        <f t="shared" si="71"/>
        <v>E</v>
      </c>
      <c r="F582" t="str">
        <f t="shared" si="66"/>
        <v>I</v>
      </c>
      <c r="G582">
        <f t="shared" si="67"/>
        <v>2</v>
      </c>
      <c r="H582">
        <f t="shared" si="68"/>
        <v>4</v>
      </c>
      <c r="I582">
        <f t="shared" si="69"/>
        <v>5</v>
      </c>
      <c r="J582">
        <f t="shared" si="70"/>
        <v>9</v>
      </c>
    </row>
    <row r="583" spans="1:10" x14ac:dyDescent="0.25">
      <c r="A583">
        <v>581</v>
      </c>
      <c r="B583" t="str">
        <f t="shared" si="65"/>
        <v>NOK</v>
      </c>
      <c r="C583" t="str">
        <f t="shared" si="71"/>
        <v>B</v>
      </c>
      <c r="D583" t="str">
        <f t="shared" si="71"/>
        <v>D</v>
      </c>
      <c r="E583" t="str">
        <f t="shared" si="71"/>
        <v>E</v>
      </c>
      <c r="F583" t="str">
        <f t="shared" si="66"/>
        <v>J</v>
      </c>
      <c r="G583">
        <f t="shared" si="67"/>
        <v>2</v>
      </c>
      <c r="H583">
        <f t="shared" si="68"/>
        <v>4</v>
      </c>
      <c r="I583">
        <f t="shared" si="69"/>
        <v>5</v>
      </c>
      <c r="J583">
        <f t="shared" si="70"/>
        <v>10</v>
      </c>
    </row>
    <row r="584" spans="1:10" x14ac:dyDescent="0.25">
      <c r="A584">
        <v>582</v>
      </c>
      <c r="B584" t="str">
        <f t="shared" si="65"/>
        <v>NOK</v>
      </c>
      <c r="C584" t="str">
        <f t="shared" si="71"/>
        <v>B</v>
      </c>
      <c r="D584" t="str">
        <f t="shared" si="71"/>
        <v>D</v>
      </c>
      <c r="E584" t="str">
        <f t="shared" si="71"/>
        <v>E</v>
      </c>
      <c r="F584" t="str">
        <f t="shared" si="66"/>
        <v>K</v>
      </c>
      <c r="G584">
        <f t="shared" si="67"/>
        <v>2</v>
      </c>
      <c r="H584">
        <f t="shared" si="68"/>
        <v>4</v>
      </c>
      <c r="I584">
        <f t="shared" si="69"/>
        <v>5</v>
      </c>
      <c r="J584">
        <f t="shared" si="70"/>
        <v>11</v>
      </c>
    </row>
    <row r="585" spans="1:10" x14ac:dyDescent="0.25">
      <c r="A585">
        <v>583</v>
      </c>
      <c r="B585" t="str">
        <f t="shared" si="65"/>
        <v>NOK</v>
      </c>
      <c r="C585" t="str">
        <f t="shared" si="71"/>
        <v>B</v>
      </c>
      <c r="D585" t="str">
        <f t="shared" si="71"/>
        <v>D</v>
      </c>
      <c r="E585" t="str">
        <f t="shared" si="71"/>
        <v>E</v>
      </c>
      <c r="F585" t="str">
        <f t="shared" si="66"/>
        <v>L</v>
      </c>
      <c r="G585">
        <f t="shared" si="67"/>
        <v>2</v>
      </c>
      <c r="H585">
        <f t="shared" si="68"/>
        <v>4</v>
      </c>
      <c r="I585">
        <f t="shared" si="69"/>
        <v>5</v>
      </c>
      <c r="J585">
        <f t="shared" si="70"/>
        <v>12</v>
      </c>
    </row>
    <row r="586" spans="1:10" x14ac:dyDescent="0.25">
      <c r="A586">
        <v>584</v>
      </c>
      <c r="B586" t="str">
        <f t="shared" si="65"/>
        <v>NOK</v>
      </c>
      <c r="C586" t="str">
        <f t="shared" si="71"/>
        <v>B</v>
      </c>
      <c r="D586" t="str">
        <f t="shared" si="71"/>
        <v>D</v>
      </c>
      <c r="E586" t="str">
        <f t="shared" si="71"/>
        <v>E</v>
      </c>
      <c r="F586" t="str">
        <f t="shared" si="66"/>
        <v>M</v>
      </c>
      <c r="G586">
        <f t="shared" si="67"/>
        <v>2</v>
      </c>
      <c r="H586">
        <f t="shared" si="68"/>
        <v>4</v>
      </c>
      <c r="I586">
        <f t="shared" si="69"/>
        <v>5</v>
      </c>
      <c r="J586">
        <f t="shared" si="70"/>
        <v>13</v>
      </c>
    </row>
    <row r="587" spans="1:10" x14ac:dyDescent="0.25">
      <c r="A587">
        <v>585</v>
      </c>
      <c r="B587" t="str">
        <f t="shared" si="65"/>
        <v>NOK</v>
      </c>
      <c r="C587" t="str">
        <f t="shared" si="71"/>
        <v>B</v>
      </c>
      <c r="D587" t="str">
        <f t="shared" si="71"/>
        <v>E</v>
      </c>
      <c r="E587" t="str">
        <f t="shared" si="71"/>
        <v>A</v>
      </c>
      <c r="F587" t="str">
        <f t="shared" si="66"/>
        <v>A</v>
      </c>
      <c r="G587">
        <f t="shared" si="67"/>
        <v>2</v>
      </c>
      <c r="H587">
        <f t="shared" si="68"/>
        <v>5</v>
      </c>
      <c r="I587">
        <f t="shared" si="69"/>
        <v>1</v>
      </c>
      <c r="J587">
        <f t="shared" si="70"/>
        <v>1</v>
      </c>
    </row>
    <row r="588" spans="1:10" x14ac:dyDescent="0.25">
      <c r="A588">
        <v>586</v>
      </c>
      <c r="B588" t="str">
        <f t="shared" si="65"/>
        <v>NOK</v>
      </c>
      <c r="C588" t="str">
        <f t="shared" si="71"/>
        <v>B</v>
      </c>
      <c r="D588" t="str">
        <f t="shared" si="71"/>
        <v>E</v>
      </c>
      <c r="E588" t="str">
        <f t="shared" si="71"/>
        <v>A</v>
      </c>
      <c r="F588" t="str">
        <f t="shared" si="66"/>
        <v>B</v>
      </c>
      <c r="G588">
        <f t="shared" si="67"/>
        <v>2</v>
      </c>
      <c r="H588">
        <f t="shared" si="68"/>
        <v>5</v>
      </c>
      <c r="I588">
        <f t="shared" si="69"/>
        <v>1</v>
      </c>
      <c r="J588">
        <f t="shared" si="70"/>
        <v>2</v>
      </c>
    </row>
    <row r="589" spans="1:10" x14ac:dyDescent="0.25">
      <c r="A589">
        <v>587</v>
      </c>
      <c r="B589" t="str">
        <f t="shared" si="65"/>
        <v>NOK</v>
      </c>
      <c r="C589" t="str">
        <f t="shared" si="71"/>
        <v>B</v>
      </c>
      <c r="D589" t="str">
        <f t="shared" si="71"/>
        <v>E</v>
      </c>
      <c r="E589" t="str">
        <f t="shared" si="71"/>
        <v>A</v>
      </c>
      <c r="F589" t="str">
        <f t="shared" si="66"/>
        <v>C</v>
      </c>
      <c r="G589">
        <f t="shared" si="67"/>
        <v>2</v>
      </c>
      <c r="H589">
        <f t="shared" si="68"/>
        <v>5</v>
      </c>
      <c r="I589">
        <f t="shared" si="69"/>
        <v>1</v>
      </c>
      <c r="J589">
        <f t="shared" si="70"/>
        <v>3</v>
      </c>
    </row>
    <row r="590" spans="1:10" x14ac:dyDescent="0.25">
      <c r="A590">
        <v>588</v>
      </c>
      <c r="B590" t="str">
        <f t="shared" si="65"/>
        <v>NOK</v>
      </c>
      <c r="C590" t="str">
        <f t="shared" si="71"/>
        <v>B</v>
      </c>
      <c r="D590" t="str">
        <f t="shared" si="71"/>
        <v>E</v>
      </c>
      <c r="E590" t="str">
        <f t="shared" si="71"/>
        <v>A</v>
      </c>
      <c r="F590" t="str">
        <f t="shared" si="66"/>
        <v>D</v>
      </c>
      <c r="G590">
        <f t="shared" si="67"/>
        <v>2</v>
      </c>
      <c r="H590">
        <f t="shared" si="68"/>
        <v>5</v>
      </c>
      <c r="I590">
        <f t="shared" si="69"/>
        <v>1</v>
      </c>
      <c r="J590">
        <f t="shared" si="70"/>
        <v>4</v>
      </c>
    </row>
    <row r="591" spans="1:10" x14ac:dyDescent="0.25">
      <c r="A591">
        <v>589</v>
      </c>
      <c r="B591" t="str">
        <f t="shared" si="65"/>
        <v>NOK</v>
      </c>
      <c r="C591" t="str">
        <f t="shared" si="71"/>
        <v>B</v>
      </c>
      <c r="D591" t="str">
        <f t="shared" si="71"/>
        <v>E</v>
      </c>
      <c r="E591" t="str">
        <f t="shared" si="71"/>
        <v>A</v>
      </c>
      <c r="F591" t="str">
        <f t="shared" si="66"/>
        <v>E</v>
      </c>
      <c r="G591">
        <f t="shared" si="67"/>
        <v>2</v>
      </c>
      <c r="H591">
        <f t="shared" si="68"/>
        <v>5</v>
      </c>
      <c r="I591">
        <f t="shared" si="69"/>
        <v>1</v>
      </c>
      <c r="J591">
        <f t="shared" si="70"/>
        <v>5</v>
      </c>
    </row>
    <row r="592" spans="1:10" x14ac:dyDescent="0.25">
      <c r="A592">
        <v>590</v>
      </c>
      <c r="B592" t="str">
        <f t="shared" si="65"/>
        <v>OK</v>
      </c>
      <c r="C592" t="str">
        <f t="shared" si="71"/>
        <v>B</v>
      </c>
      <c r="D592" t="str">
        <f t="shared" si="71"/>
        <v>E</v>
      </c>
      <c r="E592" t="str">
        <f t="shared" si="71"/>
        <v>A</v>
      </c>
      <c r="F592" t="str">
        <f t="shared" si="66"/>
        <v>F</v>
      </c>
      <c r="G592">
        <f t="shared" si="67"/>
        <v>2</v>
      </c>
      <c r="H592">
        <f t="shared" si="68"/>
        <v>5</v>
      </c>
      <c r="I592">
        <f t="shared" si="69"/>
        <v>1</v>
      </c>
      <c r="J592">
        <f t="shared" si="70"/>
        <v>6</v>
      </c>
    </row>
    <row r="593" spans="1:10" x14ac:dyDescent="0.25">
      <c r="A593">
        <v>591</v>
      </c>
      <c r="B593" t="str">
        <f t="shared" si="65"/>
        <v>NOK</v>
      </c>
      <c r="C593" t="str">
        <f t="shared" si="71"/>
        <v>B</v>
      </c>
      <c r="D593" t="str">
        <f t="shared" si="71"/>
        <v>E</v>
      </c>
      <c r="E593" t="str">
        <f t="shared" si="71"/>
        <v>A</v>
      </c>
      <c r="F593" t="str">
        <f t="shared" si="66"/>
        <v>G</v>
      </c>
      <c r="G593">
        <f t="shared" si="67"/>
        <v>2</v>
      </c>
      <c r="H593">
        <f t="shared" si="68"/>
        <v>5</v>
      </c>
      <c r="I593">
        <f t="shared" si="69"/>
        <v>1</v>
      </c>
      <c r="J593">
        <f t="shared" si="70"/>
        <v>7</v>
      </c>
    </row>
    <row r="594" spans="1:10" x14ac:dyDescent="0.25">
      <c r="A594">
        <v>592</v>
      </c>
      <c r="B594" t="str">
        <f t="shared" si="65"/>
        <v>NOK</v>
      </c>
      <c r="C594" t="str">
        <f t="shared" si="71"/>
        <v>B</v>
      </c>
      <c r="D594" t="str">
        <f t="shared" si="71"/>
        <v>E</v>
      </c>
      <c r="E594" t="str">
        <f t="shared" si="71"/>
        <v>A</v>
      </c>
      <c r="F594" t="str">
        <f t="shared" si="66"/>
        <v>H</v>
      </c>
      <c r="G594">
        <f t="shared" si="67"/>
        <v>2</v>
      </c>
      <c r="H594">
        <f t="shared" si="68"/>
        <v>5</v>
      </c>
      <c r="I594">
        <f t="shared" si="69"/>
        <v>1</v>
      </c>
      <c r="J594">
        <f t="shared" si="70"/>
        <v>8</v>
      </c>
    </row>
    <row r="595" spans="1:10" x14ac:dyDescent="0.25">
      <c r="A595">
        <v>593</v>
      </c>
      <c r="B595" t="str">
        <f t="shared" si="65"/>
        <v>NOK</v>
      </c>
      <c r="C595" t="str">
        <f t="shared" si="71"/>
        <v>B</v>
      </c>
      <c r="D595" t="str">
        <f t="shared" si="71"/>
        <v>E</v>
      </c>
      <c r="E595" t="str">
        <f t="shared" si="71"/>
        <v>A</v>
      </c>
      <c r="F595" t="str">
        <f t="shared" si="66"/>
        <v>I</v>
      </c>
      <c r="G595">
        <f t="shared" si="67"/>
        <v>2</v>
      </c>
      <c r="H595">
        <f t="shared" si="68"/>
        <v>5</v>
      </c>
      <c r="I595">
        <f t="shared" si="69"/>
        <v>1</v>
      </c>
      <c r="J595">
        <f t="shared" si="70"/>
        <v>9</v>
      </c>
    </row>
    <row r="596" spans="1:10" x14ac:dyDescent="0.25">
      <c r="A596">
        <v>594</v>
      </c>
      <c r="B596" t="str">
        <f t="shared" si="65"/>
        <v>NOK</v>
      </c>
      <c r="C596" t="str">
        <f t="shared" si="71"/>
        <v>B</v>
      </c>
      <c r="D596" t="str">
        <f t="shared" si="71"/>
        <v>E</v>
      </c>
      <c r="E596" t="str">
        <f t="shared" si="71"/>
        <v>A</v>
      </c>
      <c r="F596" t="str">
        <f t="shared" si="66"/>
        <v>J</v>
      </c>
      <c r="G596">
        <f t="shared" si="67"/>
        <v>2</v>
      </c>
      <c r="H596">
        <f t="shared" si="68"/>
        <v>5</v>
      </c>
      <c r="I596">
        <f t="shared" si="69"/>
        <v>1</v>
      </c>
      <c r="J596">
        <f t="shared" si="70"/>
        <v>10</v>
      </c>
    </row>
    <row r="597" spans="1:10" x14ac:dyDescent="0.25">
      <c r="A597">
        <v>595</v>
      </c>
      <c r="B597" t="str">
        <f t="shared" si="65"/>
        <v>NOK</v>
      </c>
      <c r="C597" t="str">
        <f t="shared" si="71"/>
        <v>B</v>
      </c>
      <c r="D597" t="str">
        <f t="shared" si="71"/>
        <v>E</v>
      </c>
      <c r="E597" t="str">
        <f t="shared" si="71"/>
        <v>A</v>
      </c>
      <c r="F597" t="str">
        <f t="shared" si="66"/>
        <v>K</v>
      </c>
      <c r="G597">
        <f t="shared" si="67"/>
        <v>2</v>
      </c>
      <c r="H597">
        <f t="shared" si="68"/>
        <v>5</v>
      </c>
      <c r="I597">
        <f t="shared" si="69"/>
        <v>1</v>
      </c>
      <c r="J597">
        <f t="shared" si="70"/>
        <v>11</v>
      </c>
    </row>
    <row r="598" spans="1:10" x14ac:dyDescent="0.25">
      <c r="A598">
        <v>596</v>
      </c>
      <c r="B598" t="str">
        <f t="shared" si="65"/>
        <v>NOK</v>
      </c>
      <c r="C598" t="str">
        <f t="shared" si="71"/>
        <v>B</v>
      </c>
      <c r="D598" t="str">
        <f t="shared" si="71"/>
        <v>E</v>
      </c>
      <c r="E598" t="str">
        <f t="shared" si="71"/>
        <v>A</v>
      </c>
      <c r="F598" t="str">
        <f t="shared" si="66"/>
        <v>L</v>
      </c>
      <c r="G598">
        <f t="shared" si="67"/>
        <v>2</v>
      </c>
      <c r="H598">
        <f t="shared" si="68"/>
        <v>5</v>
      </c>
      <c r="I598">
        <f t="shared" si="69"/>
        <v>1</v>
      </c>
      <c r="J598">
        <f t="shared" si="70"/>
        <v>12</v>
      </c>
    </row>
    <row r="599" spans="1:10" x14ac:dyDescent="0.25">
      <c r="A599">
        <v>597</v>
      </c>
      <c r="B599" t="str">
        <f t="shared" si="65"/>
        <v>NOK</v>
      </c>
      <c r="C599" t="str">
        <f t="shared" si="71"/>
        <v>B</v>
      </c>
      <c r="D599" t="str">
        <f t="shared" si="71"/>
        <v>E</v>
      </c>
      <c r="E599" t="str">
        <f t="shared" si="71"/>
        <v>A</v>
      </c>
      <c r="F599" t="str">
        <f t="shared" si="66"/>
        <v>M</v>
      </c>
      <c r="G599">
        <f t="shared" si="67"/>
        <v>2</v>
      </c>
      <c r="H599">
        <f t="shared" si="68"/>
        <v>5</v>
      </c>
      <c r="I599">
        <f t="shared" si="69"/>
        <v>1</v>
      </c>
      <c r="J599">
        <f t="shared" si="70"/>
        <v>13</v>
      </c>
    </row>
    <row r="600" spans="1:10" x14ac:dyDescent="0.25">
      <c r="A600">
        <v>598</v>
      </c>
      <c r="B600" t="str">
        <f t="shared" si="65"/>
        <v>NOK</v>
      </c>
      <c r="C600" t="str">
        <f t="shared" si="71"/>
        <v>B</v>
      </c>
      <c r="D600" t="str">
        <f t="shared" si="71"/>
        <v>E</v>
      </c>
      <c r="E600" t="str">
        <f t="shared" si="71"/>
        <v>B</v>
      </c>
      <c r="F600" t="str">
        <f t="shared" si="66"/>
        <v>A</v>
      </c>
      <c r="G600">
        <f t="shared" si="67"/>
        <v>2</v>
      </c>
      <c r="H600">
        <f t="shared" si="68"/>
        <v>5</v>
      </c>
      <c r="I600">
        <f t="shared" si="69"/>
        <v>2</v>
      </c>
      <c r="J600">
        <f t="shared" si="70"/>
        <v>1</v>
      </c>
    </row>
    <row r="601" spans="1:10" x14ac:dyDescent="0.25">
      <c r="A601">
        <v>599</v>
      </c>
      <c r="B601" t="str">
        <f t="shared" si="65"/>
        <v>NOK</v>
      </c>
      <c r="C601" t="str">
        <f t="shared" si="71"/>
        <v>B</v>
      </c>
      <c r="D601" t="str">
        <f t="shared" si="71"/>
        <v>E</v>
      </c>
      <c r="E601" t="str">
        <f t="shared" si="71"/>
        <v>B</v>
      </c>
      <c r="F601" t="str">
        <f t="shared" si="66"/>
        <v>B</v>
      </c>
      <c r="G601">
        <f t="shared" si="67"/>
        <v>2</v>
      </c>
      <c r="H601">
        <f t="shared" si="68"/>
        <v>5</v>
      </c>
      <c r="I601">
        <f t="shared" si="69"/>
        <v>2</v>
      </c>
      <c r="J601">
        <f t="shared" si="70"/>
        <v>2</v>
      </c>
    </row>
    <row r="602" spans="1:10" x14ac:dyDescent="0.25">
      <c r="A602">
        <v>600</v>
      </c>
      <c r="B602" t="str">
        <f t="shared" si="65"/>
        <v>NOK</v>
      </c>
      <c r="C602" t="str">
        <f t="shared" si="71"/>
        <v>B</v>
      </c>
      <c r="D602" t="str">
        <f t="shared" si="71"/>
        <v>E</v>
      </c>
      <c r="E602" t="str">
        <f t="shared" si="71"/>
        <v>B</v>
      </c>
      <c r="F602" t="str">
        <f t="shared" si="66"/>
        <v>C</v>
      </c>
      <c r="G602">
        <f t="shared" si="67"/>
        <v>2</v>
      </c>
      <c r="H602">
        <f t="shared" si="68"/>
        <v>5</v>
      </c>
      <c r="I602">
        <f t="shared" si="69"/>
        <v>2</v>
      </c>
      <c r="J602">
        <f t="shared" si="70"/>
        <v>3</v>
      </c>
    </row>
    <row r="603" spans="1:10" x14ac:dyDescent="0.25">
      <c r="A603">
        <v>601</v>
      </c>
      <c r="B603" t="str">
        <f t="shared" si="65"/>
        <v>NOK</v>
      </c>
      <c r="C603" t="str">
        <f t="shared" si="71"/>
        <v>B</v>
      </c>
      <c r="D603" t="str">
        <f t="shared" si="71"/>
        <v>E</v>
      </c>
      <c r="E603" t="str">
        <f t="shared" si="71"/>
        <v>B</v>
      </c>
      <c r="F603" t="str">
        <f t="shared" si="66"/>
        <v>D</v>
      </c>
      <c r="G603">
        <f t="shared" si="67"/>
        <v>2</v>
      </c>
      <c r="H603">
        <f t="shared" si="68"/>
        <v>5</v>
      </c>
      <c r="I603">
        <f t="shared" si="69"/>
        <v>2</v>
      </c>
      <c r="J603">
        <f t="shared" si="70"/>
        <v>4</v>
      </c>
    </row>
    <row r="604" spans="1:10" x14ac:dyDescent="0.25">
      <c r="A604">
        <v>602</v>
      </c>
      <c r="B604" t="str">
        <f t="shared" si="65"/>
        <v>NOK</v>
      </c>
      <c r="C604" t="str">
        <f t="shared" si="71"/>
        <v>B</v>
      </c>
      <c r="D604" t="str">
        <f t="shared" si="71"/>
        <v>E</v>
      </c>
      <c r="E604" t="str">
        <f t="shared" si="71"/>
        <v>B</v>
      </c>
      <c r="F604" t="str">
        <f t="shared" si="66"/>
        <v>E</v>
      </c>
      <c r="G604">
        <f t="shared" si="67"/>
        <v>2</v>
      </c>
      <c r="H604">
        <f t="shared" si="68"/>
        <v>5</v>
      </c>
      <c r="I604">
        <f t="shared" si="69"/>
        <v>2</v>
      </c>
      <c r="J604">
        <f t="shared" si="70"/>
        <v>5</v>
      </c>
    </row>
    <row r="605" spans="1:10" x14ac:dyDescent="0.25">
      <c r="A605">
        <v>603</v>
      </c>
      <c r="B605" t="str">
        <f t="shared" si="65"/>
        <v>NOK</v>
      </c>
      <c r="C605" t="str">
        <f t="shared" si="71"/>
        <v>B</v>
      </c>
      <c r="D605" t="str">
        <f t="shared" si="71"/>
        <v>E</v>
      </c>
      <c r="E605" t="str">
        <f t="shared" si="71"/>
        <v>B</v>
      </c>
      <c r="F605" t="str">
        <f t="shared" si="66"/>
        <v>F</v>
      </c>
      <c r="G605">
        <f t="shared" si="67"/>
        <v>2</v>
      </c>
      <c r="H605">
        <f t="shared" si="68"/>
        <v>5</v>
      </c>
      <c r="I605">
        <f t="shared" si="69"/>
        <v>2</v>
      </c>
      <c r="J605">
        <f t="shared" si="70"/>
        <v>6</v>
      </c>
    </row>
    <row r="606" spans="1:10" x14ac:dyDescent="0.25">
      <c r="A606">
        <v>604</v>
      </c>
      <c r="B606" t="str">
        <f t="shared" si="65"/>
        <v>OK</v>
      </c>
      <c r="C606" t="str">
        <f t="shared" si="71"/>
        <v>B</v>
      </c>
      <c r="D606" t="str">
        <f t="shared" si="71"/>
        <v>E</v>
      </c>
      <c r="E606" t="str">
        <f t="shared" si="71"/>
        <v>B</v>
      </c>
      <c r="F606" t="str">
        <f t="shared" si="66"/>
        <v>G</v>
      </c>
      <c r="G606">
        <f t="shared" si="67"/>
        <v>2</v>
      </c>
      <c r="H606">
        <f t="shared" si="68"/>
        <v>5</v>
      </c>
      <c r="I606">
        <f t="shared" si="69"/>
        <v>2</v>
      </c>
      <c r="J606">
        <f t="shared" si="70"/>
        <v>7</v>
      </c>
    </row>
    <row r="607" spans="1:10" x14ac:dyDescent="0.25">
      <c r="A607">
        <v>605</v>
      </c>
      <c r="B607" t="str">
        <f t="shared" si="65"/>
        <v>NOK</v>
      </c>
      <c r="C607" t="str">
        <f t="shared" si="71"/>
        <v>B</v>
      </c>
      <c r="D607" t="str">
        <f t="shared" si="71"/>
        <v>E</v>
      </c>
      <c r="E607" t="str">
        <f t="shared" si="71"/>
        <v>B</v>
      </c>
      <c r="F607" t="str">
        <f t="shared" si="66"/>
        <v>H</v>
      </c>
      <c r="G607">
        <f t="shared" si="67"/>
        <v>2</v>
      </c>
      <c r="H607">
        <f t="shared" si="68"/>
        <v>5</v>
      </c>
      <c r="I607">
        <f t="shared" si="69"/>
        <v>2</v>
      </c>
      <c r="J607">
        <f t="shared" si="70"/>
        <v>8</v>
      </c>
    </row>
    <row r="608" spans="1:10" x14ac:dyDescent="0.25">
      <c r="A608">
        <v>606</v>
      </c>
      <c r="B608" t="str">
        <f t="shared" si="65"/>
        <v>NOK</v>
      </c>
      <c r="C608" t="str">
        <f t="shared" si="71"/>
        <v>B</v>
      </c>
      <c r="D608" t="str">
        <f t="shared" si="71"/>
        <v>E</v>
      </c>
      <c r="E608" t="str">
        <f t="shared" si="71"/>
        <v>B</v>
      </c>
      <c r="F608" t="str">
        <f t="shared" si="66"/>
        <v>I</v>
      </c>
      <c r="G608">
        <f t="shared" si="67"/>
        <v>2</v>
      </c>
      <c r="H608">
        <f t="shared" si="68"/>
        <v>5</v>
      </c>
      <c r="I608">
        <f t="shared" si="69"/>
        <v>2</v>
      </c>
      <c r="J608">
        <f t="shared" si="70"/>
        <v>9</v>
      </c>
    </row>
    <row r="609" spans="1:10" x14ac:dyDescent="0.25">
      <c r="A609">
        <v>607</v>
      </c>
      <c r="B609" t="str">
        <f t="shared" si="65"/>
        <v>NOK</v>
      </c>
      <c r="C609" t="str">
        <f t="shared" si="71"/>
        <v>B</v>
      </c>
      <c r="D609" t="str">
        <f t="shared" si="71"/>
        <v>E</v>
      </c>
      <c r="E609" t="str">
        <f t="shared" si="71"/>
        <v>B</v>
      </c>
      <c r="F609" t="str">
        <f t="shared" si="66"/>
        <v>J</v>
      </c>
      <c r="G609">
        <f t="shared" si="67"/>
        <v>2</v>
      </c>
      <c r="H609">
        <f t="shared" si="68"/>
        <v>5</v>
      </c>
      <c r="I609">
        <f t="shared" si="69"/>
        <v>2</v>
      </c>
      <c r="J609">
        <f t="shared" si="70"/>
        <v>10</v>
      </c>
    </row>
    <row r="610" spans="1:10" x14ac:dyDescent="0.25">
      <c r="A610">
        <v>608</v>
      </c>
      <c r="B610" t="str">
        <f t="shared" si="65"/>
        <v>NOK</v>
      </c>
      <c r="C610" t="str">
        <f t="shared" si="71"/>
        <v>B</v>
      </c>
      <c r="D610" t="str">
        <f t="shared" si="71"/>
        <v>E</v>
      </c>
      <c r="E610" t="str">
        <f t="shared" si="71"/>
        <v>B</v>
      </c>
      <c r="F610" t="str">
        <f t="shared" si="66"/>
        <v>K</v>
      </c>
      <c r="G610">
        <f t="shared" si="67"/>
        <v>2</v>
      </c>
      <c r="H610">
        <f t="shared" si="68"/>
        <v>5</v>
      </c>
      <c r="I610">
        <f t="shared" si="69"/>
        <v>2</v>
      </c>
      <c r="J610">
        <f t="shared" si="70"/>
        <v>11</v>
      </c>
    </row>
    <row r="611" spans="1:10" x14ac:dyDescent="0.25">
      <c r="A611">
        <v>609</v>
      </c>
      <c r="B611" t="str">
        <f t="shared" si="65"/>
        <v>NOK</v>
      </c>
      <c r="C611" t="str">
        <f t="shared" si="71"/>
        <v>B</v>
      </c>
      <c r="D611" t="str">
        <f t="shared" si="71"/>
        <v>E</v>
      </c>
      <c r="E611" t="str">
        <f t="shared" si="71"/>
        <v>B</v>
      </c>
      <c r="F611" t="str">
        <f t="shared" si="66"/>
        <v>L</v>
      </c>
      <c r="G611">
        <f t="shared" si="67"/>
        <v>2</v>
      </c>
      <c r="H611">
        <f t="shared" si="68"/>
        <v>5</v>
      </c>
      <c r="I611">
        <f t="shared" si="69"/>
        <v>2</v>
      </c>
      <c r="J611">
        <f t="shared" si="70"/>
        <v>12</v>
      </c>
    </row>
    <row r="612" spans="1:10" x14ac:dyDescent="0.25">
      <c r="A612">
        <v>610</v>
      </c>
      <c r="B612" t="str">
        <f t="shared" si="65"/>
        <v>NOK</v>
      </c>
      <c r="C612" t="str">
        <f t="shared" si="71"/>
        <v>B</v>
      </c>
      <c r="D612" t="str">
        <f t="shared" si="71"/>
        <v>E</v>
      </c>
      <c r="E612" t="str">
        <f t="shared" si="71"/>
        <v>B</v>
      </c>
      <c r="F612" t="str">
        <f t="shared" si="66"/>
        <v>M</v>
      </c>
      <c r="G612">
        <f t="shared" si="67"/>
        <v>2</v>
      </c>
      <c r="H612">
        <f t="shared" si="68"/>
        <v>5</v>
      </c>
      <c r="I612">
        <f t="shared" si="69"/>
        <v>2</v>
      </c>
      <c r="J612">
        <f t="shared" si="70"/>
        <v>13</v>
      </c>
    </row>
    <row r="613" spans="1:10" x14ac:dyDescent="0.25">
      <c r="A613">
        <v>611</v>
      </c>
      <c r="B613" t="str">
        <f t="shared" si="65"/>
        <v>NOK</v>
      </c>
      <c r="C613" t="str">
        <f t="shared" si="71"/>
        <v>B</v>
      </c>
      <c r="D613" t="str">
        <f t="shared" si="71"/>
        <v>E</v>
      </c>
      <c r="E613" t="str">
        <f t="shared" si="71"/>
        <v>C</v>
      </c>
      <c r="F613" t="str">
        <f t="shared" si="66"/>
        <v>A</v>
      </c>
      <c r="G613">
        <f t="shared" si="67"/>
        <v>2</v>
      </c>
      <c r="H613">
        <f t="shared" si="68"/>
        <v>5</v>
      </c>
      <c r="I613">
        <f t="shared" si="69"/>
        <v>3</v>
      </c>
      <c r="J613">
        <f t="shared" si="70"/>
        <v>1</v>
      </c>
    </row>
    <row r="614" spans="1:10" x14ac:dyDescent="0.25">
      <c r="A614">
        <v>612</v>
      </c>
      <c r="B614" t="str">
        <f t="shared" si="65"/>
        <v>NOK</v>
      </c>
      <c r="C614" t="str">
        <f t="shared" si="71"/>
        <v>B</v>
      </c>
      <c r="D614" t="str">
        <f t="shared" si="71"/>
        <v>E</v>
      </c>
      <c r="E614" t="str">
        <f t="shared" si="71"/>
        <v>C</v>
      </c>
      <c r="F614" t="str">
        <f t="shared" si="66"/>
        <v>B</v>
      </c>
      <c r="G614">
        <f t="shared" si="67"/>
        <v>2</v>
      </c>
      <c r="H614">
        <f t="shared" si="68"/>
        <v>5</v>
      </c>
      <c r="I614">
        <f t="shared" si="69"/>
        <v>3</v>
      </c>
      <c r="J614">
        <f t="shared" si="70"/>
        <v>2</v>
      </c>
    </row>
    <row r="615" spans="1:10" x14ac:dyDescent="0.25">
      <c r="A615">
        <v>613</v>
      </c>
      <c r="B615" t="str">
        <f t="shared" si="65"/>
        <v>NOK</v>
      </c>
      <c r="C615" t="str">
        <f t="shared" si="71"/>
        <v>B</v>
      </c>
      <c r="D615" t="str">
        <f t="shared" si="71"/>
        <v>E</v>
      </c>
      <c r="E615" t="str">
        <f t="shared" si="71"/>
        <v>C</v>
      </c>
      <c r="F615" t="str">
        <f t="shared" si="66"/>
        <v>C</v>
      </c>
      <c r="G615">
        <f t="shared" si="67"/>
        <v>2</v>
      </c>
      <c r="H615">
        <f t="shared" si="68"/>
        <v>5</v>
      </c>
      <c r="I615">
        <f t="shared" si="69"/>
        <v>3</v>
      </c>
      <c r="J615">
        <f t="shared" si="70"/>
        <v>3</v>
      </c>
    </row>
    <row r="616" spans="1:10" x14ac:dyDescent="0.25">
      <c r="A616">
        <v>614</v>
      </c>
      <c r="B616" t="str">
        <f t="shared" si="65"/>
        <v>NOK</v>
      </c>
      <c r="C616" t="str">
        <f t="shared" si="71"/>
        <v>B</v>
      </c>
      <c r="D616" t="str">
        <f t="shared" si="71"/>
        <v>E</v>
      </c>
      <c r="E616" t="str">
        <f t="shared" si="71"/>
        <v>C</v>
      </c>
      <c r="F616" t="str">
        <f t="shared" si="66"/>
        <v>D</v>
      </c>
      <c r="G616">
        <f t="shared" si="67"/>
        <v>2</v>
      </c>
      <c r="H616">
        <f t="shared" si="68"/>
        <v>5</v>
      </c>
      <c r="I616">
        <f t="shared" si="69"/>
        <v>3</v>
      </c>
      <c r="J616">
        <f t="shared" si="70"/>
        <v>4</v>
      </c>
    </row>
    <row r="617" spans="1:10" x14ac:dyDescent="0.25">
      <c r="A617">
        <v>615</v>
      </c>
      <c r="B617" t="str">
        <f t="shared" si="65"/>
        <v>NOK</v>
      </c>
      <c r="C617" t="str">
        <f t="shared" si="71"/>
        <v>B</v>
      </c>
      <c r="D617" t="str">
        <f t="shared" si="71"/>
        <v>E</v>
      </c>
      <c r="E617" t="str">
        <f t="shared" si="71"/>
        <v>C</v>
      </c>
      <c r="F617" t="str">
        <f t="shared" si="66"/>
        <v>E</v>
      </c>
      <c r="G617">
        <f t="shared" si="67"/>
        <v>2</v>
      </c>
      <c r="H617">
        <f t="shared" si="68"/>
        <v>5</v>
      </c>
      <c r="I617">
        <f t="shared" si="69"/>
        <v>3</v>
      </c>
      <c r="J617">
        <f t="shared" si="70"/>
        <v>5</v>
      </c>
    </row>
    <row r="618" spans="1:10" x14ac:dyDescent="0.25">
      <c r="A618">
        <v>616</v>
      </c>
      <c r="B618" t="str">
        <f t="shared" si="65"/>
        <v>NOK</v>
      </c>
      <c r="C618" t="str">
        <f t="shared" si="71"/>
        <v>B</v>
      </c>
      <c r="D618" t="str">
        <f t="shared" si="71"/>
        <v>E</v>
      </c>
      <c r="E618" t="str">
        <f t="shared" si="71"/>
        <v>C</v>
      </c>
      <c r="F618" t="str">
        <f t="shared" si="66"/>
        <v>F</v>
      </c>
      <c r="G618">
        <f t="shared" si="67"/>
        <v>2</v>
      </c>
      <c r="H618">
        <f t="shared" si="68"/>
        <v>5</v>
      </c>
      <c r="I618">
        <f t="shared" si="69"/>
        <v>3</v>
      </c>
      <c r="J618">
        <f t="shared" si="70"/>
        <v>6</v>
      </c>
    </row>
    <row r="619" spans="1:10" x14ac:dyDescent="0.25">
      <c r="A619">
        <v>617</v>
      </c>
      <c r="B619" t="str">
        <f t="shared" si="65"/>
        <v>NOK</v>
      </c>
      <c r="C619" t="str">
        <f t="shared" si="71"/>
        <v>B</v>
      </c>
      <c r="D619" t="str">
        <f t="shared" si="71"/>
        <v>E</v>
      </c>
      <c r="E619" t="str">
        <f t="shared" si="71"/>
        <v>C</v>
      </c>
      <c r="F619" t="str">
        <f t="shared" si="66"/>
        <v>G</v>
      </c>
      <c r="G619">
        <f t="shared" si="67"/>
        <v>2</v>
      </c>
      <c r="H619">
        <f t="shared" si="68"/>
        <v>5</v>
      </c>
      <c r="I619">
        <f t="shared" si="69"/>
        <v>3</v>
      </c>
      <c r="J619">
        <f t="shared" si="70"/>
        <v>7</v>
      </c>
    </row>
    <row r="620" spans="1:10" x14ac:dyDescent="0.25">
      <c r="A620">
        <v>618</v>
      </c>
      <c r="B620" t="str">
        <f t="shared" si="65"/>
        <v>OK</v>
      </c>
      <c r="C620" t="str">
        <f t="shared" si="71"/>
        <v>B</v>
      </c>
      <c r="D620" t="str">
        <f t="shared" si="71"/>
        <v>E</v>
      </c>
      <c r="E620" t="str">
        <f t="shared" si="71"/>
        <v>C</v>
      </c>
      <c r="F620" t="str">
        <f t="shared" si="66"/>
        <v>H</v>
      </c>
      <c r="G620">
        <f t="shared" si="67"/>
        <v>2</v>
      </c>
      <c r="H620">
        <f t="shared" si="68"/>
        <v>5</v>
      </c>
      <c r="I620">
        <f t="shared" si="69"/>
        <v>3</v>
      </c>
      <c r="J620">
        <f t="shared" si="70"/>
        <v>8</v>
      </c>
    </row>
    <row r="621" spans="1:10" x14ac:dyDescent="0.25">
      <c r="A621">
        <v>619</v>
      </c>
      <c r="B621" t="str">
        <f t="shared" si="65"/>
        <v>NOK</v>
      </c>
      <c r="C621" t="str">
        <f t="shared" si="71"/>
        <v>B</v>
      </c>
      <c r="D621" t="str">
        <f t="shared" si="71"/>
        <v>E</v>
      </c>
      <c r="E621" t="str">
        <f t="shared" si="71"/>
        <v>C</v>
      </c>
      <c r="F621" t="str">
        <f t="shared" si="66"/>
        <v>I</v>
      </c>
      <c r="G621">
        <f t="shared" si="67"/>
        <v>2</v>
      </c>
      <c r="H621">
        <f t="shared" si="68"/>
        <v>5</v>
      </c>
      <c r="I621">
        <f t="shared" si="69"/>
        <v>3</v>
      </c>
      <c r="J621">
        <f t="shared" si="70"/>
        <v>9</v>
      </c>
    </row>
    <row r="622" spans="1:10" x14ac:dyDescent="0.25">
      <c r="A622">
        <v>620</v>
      </c>
      <c r="B622" t="str">
        <f t="shared" si="65"/>
        <v>NOK</v>
      </c>
      <c r="C622" t="str">
        <f t="shared" si="71"/>
        <v>B</v>
      </c>
      <c r="D622" t="str">
        <f t="shared" si="71"/>
        <v>E</v>
      </c>
      <c r="E622" t="str">
        <f t="shared" si="71"/>
        <v>C</v>
      </c>
      <c r="F622" t="str">
        <f t="shared" si="66"/>
        <v>J</v>
      </c>
      <c r="G622">
        <f t="shared" si="67"/>
        <v>2</v>
      </c>
      <c r="H622">
        <f t="shared" si="68"/>
        <v>5</v>
      </c>
      <c r="I622">
        <f t="shared" si="69"/>
        <v>3</v>
      </c>
      <c r="J622">
        <f t="shared" si="70"/>
        <v>10</v>
      </c>
    </row>
    <row r="623" spans="1:10" x14ac:dyDescent="0.25">
      <c r="A623">
        <v>621</v>
      </c>
      <c r="B623" t="str">
        <f t="shared" si="65"/>
        <v>NOK</v>
      </c>
      <c r="C623" t="str">
        <f t="shared" si="71"/>
        <v>B</v>
      </c>
      <c r="D623" t="str">
        <f t="shared" si="71"/>
        <v>E</v>
      </c>
      <c r="E623" t="str">
        <f t="shared" si="71"/>
        <v>C</v>
      </c>
      <c r="F623" t="str">
        <f t="shared" si="66"/>
        <v>K</v>
      </c>
      <c r="G623">
        <f t="shared" si="67"/>
        <v>2</v>
      </c>
      <c r="H623">
        <f t="shared" si="68"/>
        <v>5</v>
      </c>
      <c r="I623">
        <f t="shared" si="69"/>
        <v>3</v>
      </c>
      <c r="J623">
        <f t="shared" si="70"/>
        <v>11</v>
      </c>
    </row>
    <row r="624" spans="1:10" x14ac:dyDescent="0.25">
      <c r="A624">
        <v>622</v>
      </c>
      <c r="B624" t="str">
        <f t="shared" si="65"/>
        <v>NOK</v>
      </c>
      <c r="C624" t="str">
        <f t="shared" si="71"/>
        <v>B</v>
      </c>
      <c r="D624" t="str">
        <f t="shared" si="71"/>
        <v>E</v>
      </c>
      <c r="E624" t="str">
        <f t="shared" si="71"/>
        <v>C</v>
      </c>
      <c r="F624" t="str">
        <f t="shared" si="66"/>
        <v>L</v>
      </c>
      <c r="G624">
        <f t="shared" si="67"/>
        <v>2</v>
      </c>
      <c r="H624">
        <f t="shared" si="68"/>
        <v>5</v>
      </c>
      <c r="I624">
        <f t="shared" si="69"/>
        <v>3</v>
      </c>
      <c r="J624">
        <f t="shared" si="70"/>
        <v>12</v>
      </c>
    </row>
    <row r="625" spans="1:10" x14ac:dyDescent="0.25">
      <c r="A625">
        <v>623</v>
      </c>
      <c r="B625" t="str">
        <f t="shared" si="65"/>
        <v>NOK</v>
      </c>
      <c r="C625" t="str">
        <f t="shared" si="71"/>
        <v>B</v>
      </c>
      <c r="D625" t="str">
        <f t="shared" si="71"/>
        <v>E</v>
      </c>
      <c r="E625" t="str">
        <f t="shared" si="71"/>
        <v>C</v>
      </c>
      <c r="F625" t="str">
        <f t="shared" si="66"/>
        <v>M</v>
      </c>
      <c r="G625">
        <f t="shared" si="67"/>
        <v>2</v>
      </c>
      <c r="H625">
        <f t="shared" si="68"/>
        <v>5</v>
      </c>
      <c r="I625">
        <f t="shared" si="69"/>
        <v>3</v>
      </c>
      <c r="J625">
        <f t="shared" si="70"/>
        <v>13</v>
      </c>
    </row>
    <row r="626" spans="1:10" x14ac:dyDescent="0.25">
      <c r="A626">
        <v>624</v>
      </c>
      <c r="B626" t="str">
        <f t="shared" si="65"/>
        <v>NOK</v>
      </c>
      <c r="C626" t="str">
        <f t="shared" si="71"/>
        <v>B</v>
      </c>
      <c r="D626" t="str">
        <f t="shared" si="71"/>
        <v>E</v>
      </c>
      <c r="E626" t="str">
        <f t="shared" si="71"/>
        <v>D</v>
      </c>
      <c r="F626" t="str">
        <f t="shared" si="66"/>
        <v>A</v>
      </c>
      <c r="G626">
        <f t="shared" si="67"/>
        <v>2</v>
      </c>
      <c r="H626">
        <f t="shared" si="68"/>
        <v>5</v>
      </c>
      <c r="I626">
        <f t="shared" si="69"/>
        <v>4</v>
      </c>
      <c r="J626">
        <f t="shared" si="70"/>
        <v>1</v>
      </c>
    </row>
    <row r="627" spans="1:10" x14ac:dyDescent="0.25">
      <c r="A627">
        <v>625</v>
      </c>
      <c r="B627" s="4" t="str">
        <f t="shared" si="65"/>
        <v>NOK</v>
      </c>
      <c r="C627" t="str">
        <f>IF(G627=1,"A",IF(G627=2,"B",IF(G627=3,"C",IF(G627=4,"D",IF(G627=5,"E","ERRO")))))</f>
        <v>B</v>
      </c>
      <c r="D627" t="str">
        <f>IF(H627=1,"A",IF(H627=2,"B",IF(H627=3,"C",IF(H627=4,"D",IF(H627=5,"E","ERRO")))))</f>
        <v>E</v>
      </c>
      <c r="E627" t="str">
        <f>IF(I627=1,"A",IF(I627=2,"B",IF(I627=3,"C",IF(I627=4,"D",IF(I627=5,"E","ERRO")))))</f>
        <v>D</v>
      </c>
      <c r="F627" t="str">
        <f t="shared" si="66"/>
        <v>B</v>
      </c>
      <c r="G627" s="4">
        <f t="shared" si="67"/>
        <v>2</v>
      </c>
      <c r="H627">
        <f t="shared" si="68"/>
        <v>5</v>
      </c>
      <c r="I627">
        <f t="shared" si="69"/>
        <v>4</v>
      </c>
      <c r="J627">
        <f t="shared" si="70"/>
        <v>2</v>
      </c>
    </row>
    <row r="628" spans="1:10" x14ac:dyDescent="0.25">
      <c r="A628">
        <v>626</v>
      </c>
      <c r="B628" s="4" t="str">
        <f t="shared" si="65"/>
        <v>NOK</v>
      </c>
      <c r="C628" t="str">
        <f t="shared" ref="C628:C691" si="72">IF(G628=1,"A",IF(G628=2,"B",IF(G628=3,"C",IF(G628=4,"D",IF(G628=5,"E","ERRO")))))</f>
        <v>B</v>
      </c>
      <c r="D628" t="str">
        <f t="shared" ref="D628:D691" si="73">IF(H628=1,"A",IF(H628=2,"B",IF(H628=3,"C",IF(H628=4,"D",IF(H628=5,"E","ERRO")))))</f>
        <v>E</v>
      </c>
      <c r="E628" t="str">
        <f t="shared" ref="E628:E691" si="74">IF(I628=1,"A",IF(I628=2,"B",IF(I628=3,"C",IF(I628=4,"D",IF(I628=5,"E","ERRO")))))</f>
        <v>D</v>
      </c>
      <c r="F628" t="str">
        <f t="shared" si="66"/>
        <v>C</v>
      </c>
      <c r="G628" s="4">
        <f t="shared" si="67"/>
        <v>2</v>
      </c>
      <c r="H628">
        <f t="shared" si="68"/>
        <v>5</v>
      </c>
      <c r="I628">
        <f t="shared" si="69"/>
        <v>4</v>
      </c>
      <c r="J628">
        <f t="shared" si="70"/>
        <v>3</v>
      </c>
    </row>
    <row r="629" spans="1:10" x14ac:dyDescent="0.25">
      <c r="A629">
        <v>627</v>
      </c>
      <c r="B629" s="4" t="str">
        <f t="shared" si="65"/>
        <v>NOK</v>
      </c>
      <c r="C629" t="str">
        <f t="shared" si="72"/>
        <v>B</v>
      </c>
      <c r="D629" t="str">
        <f t="shared" si="73"/>
        <v>E</v>
      </c>
      <c r="E629" t="str">
        <f t="shared" si="74"/>
        <v>D</v>
      </c>
      <c r="F629" t="str">
        <f t="shared" si="66"/>
        <v>D</v>
      </c>
      <c r="G629" s="4">
        <f t="shared" si="67"/>
        <v>2</v>
      </c>
      <c r="H629">
        <f t="shared" si="68"/>
        <v>5</v>
      </c>
      <c r="I629">
        <f t="shared" si="69"/>
        <v>4</v>
      </c>
      <c r="J629">
        <f t="shared" si="70"/>
        <v>4</v>
      </c>
    </row>
    <row r="630" spans="1:10" x14ac:dyDescent="0.25">
      <c r="A630">
        <v>628</v>
      </c>
      <c r="B630" s="4" t="str">
        <f t="shared" si="65"/>
        <v>NOK</v>
      </c>
      <c r="C630" t="str">
        <f t="shared" si="72"/>
        <v>B</v>
      </c>
      <c r="D630" t="str">
        <f t="shared" si="73"/>
        <v>E</v>
      </c>
      <c r="E630" t="str">
        <f t="shared" si="74"/>
        <v>D</v>
      </c>
      <c r="F630" t="str">
        <f t="shared" si="66"/>
        <v>E</v>
      </c>
      <c r="G630" s="4">
        <f t="shared" si="67"/>
        <v>2</v>
      </c>
      <c r="H630">
        <f t="shared" si="68"/>
        <v>5</v>
      </c>
      <c r="I630">
        <f t="shared" si="69"/>
        <v>4</v>
      </c>
      <c r="J630">
        <f t="shared" si="70"/>
        <v>5</v>
      </c>
    </row>
    <row r="631" spans="1:10" x14ac:dyDescent="0.25">
      <c r="A631">
        <v>629</v>
      </c>
      <c r="B631" s="4" t="str">
        <f t="shared" si="65"/>
        <v>NOK</v>
      </c>
      <c r="C631" t="str">
        <f t="shared" si="72"/>
        <v>B</v>
      </c>
      <c r="D631" t="str">
        <f t="shared" si="73"/>
        <v>E</v>
      </c>
      <c r="E631" t="str">
        <f t="shared" si="74"/>
        <v>D</v>
      </c>
      <c r="F631" t="str">
        <f t="shared" si="66"/>
        <v>F</v>
      </c>
      <c r="G631" s="4">
        <f t="shared" si="67"/>
        <v>2</v>
      </c>
      <c r="H631">
        <f t="shared" si="68"/>
        <v>5</v>
      </c>
      <c r="I631">
        <f t="shared" si="69"/>
        <v>4</v>
      </c>
      <c r="J631">
        <f t="shared" si="70"/>
        <v>6</v>
      </c>
    </row>
    <row r="632" spans="1:10" x14ac:dyDescent="0.25">
      <c r="A632">
        <v>630</v>
      </c>
      <c r="B632" s="4" t="str">
        <f t="shared" si="65"/>
        <v>NOK</v>
      </c>
      <c r="C632" t="str">
        <f t="shared" si="72"/>
        <v>B</v>
      </c>
      <c r="D632" t="str">
        <f t="shared" si="73"/>
        <v>E</v>
      </c>
      <c r="E632" t="str">
        <f t="shared" si="74"/>
        <v>D</v>
      </c>
      <c r="F632" t="str">
        <f t="shared" si="66"/>
        <v>G</v>
      </c>
      <c r="G632" s="4">
        <f t="shared" si="67"/>
        <v>2</v>
      </c>
      <c r="H632">
        <f t="shared" si="68"/>
        <v>5</v>
      </c>
      <c r="I632">
        <f t="shared" si="69"/>
        <v>4</v>
      </c>
      <c r="J632">
        <f t="shared" si="70"/>
        <v>7</v>
      </c>
    </row>
    <row r="633" spans="1:10" x14ac:dyDescent="0.25">
      <c r="A633">
        <v>631</v>
      </c>
      <c r="B633" s="4" t="str">
        <f t="shared" si="65"/>
        <v>NOK</v>
      </c>
      <c r="C633" t="str">
        <f t="shared" si="72"/>
        <v>B</v>
      </c>
      <c r="D633" t="str">
        <f t="shared" si="73"/>
        <v>E</v>
      </c>
      <c r="E633" t="str">
        <f t="shared" si="74"/>
        <v>D</v>
      </c>
      <c r="F633" t="str">
        <f t="shared" si="66"/>
        <v>H</v>
      </c>
      <c r="G633" s="4">
        <f t="shared" si="67"/>
        <v>2</v>
      </c>
      <c r="H633">
        <f t="shared" si="68"/>
        <v>5</v>
      </c>
      <c r="I633">
        <f t="shared" si="69"/>
        <v>4</v>
      </c>
      <c r="J633">
        <f t="shared" si="70"/>
        <v>8</v>
      </c>
    </row>
    <row r="634" spans="1:10" x14ac:dyDescent="0.25">
      <c r="A634">
        <v>632</v>
      </c>
      <c r="B634" s="4" t="str">
        <f t="shared" si="65"/>
        <v>OK</v>
      </c>
      <c r="C634" t="str">
        <f t="shared" si="72"/>
        <v>B</v>
      </c>
      <c r="D634" t="str">
        <f t="shared" si="73"/>
        <v>E</v>
      </c>
      <c r="E634" t="str">
        <f t="shared" si="74"/>
        <v>D</v>
      </c>
      <c r="F634" t="str">
        <f t="shared" si="66"/>
        <v>I</v>
      </c>
      <c r="G634" s="4">
        <f t="shared" si="67"/>
        <v>2</v>
      </c>
      <c r="H634">
        <f t="shared" si="68"/>
        <v>5</v>
      </c>
      <c r="I634">
        <f t="shared" si="69"/>
        <v>4</v>
      </c>
      <c r="J634">
        <f t="shared" si="70"/>
        <v>9</v>
      </c>
    </row>
    <row r="635" spans="1:10" x14ac:dyDescent="0.25">
      <c r="A635">
        <v>633</v>
      </c>
      <c r="B635" s="4" t="str">
        <f t="shared" si="65"/>
        <v>NOK</v>
      </c>
      <c r="C635" t="str">
        <f t="shared" si="72"/>
        <v>B</v>
      </c>
      <c r="D635" t="str">
        <f t="shared" si="73"/>
        <v>E</v>
      </c>
      <c r="E635" t="str">
        <f t="shared" si="74"/>
        <v>D</v>
      </c>
      <c r="F635" t="str">
        <f t="shared" si="66"/>
        <v>J</v>
      </c>
      <c r="G635" s="4">
        <f t="shared" si="67"/>
        <v>2</v>
      </c>
      <c r="H635">
        <f t="shared" si="68"/>
        <v>5</v>
      </c>
      <c r="I635">
        <f t="shared" si="69"/>
        <v>4</v>
      </c>
      <c r="J635">
        <f t="shared" si="70"/>
        <v>10</v>
      </c>
    </row>
    <row r="636" spans="1:10" x14ac:dyDescent="0.25">
      <c r="A636">
        <v>634</v>
      </c>
      <c r="B636" s="4" t="str">
        <f t="shared" si="65"/>
        <v>NOK</v>
      </c>
      <c r="C636" t="str">
        <f t="shared" si="72"/>
        <v>B</v>
      </c>
      <c r="D636" t="str">
        <f t="shared" si="73"/>
        <v>E</v>
      </c>
      <c r="E636" t="str">
        <f t="shared" si="74"/>
        <v>D</v>
      </c>
      <c r="F636" t="str">
        <f t="shared" si="66"/>
        <v>K</v>
      </c>
      <c r="G636" s="4">
        <f t="shared" si="67"/>
        <v>2</v>
      </c>
      <c r="H636">
        <f t="shared" si="68"/>
        <v>5</v>
      </c>
      <c r="I636">
        <f t="shared" si="69"/>
        <v>4</v>
      </c>
      <c r="J636">
        <f t="shared" si="70"/>
        <v>11</v>
      </c>
    </row>
    <row r="637" spans="1:10" x14ac:dyDescent="0.25">
      <c r="A637">
        <v>635</v>
      </c>
      <c r="B637" s="4" t="str">
        <f t="shared" si="65"/>
        <v>NOK</v>
      </c>
      <c r="C637" t="str">
        <f t="shared" si="72"/>
        <v>B</v>
      </c>
      <c r="D637" t="str">
        <f t="shared" si="73"/>
        <v>E</v>
      </c>
      <c r="E637" t="str">
        <f t="shared" si="74"/>
        <v>D</v>
      </c>
      <c r="F637" t="str">
        <f t="shared" si="66"/>
        <v>L</v>
      </c>
      <c r="G637" s="4">
        <f t="shared" si="67"/>
        <v>2</v>
      </c>
      <c r="H637">
        <f t="shared" si="68"/>
        <v>5</v>
      </c>
      <c r="I637">
        <f t="shared" si="69"/>
        <v>4</v>
      </c>
      <c r="J637">
        <f t="shared" si="70"/>
        <v>12</v>
      </c>
    </row>
    <row r="638" spans="1:10" x14ac:dyDescent="0.25">
      <c r="A638">
        <v>636</v>
      </c>
      <c r="B638" s="4" t="str">
        <f t="shared" si="65"/>
        <v>NOK</v>
      </c>
      <c r="C638" t="str">
        <f t="shared" si="72"/>
        <v>B</v>
      </c>
      <c r="D638" t="str">
        <f t="shared" si="73"/>
        <v>E</v>
      </c>
      <c r="E638" t="str">
        <f t="shared" si="74"/>
        <v>D</v>
      </c>
      <c r="F638" t="str">
        <f t="shared" si="66"/>
        <v>M</v>
      </c>
      <c r="G638" s="4">
        <f t="shared" si="67"/>
        <v>2</v>
      </c>
      <c r="H638">
        <f t="shared" si="68"/>
        <v>5</v>
      </c>
      <c r="I638">
        <f t="shared" si="69"/>
        <v>4</v>
      </c>
      <c r="J638">
        <f t="shared" si="70"/>
        <v>13</v>
      </c>
    </row>
    <row r="639" spans="1:10" x14ac:dyDescent="0.25">
      <c r="A639">
        <v>637</v>
      </c>
      <c r="B639" s="4" t="str">
        <f t="shared" si="65"/>
        <v>NOK</v>
      </c>
      <c r="C639" t="str">
        <f t="shared" si="72"/>
        <v>B</v>
      </c>
      <c r="D639" t="str">
        <f t="shared" si="73"/>
        <v>E</v>
      </c>
      <c r="E639" t="str">
        <f t="shared" si="74"/>
        <v>E</v>
      </c>
      <c r="F639" t="str">
        <f t="shared" si="66"/>
        <v>A</v>
      </c>
      <c r="G639" s="4">
        <f t="shared" si="67"/>
        <v>2</v>
      </c>
      <c r="H639">
        <f t="shared" si="68"/>
        <v>5</v>
      </c>
      <c r="I639">
        <f t="shared" si="69"/>
        <v>5</v>
      </c>
      <c r="J639">
        <f t="shared" si="70"/>
        <v>1</v>
      </c>
    </row>
    <row r="640" spans="1:10" x14ac:dyDescent="0.25">
      <c r="A640">
        <v>638</v>
      </c>
      <c r="B640" s="4" t="str">
        <f t="shared" si="65"/>
        <v>NOK</v>
      </c>
      <c r="C640" t="str">
        <f t="shared" si="72"/>
        <v>B</v>
      </c>
      <c r="D640" t="str">
        <f t="shared" si="73"/>
        <v>E</v>
      </c>
      <c r="E640" t="str">
        <f t="shared" si="74"/>
        <v>E</v>
      </c>
      <c r="F640" t="str">
        <f t="shared" si="66"/>
        <v>B</v>
      </c>
      <c r="G640" s="4">
        <f t="shared" si="67"/>
        <v>2</v>
      </c>
      <c r="H640">
        <f t="shared" si="68"/>
        <v>5</v>
      </c>
      <c r="I640">
        <f t="shared" si="69"/>
        <v>5</v>
      </c>
      <c r="J640">
        <f t="shared" si="70"/>
        <v>2</v>
      </c>
    </row>
    <row r="641" spans="1:10" x14ac:dyDescent="0.25">
      <c r="A641">
        <v>639</v>
      </c>
      <c r="B641" s="4" t="str">
        <f t="shared" si="65"/>
        <v>NOK</v>
      </c>
      <c r="C641" t="str">
        <f t="shared" si="72"/>
        <v>B</v>
      </c>
      <c r="D641" t="str">
        <f t="shared" si="73"/>
        <v>E</v>
      </c>
      <c r="E641" t="str">
        <f t="shared" si="74"/>
        <v>E</v>
      </c>
      <c r="F641" t="str">
        <f t="shared" si="66"/>
        <v>C</v>
      </c>
      <c r="G641" s="4">
        <f t="shared" si="67"/>
        <v>2</v>
      </c>
      <c r="H641">
        <f t="shared" si="68"/>
        <v>5</v>
      </c>
      <c r="I641">
        <f t="shared" si="69"/>
        <v>5</v>
      </c>
      <c r="J641">
        <f t="shared" si="70"/>
        <v>3</v>
      </c>
    </row>
    <row r="642" spans="1:10" x14ac:dyDescent="0.25">
      <c r="A642">
        <v>640</v>
      </c>
      <c r="B642" s="4" t="str">
        <f t="shared" ref="B642:B705" si="75">IF(ROUND(_xlfn.XLOOKUP(C642,$U$1:$U$5,$T$1:$T$5,,0,1)+_xlfn.XLOOKUP(D642,$W$1:$W$5,$V$1:$V$5,,0,1)+_xlfn.XLOOKUP(E642,$Y$1:$Y$5,$X$1:$X$5,,0,1)-_xlfn.XLOOKUP(F642,$AA$1:$AA$13,$Z$1:$Z$13,,0,1),3)=0.325,"OK","NOK")</f>
        <v>NOK</v>
      </c>
      <c r="C642" t="str">
        <f t="shared" si="72"/>
        <v>B</v>
      </c>
      <c r="D642" t="str">
        <f t="shared" si="73"/>
        <v>E</v>
      </c>
      <c r="E642" t="str">
        <f t="shared" si="74"/>
        <v>E</v>
      </c>
      <c r="F642" t="str">
        <f t="shared" ref="F642:F705" si="76">IF(J642=1,"A",IF(J642=2,"B",IF(J642=3,"C",IF(J642=4,"D",IF(J642=5,"E",IF(J642=6,"F",IF(J642=7,"G",IF(J642=8,"H",IF(J642=9,"I",IF(J642=10,"J",IF(J642=11,"K",IF(J642=12,"L",IF(J642=13,"M","ERRO")))))))))))))</f>
        <v>D</v>
      </c>
      <c r="G642" s="4">
        <f t="shared" ref="G642:G705" si="77">INT($A642/325)+1</f>
        <v>2</v>
      </c>
      <c r="H642">
        <f t="shared" ref="H642:H705" si="78">INT(MOD($A642,325)/65)+1</f>
        <v>5</v>
      </c>
      <c r="I642">
        <f t="shared" ref="I642:I705" si="79">INT(MOD($A642,65)/13)+1</f>
        <v>5</v>
      </c>
      <c r="J642">
        <f t="shared" ref="J642:J705" si="80">MOD($A642,13)+1</f>
        <v>4</v>
      </c>
    </row>
    <row r="643" spans="1:10" x14ac:dyDescent="0.25">
      <c r="A643">
        <v>641</v>
      </c>
      <c r="B643" s="4" t="str">
        <f t="shared" si="75"/>
        <v>NOK</v>
      </c>
      <c r="C643" t="str">
        <f t="shared" si="72"/>
        <v>B</v>
      </c>
      <c r="D643" t="str">
        <f t="shared" si="73"/>
        <v>E</v>
      </c>
      <c r="E643" t="str">
        <f t="shared" si="74"/>
        <v>E</v>
      </c>
      <c r="F643" t="str">
        <f t="shared" si="76"/>
        <v>E</v>
      </c>
      <c r="G643" s="4">
        <f t="shared" si="77"/>
        <v>2</v>
      </c>
      <c r="H643">
        <f t="shared" si="78"/>
        <v>5</v>
      </c>
      <c r="I643">
        <f t="shared" si="79"/>
        <v>5</v>
      </c>
      <c r="J643">
        <f t="shared" si="80"/>
        <v>5</v>
      </c>
    </row>
    <row r="644" spans="1:10" x14ac:dyDescent="0.25">
      <c r="A644">
        <v>642</v>
      </c>
      <c r="B644" s="4" t="str">
        <f t="shared" si="75"/>
        <v>NOK</v>
      </c>
      <c r="C644" t="str">
        <f t="shared" si="72"/>
        <v>B</v>
      </c>
      <c r="D644" t="str">
        <f t="shared" si="73"/>
        <v>E</v>
      </c>
      <c r="E644" t="str">
        <f t="shared" si="74"/>
        <v>E</v>
      </c>
      <c r="F644" t="str">
        <f t="shared" si="76"/>
        <v>F</v>
      </c>
      <c r="G644" s="4">
        <f t="shared" si="77"/>
        <v>2</v>
      </c>
      <c r="H644">
        <f t="shared" si="78"/>
        <v>5</v>
      </c>
      <c r="I644">
        <f t="shared" si="79"/>
        <v>5</v>
      </c>
      <c r="J644">
        <f t="shared" si="80"/>
        <v>6</v>
      </c>
    </row>
    <row r="645" spans="1:10" x14ac:dyDescent="0.25">
      <c r="A645">
        <v>643</v>
      </c>
      <c r="B645" s="4" t="str">
        <f t="shared" si="75"/>
        <v>NOK</v>
      </c>
      <c r="C645" t="str">
        <f t="shared" si="72"/>
        <v>B</v>
      </c>
      <c r="D645" t="str">
        <f t="shared" si="73"/>
        <v>E</v>
      </c>
      <c r="E645" t="str">
        <f t="shared" si="74"/>
        <v>E</v>
      </c>
      <c r="F645" t="str">
        <f t="shared" si="76"/>
        <v>G</v>
      </c>
      <c r="G645" s="4">
        <f t="shared" si="77"/>
        <v>2</v>
      </c>
      <c r="H645">
        <f t="shared" si="78"/>
        <v>5</v>
      </c>
      <c r="I645">
        <f t="shared" si="79"/>
        <v>5</v>
      </c>
      <c r="J645">
        <f t="shared" si="80"/>
        <v>7</v>
      </c>
    </row>
    <row r="646" spans="1:10" x14ac:dyDescent="0.25">
      <c r="A646">
        <v>644</v>
      </c>
      <c r="B646" s="4" t="str">
        <f t="shared" si="75"/>
        <v>NOK</v>
      </c>
      <c r="C646" t="str">
        <f t="shared" si="72"/>
        <v>B</v>
      </c>
      <c r="D646" t="str">
        <f t="shared" si="73"/>
        <v>E</v>
      </c>
      <c r="E646" t="str">
        <f t="shared" si="74"/>
        <v>E</v>
      </c>
      <c r="F646" t="str">
        <f t="shared" si="76"/>
        <v>H</v>
      </c>
      <c r="G646" s="4">
        <f t="shared" si="77"/>
        <v>2</v>
      </c>
      <c r="H646">
        <f t="shared" si="78"/>
        <v>5</v>
      </c>
      <c r="I646">
        <f t="shared" si="79"/>
        <v>5</v>
      </c>
      <c r="J646">
        <f t="shared" si="80"/>
        <v>8</v>
      </c>
    </row>
    <row r="647" spans="1:10" x14ac:dyDescent="0.25">
      <c r="A647">
        <v>645</v>
      </c>
      <c r="B647" s="4" t="str">
        <f t="shared" si="75"/>
        <v>NOK</v>
      </c>
      <c r="C647" t="str">
        <f t="shared" si="72"/>
        <v>B</v>
      </c>
      <c r="D647" t="str">
        <f t="shared" si="73"/>
        <v>E</v>
      </c>
      <c r="E647" t="str">
        <f t="shared" si="74"/>
        <v>E</v>
      </c>
      <c r="F647" t="str">
        <f t="shared" si="76"/>
        <v>I</v>
      </c>
      <c r="G647" s="4">
        <f t="shared" si="77"/>
        <v>2</v>
      </c>
      <c r="H647">
        <f t="shared" si="78"/>
        <v>5</v>
      </c>
      <c r="I647">
        <f t="shared" si="79"/>
        <v>5</v>
      </c>
      <c r="J647">
        <f t="shared" si="80"/>
        <v>9</v>
      </c>
    </row>
    <row r="648" spans="1:10" x14ac:dyDescent="0.25">
      <c r="A648">
        <v>646</v>
      </c>
      <c r="B648" s="4" t="str">
        <f t="shared" si="75"/>
        <v>OK</v>
      </c>
      <c r="C648" t="str">
        <f t="shared" si="72"/>
        <v>B</v>
      </c>
      <c r="D648" t="str">
        <f t="shared" si="73"/>
        <v>E</v>
      </c>
      <c r="E648" t="str">
        <f t="shared" si="74"/>
        <v>E</v>
      </c>
      <c r="F648" t="str">
        <f t="shared" si="76"/>
        <v>J</v>
      </c>
      <c r="G648" s="4">
        <f t="shared" si="77"/>
        <v>2</v>
      </c>
      <c r="H648">
        <f t="shared" si="78"/>
        <v>5</v>
      </c>
      <c r="I648">
        <f t="shared" si="79"/>
        <v>5</v>
      </c>
      <c r="J648">
        <f t="shared" si="80"/>
        <v>10</v>
      </c>
    </row>
    <row r="649" spans="1:10" x14ac:dyDescent="0.25">
      <c r="A649">
        <v>647</v>
      </c>
      <c r="B649" s="4" t="str">
        <f t="shared" si="75"/>
        <v>NOK</v>
      </c>
      <c r="C649" t="str">
        <f t="shared" si="72"/>
        <v>B</v>
      </c>
      <c r="D649" t="str">
        <f t="shared" si="73"/>
        <v>E</v>
      </c>
      <c r="E649" t="str">
        <f t="shared" si="74"/>
        <v>E</v>
      </c>
      <c r="F649" t="str">
        <f t="shared" si="76"/>
        <v>K</v>
      </c>
      <c r="G649" s="4">
        <f t="shared" si="77"/>
        <v>2</v>
      </c>
      <c r="H649">
        <f t="shared" si="78"/>
        <v>5</v>
      </c>
      <c r="I649">
        <f t="shared" si="79"/>
        <v>5</v>
      </c>
      <c r="J649">
        <f t="shared" si="80"/>
        <v>11</v>
      </c>
    </row>
    <row r="650" spans="1:10" x14ac:dyDescent="0.25">
      <c r="A650">
        <v>648</v>
      </c>
      <c r="B650" s="4" t="str">
        <f t="shared" si="75"/>
        <v>NOK</v>
      </c>
      <c r="C650" t="str">
        <f t="shared" si="72"/>
        <v>B</v>
      </c>
      <c r="D650" t="str">
        <f t="shared" si="73"/>
        <v>E</v>
      </c>
      <c r="E650" t="str">
        <f t="shared" si="74"/>
        <v>E</v>
      </c>
      <c r="F650" t="str">
        <f t="shared" si="76"/>
        <v>L</v>
      </c>
      <c r="G650" s="4">
        <f t="shared" si="77"/>
        <v>2</v>
      </c>
      <c r="H650">
        <f t="shared" si="78"/>
        <v>5</v>
      </c>
      <c r="I650">
        <f t="shared" si="79"/>
        <v>5</v>
      </c>
      <c r="J650">
        <f t="shared" si="80"/>
        <v>12</v>
      </c>
    </row>
    <row r="651" spans="1:10" x14ac:dyDescent="0.25">
      <c r="A651">
        <v>649</v>
      </c>
      <c r="B651" s="4" t="str">
        <f t="shared" si="75"/>
        <v>NOK</v>
      </c>
      <c r="C651" t="str">
        <f t="shared" si="72"/>
        <v>B</v>
      </c>
      <c r="D651" t="str">
        <f t="shared" si="73"/>
        <v>E</v>
      </c>
      <c r="E651" t="str">
        <f t="shared" si="74"/>
        <v>E</v>
      </c>
      <c r="F651" t="str">
        <f t="shared" si="76"/>
        <v>M</v>
      </c>
      <c r="G651" s="4">
        <f t="shared" si="77"/>
        <v>2</v>
      </c>
      <c r="H651">
        <f t="shared" si="78"/>
        <v>5</v>
      </c>
      <c r="I651">
        <f t="shared" si="79"/>
        <v>5</v>
      </c>
      <c r="J651">
        <f t="shared" si="80"/>
        <v>13</v>
      </c>
    </row>
    <row r="652" spans="1:10" x14ac:dyDescent="0.25">
      <c r="A652">
        <v>650</v>
      </c>
      <c r="B652" s="4" t="str">
        <f t="shared" si="75"/>
        <v>NOK</v>
      </c>
      <c r="C652" t="str">
        <f t="shared" si="72"/>
        <v>C</v>
      </c>
      <c r="D652" t="str">
        <f t="shared" si="73"/>
        <v>A</v>
      </c>
      <c r="E652" t="str">
        <f t="shared" si="74"/>
        <v>A</v>
      </c>
      <c r="F652" t="str">
        <f t="shared" si="76"/>
        <v>A</v>
      </c>
      <c r="G652" s="4">
        <f t="shared" si="77"/>
        <v>3</v>
      </c>
      <c r="H652">
        <f t="shared" si="78"/>
        <v>1</v>
      </c>
      <c r="I652">
        <f t="shared" si="79"/>
        <v>1</v>
      </c>
      <c r="J652">
        <f t="shared" si="80"/>
        <v>1</v>
      </c>
    </row>
    <row r="653" spans="1:10" x14ac:dyDescent="0.25">
      <c r="A653">
        <v>651</v>
      </c>
      <c r="B653" s="4" t="str">
        <f t="shared" si="75"/>
        <v>NOK</v>
      </c>
      <c r="C653" t="str">
        <f t="shared" si="72"/>
        <v>C</v>
      </c>
      <c r="D653" t="str">
        <f t="shared" si="73"/>
        <v>A</v>
      </c>
      <c r="E653" t="str">
        <f t="shared" si="74"/>
        <v>A</v>
      </c>
      <c r="F653" t="str">
        <f t="shared" si="76"/>
        <v>B</v>
      </c>
      <c r="G653" s="4">
        <f t="shared" si="77"/>
        <v>3</v>
      </c>
      <c r="H653">
        <f t="shared" si="78"/>
        <v>1</v>
      </c>
      <c r="I653">
        <f t="shared" si="79"/>
        <v>1</v>
      </c>
      <c r="J653">
        <f t="shared" si="80"/>
        <v>2</v>
      </c>
    </row>
    <row r="654" spans="1:10" x14ac:dyDescent="0.25">
      <c r="A654">
        <v>652</v>
      </c>
      <c r="B654" s="4" t="str">
        <f t="shared" si="75"/>
        <v>OK</v>
      </c>
      <c r="C654" t="str">
        <f t="shared" si="72"/>
        <v>C</v>
      </c>
      <c r="D654" t="str">
        <f t="shared" si="73"/>
        <v>A</v>
      </c>
      <c r="E654" t="str">
        <f t="shared" si="74"/>
        <v>A</v>
      </c>
      <c r="F654" t="str">
        <f t="shared" si="76"/>
        <v>C</v>
      </c>
      <c r="G654" s="4">
        <f t="shared" si="77"/>
        <v>3</v>
      </c>
      <c r="H654">
        <f t="shared" si="78"/>
        <v>1</v>
      </c>
      <c r="I654">
        <f t="shared" si="79"/>
        <v>1</v>
      </c>
      <c r="J654">
        <f t="shared" si="80"/>
        <v>3</v>
      </c>
    </row>
    <row r="655" spans="1:10" x14ac:dyDescent="0.25">
      <c r="A655">
        <v>653</v>
      </c>
      <c r="B655" s="4" t="str">
        <f t="shared" si="75"/>
        <v>NOK</v>
      </c>
      <c r="C655" t="str">
        <f t="shared" si="72"/>
        <v>C</v>
      </c>
      <c r="D655" t="str">
        <f t="shared" si="73"/>
        <v>A</v>
      </c>
      <c r="E655" t="str">
        <f t="shared" si="74"/>
        <v>A</v>
      </c>
      <c r="F655" t="str">
        <f t="shared" si="76"/>
        <v>D</v>
      </c>
      <c r="G655" s="4">
        <f t="shared" si="77"/>
        <v>3</v>
      </c>
      <c r="H655">
        <f t="shared" si="78"/>
        <v>1</v>
      </c>
      <c r="I655">
        <f t="shared" si="79"/>
        <v>1</v>
      </c>
      <c r="J655">
        <f t="shared" si="80"/>
        <v>4</v>
      </c>
    </row>
    <row r="656" spans="1:10" x14ac:dyDescent="0.25">
      <c r="A656">
        <v>654</v>
      </c>
      <c r="B656" s="4" t="str">
        <f t="shared" si="75"/>
        <v>NOK</v>
      </c>
      <c r="C656" t="str">
        <f t="shared" si="72"/>
        <v>C</v>
      </c>
      <c r="D656" t="str">
        <f t="shared" si="73"/>
        <v>A</v>
      </c>
      <c r="E656" t="str">
        <f t="shared" si="74"/>
        <v>A</v>
      </c>
      <c r="F656" t="str">
        <f t="shared" si="76"/>
        <v>E</v>
      </c>
      <c r="G656" s="4">
        <f t="shared" si="77"/>
        <v>3</v>
      </c>
      <c r="H656">
        <f t="shared" si="78"/>
        <v>1</v>
      </c>
      <c r="I656">
        <f t="shared" si="79"/>
        <v>1</v>
      </c>
      <c r="J656">
        <f t="shared" si="80"/>
        <v>5</v>
      </c>
    </row>
    <row r="657" spans="1:10" x14ac:dyDescent="0.25">
      <c r="A657">
        <v>655</v>
      </c>
      <c r="B657" s="4" t="str">
        <f t="shared" si="75"/>
        <v>NOK</v>
      </c>
      <c r="C657" t="str">
        <f t="shared" si="72"/>
        <v>C</v>
      </c>
      <c r="D657" t="str">
        <f t="shared" si="73"/>
        <v>A</v>
      </c>
      <c r="E657" t="str">
        <f t="shared" si="74"/>
        <v>A</v>
      </c>
      <c r="F657" t="str">
        <f t="shared" si="76"/>
        <v>F</v>
      </c>
      <c r="G657" s="4">
        <f t="shared" si="77"/>
        <v>3</v>
      </c>
      <c r="H657">
        <f t="shared" si="78"/>
        <v>1</v>
      </c>
      <c r="I657">
        <f t="shared" si="79"/>
        <v>1</v>
      </c>
      <c r="J657">
        <f t="shared" si="80"/>
        <v>6</v>
      </c>
    </row>
    <row r="658" spans="1:10" x14ac:dyDescent="0.25">
      <c r="A658">
        <v>656</v>
      </c>
      <c r="B658" s="4" t="str">
        <f t="shared" si="75"/>
        <v>NOK</v>
      </c>
      <c r="C658" t="str">
        <f t="shared" si="72"/>
        <v>C</v>
      </c>
      <c r="D658" t="str">
        <f t="shared" si="73"/>
        <v>A</v>
      </c>
      <c r="E658" t="str">
        <f t="shared" si="74"/>
        <v>A</v>
      </c>
      <c r="F658" t="str">
        <f t="shared" si="76"/>
        <v>G</v>
      </c>
      <c r="G658" s="4">
        <f t="shared" si="77"/>
        <v>3</v>
      </c>
      <c r="H658">
        <f t="shared" si="78"/>
        <v>1</v>
      </c>
      <c r="I658">
        <f t="shared" si="79"/>
        <v>1</v>
      </c>
      <c r="J658">
        <f t="shared" si="80"/>
        <v>7</v>
      </c>
    </row>
    <row r="659" spans="1:10" x14ac:dyDescent="0.25">
      <c r="A659">
        <v>657</v>
      </c>
      <c r="B659" s="4" t="str">
        <f t="shared" si="75"/>
        <v>NOK</v>
      </c>
      <c r="C659" t="str">
        <f t="shared" si="72"/>
        <v>C</v>
      </c>
      <c r="D659" t="str">
        <f t="shared" si="73"/>
        <v>A</v>
      </c>
      <c r="E659" t="str">
        <f t="shared" si="74"/>
        <v>A</v>
      </c>
      <c r="F659" t="str">
        <f t="shared" si="76"/>
        <v>H</v>
      </c>
      <c r="G659" s="4">
        <f t="shared" si="77"/>
        <v>3</v>
      </c>
      <c r="H659">
        <f t="shared" si="78"/>
        <v>1</v>
      </c>
      <c r="I659">
        <f t="shared" si="79"/>
        <v>1</v>
      </c>
      <c r="J659">
        <f t="shared" si="80"/>
        <v>8</v>
      </c>
    </row>
    <row r="660" spans="1:10" x14ac:dyDescent="0.25">
      <c r="A660">
        <v>658</v>
      </c>
      <c r="B660" s="4" t="str">
        <f t="shared" si="75"/>
        <v>NOK</v>
      </c>
      <c r="C660" t="str">
        <f t="shared" si="72"/>
        <v>C</v>
      </c>
      <c r="D660" t="str">
        <f t="shared" si="73"/>
        <v>A</v>
      </c>
      <c r="E660" t="str">
        <f t="shared" si="74"/>
        <v>A</v>
      </c>
      <c r="F660" t="str">
        <f t="shared" si="76"/>
        <v>I</v>
      </c>
      <c r="G660" s="4">
        <f t="shared" si="77"/>
        <v>3</v>
      </c>
      <c r="H660">
        <f t="shared" si="78"/>
        <v>1</v>
      </c>
      <c r="I660">
        <f t="shared" si="79"/>
        <v>1</v>
      </c>
      <c r="J660">
        <f t="shared" si="80"/>
        <v>9</v>
      </c>
    </row>
    <row r="661" spans="1:10" x14ac:dyDescent="0.25">
      <c r="A661">
        <v>659</v>
      </c>
      <c r="B661" s="4" t="str">
        <f t="shared" si="75"/>
        <v>NOK</v>
      </c>
      <c r="C661" t="str">
        <f t="shared" si="72"/>
        <v>C</v>
      </c>
      <c r="D661" t="str">
        <f t="shared" si="73"/>
        <v>A</v>
      </c>
      <c r="E661" t="str">
        <f t="shared" si="74"/>
        <v>A</v>
      </c>
      <c r="F661" t="str">
        <f t="shared" si="76"/>
        <v>J</v>
      </c>
      <c r="G661" s="4">
        <f t="shared" si="77"/>
        <v>3</v>
      </c>
      <c r="H661">
        <f t="shared" si="78"/>
        <v>1</v>
      </c>
      <c r="I661">
        <f t="shared" si="79"/>
        <v>1</v>
      </c>
      <c r="J661">
        <f t="shared" si="80"/>
        <v>10</v>
      </c>
    </row>
    <row r="662" spans="1:10" x14ac:dyDescent="0.25">
      <c r="A662">
        <v>660</v>
      </c>
      <c r="B662" s="4" t="str">
        <f t="shared" si="75"/>
        <v>NOK</v>
      </c>
      <c r="C662" t="str">
        <f t="shared" si="72"/>
        <v>C</v>
      </c>
      <c r="D662" t="str">
        <f t="shared" si="73"/>
        <v>A</v>
      </c>
      <c r="E662" t="str">
        <f t="shared" si="74"/>
        <v>A</v>
      </c>
      <c r="F662" t="str">
        <f t="shared" si="76"/>
        <v>K</v>
      </c>
      <c r="G662" s="4">
        <f t="shared" si="77"/>
        <v>3</v>
      </c>
      <c r="H662">
        <f t="shared" si="78"/>
        <v>1</v>
      </c>
      <c r="I662">
        <f t="shared" si="79"/>
        <v>1</v>
      </c>
      <c r="J662">
        <f t="shared" si="80"/>
        <v>11</v>
      </c>
    </row>
    <row r="663" spans="1:10" x14ac:dyDescent="0.25">
      <c r="A663">
        <v>661</v>
      </c>
      <c r="B663" s="4" t="str">
        <f t="shared" si="75"/>
        <v>NOK</v>
      </c>
      <c r="C663" t="str">
        <f t="shared" si="72"/>
        <v>C</v>
      </c>
      <c r="D663" t="str">
        <f t="shared" si="73"/>
        <v>A</v>
      </c>
      <c r="E663" t="str">
        <f t="shared" si="74"/>
        <v>A</v>
      </c>
      <c r="F663" t="str">
        <f t="shared" si="76"/>
        <v>L</v>
      </c>
      <c r="G663" s="4">
        <f t="shared" si="77"/>
        <v>3</v>
      </c>
      <c r="H663">
        <f t="shared" si="78"/>
        <v>1</v>
      </c>
      <c r="I663">
        <f t="shared" si="79"/>
        <v>1</v>
      </c>
      <c r="J663">
        <f t="shared" si="80"/>
        <v>12</v>
      </c>
    </row>
    <row r="664" spans="1:10" x14ac:dyDescent="0.25">
      <c r="A664">
        <v>662</v>
      </c>
      <c r="B664" s="4" t="str">
        <f t="shared" si="75"/>
        <v>NOK</v>
      </c>
      <c r="C664" t="str">
        <f t="shared" si="72"/>
        <v>C</v>
      </c>
      <c r="D664" t="str">
        <f t="shared" si="73"/>
        <v>A</v>
      </c>
      <c r="E664" t="str">
        <f t="shared" si="74"/>
        <v>A</v>
      </c>
      <c r="F664" t="str">
        <f t="shared" si="76"/>
        <v>M</v>
      </c>
      <c r="G664" s="4">
        <f t="shared" si="77"/>
        <v>3</v>
      </c>
      <c r="H664">
        <f t="shared" si="78"/>
        <v>1</v>
      </c>
      <c r="I664">
        <f t="shared" si="79"/>
        <v>1</v>
      </c>
      <c r="J664">
        <f t="shared" si="80"/>
        <v>13</v>
      </c>
    </row>
    <row r="665" spans="1:10" x14ac:dyDescent="0.25">
      <c r="A665">
        <v>663</v>
      </c>
      <c r="B665" s="4" t="str">
        <f t="shared" si="75"/>
        <v>NOK</v>
      </c>
      <c r="C665" t="str">
        <f t="shared" si="72"/>
        <v>C</v>
      </c>
      <c r="D665" t="str">
        <f t="shared" si="73"/>
        <v>A</v>
      </c>
      <c r="E665" t="str">
        <f t="shared" si="74"/>
        <v>B</v>
      </c>
      <c r="F665" t="str">
        <f t="shared" si="76"/>
        <v>A</v>
      </c>
      <c r="G665" s="4">
        <f t="shared" si="77"/>
        <v>3</v>
      </c>
      <c r="H665">
        <f t="shared" si="78"/>
        <v>1</v>
      </c>
      <c r="I665">
        <f t="shared" si="79"/>
        <v>2</v>
      </c>
      <c r="J665">
        <f t="shared" si="80"/>
        <v>1</v>
      </c>
    </row>
    <row r="666" spans="1:10" x14ac:dyDescent="0.25">
      <c r="A666">
        <v>664</v>
      </c>
      <c r="B666" s="4" t="str">
        <f t="shared" si="75"/>
        <v>NOK</v>
      </c>
      <c r="C666" t="str">
        <f t="shared" si="72"/>
        <v>C</v>
      </c>
      <c r="D666" t="str">
        <f t="shared" si="73"/>
        <v>A</v>
      </c>
      <c r="E666" t="str">
        <f t="shared" si="74"/>
        <v>B</v>
      </c>
      <c r="F666" t="str">
        <f t="shared" si="76"/>
        <v>B</v>
      </c>
      <c r="G666" s="4">
        <f t="shared" si="77"/>
        <v>3</v>
      </c>
      <c r="H666">
        <f t="shared" si="78"/>
        <v>1</v>
      </c>
      <c r="I666">
        <f t="shared" si="79"/>
        <v>2</v>
      </c>
      <c r="J666">
        <f t="shared" si="80"/>
        <v>2</v>
      </c>
    </row>
    <row r="667" spans="1:10" x14ac:dyDescent="0.25">
      <c r="A667">
        <v>665</v>
      </c>
      <c r="B667" s="4" t="str">
        <f t="shared" si="75"/>
        <v>NOK</v>
      </c>
      <c r="C667" t="str">
        <f t="shared" si="72"/>
        <v>C</v>
      </c>
      <c r="D667" t="str">
        <f t="shared" si="73"/>
        <v>A</v>
      </c>
      <c r="E667" t="str">
        <f t="shared" si="74"/>
        <v>B</v>
      </c>
      <c r="F667" t="str">
        <f t="shared" si="76"/>
        <v>C</v>
      </c>
      <c r="G667" s="4">
        <f t="shared" si="77"/>
        <v>3</v>
      </c>
      <c r="H667">
        <f t="shared" si="78"/>
        <v>1</v>
      </c>
      <c r="I667">
        <f t="shared" si="79"/>
        <v>2</v>
      </c>
      <c r="J667">
        <f t="shared" si="80"/>
        <v>3</v>
      </c>
    </row>
    <row r="668" spans="1:10" x14ac:dyDescent="0.25">
      <c r="A668">
        <v>666</v>
      </c>
      <c r="B668" s="4" t="str">
        <f t="shared" si="75"/>
        <v>OK</v>
      </c>
      <c r="C668" t="str">
        <f t="shared" si="72"/>
        <v>C</v>
      </c>
      <c r="D668" t="str">
        <f t="shared" si="73"/>
        <v>A</v>
      </c>
      <c r="E668" t="str">
        <f t="shared" si="74"/>
        <v>B</v>
      </c>
      <c r="F668" t="str">
        <f t="shared" si="76"/>
        <v>D</v>
      </c>
      <c r="G668" s="4">
        <f t="shared" si="77"/>
        <v>3</v>
      </c>
      <c r="H668">
        <f t="shared" si="78"/>
        <v>1</v>
      </c>
      <c r="I668">
        <f t="shared" si="79"/>
        <v>2</v>
      </c>
      <c r="J668">
        <f t="shared" si="80"/>
        <v>4</v>
      </c>
    </row>
    <row r="669" spans="1:10" x14ac:dyDescent="0.25">
      <c r="A669">
        <v>667</v>
      </c>
      <c r="B669" s="4" t="str">
        <f t="shared" si="75"/>
        <v>NOK</v>
      </c>
      <c r="C669" t="str">
        <f t="shared" si="72"/>
        <v>C</v>
      </c>
      <c r="D669" t="str">
        <f t="shared" si="73"/>
        <v>A</v>
      </c>
      <c r="E669" t="str">
        <f t="shared" si="74"/>
        <v>B</v>
      </c>
      <c r="F669" t="str">
        <f t="shared" si="76"/>
        <v>E</v>
      </c>
      <c r="G669" s="4">
        <f t="shared" si="77"/>
        <v>3</v>
      </c>
      <c r="H669">
        <f t="shared" si="78"/>
        <v>1</v>
      </c>
      <c r="I669">
        <f t="shared" si="79"/>
        <v>2</v>
      </c>
      <c r="J669">
        <f t="shared" si="80"/>
        <v>5</v>
      </c>
    </row>
    <row r="670" spans="1:10" x14ac:dyDescent="0.25">
      <c r="A670">
        <v>668</v>
      </c>
      <c r="B670" s="4" t="str">
        <f t="shared" si="75"/>
        <v>NOK</v>
      </c>
      <c r="C670" t="str">
        <f t="shared" si="72"/>
        <v>C</v>
      </c>
      <c r="D670" t="str">
        <f t="shared" si="73"/>
        <v>A</v>
      </c>
      <c r="E670" t="str">
        <f t="shared" si="74"/>
        <v>B</v>
      </c>
      <c r="F670" t="str">
        <f t="shared" si="76"/>
        <v>F</v>
      </c>
      <c r="G670" s="4">
        <f t="shared" si="77"/>
        <v>3</v>
      </c>
      <c r="H670">
        <f t="shared" si="78"/>
        <v>1</v>
      </c>
      <c r="I670">
        <f t="shared" si="79"/>
        <v>2</v>
      </c>
      <c r="J670">
        <f t="shared" si="80"/>
        <v>6</v>
      </c>
    </row>
    <row r="671" spans="1:10" x14ac:dyDescent="0.25">
      <c r="A671">
        <v>669</v>
      </c>
      <c r="B671" s="4" t="str">
        <f t="shared" si="75"/>
        <v>NOK</v>
      </c>
      <c r="C671" t="str">
        <f t="shared" si="72"/>
        <v>C</v>
      </c>
      <c r="D671" t="str">
        <f t="shared" si="73"/>
        <v>A</v>
      </c>
      <c r="E671" t="str">
        <f t="shared" si="74"/>
        <v>B</v>
      </c>
      <c r="F671" t="str">
        <f t="shared" si="76"/>
        <v>G</v>
      </c>
      <c r="G671" s="4">
        <f t="shared" si="77"/>
        <v>3</v>
      </c>
      <c r="H671">
        <f t="shared" si="78"/>
        <v>1</v>
      </c>
      <c r="I671">
        <f t="shared" si="79"/>
        <v>2</v>
      </c>
      <c r="J671">
        <f t="shared" si="80"/>
        <v>7</v>
      </c>
    </row>
    <row r="672" spans="1:10" x14ac:dyDescent="0.25">
      <c r="A672">
        <v>670</v>
      </c>
      <c r="B672" s="4" t="str">
        <f t="shared" si="75"/>
        <v>NOK</v>
      </c>
      <c r="C672" t="str">
        <f t="shared" si="72"/>
        <v>C</v>
      </c>
      <c r="D672" t="str">
        <f t="shared" si="73"/>
        <v>A</v>
      </c>
      <c r="E672" t="str">
        <f t="shared" si="74"/>
        <v>B</v>
      </c>
      <c r="F672" t="str">
        <f t="shared" si="76"/>
        <v>H</v>
      </c>
      <c r="G672" s="4">
        <f t="shared" si="77"/>
        <v>3</v>
      </c>
      <c r="H672">
        <f t="shared" si="78"/>
        <v>1</v>
      </c>
      <c r="I672">
        <f t="shared" si="79"/>
        <v>2</v>
      </c>
      <c r="J672">
        <f t="shared" si="80"/>
        <v>8</v>
      </c>
    </row>
    <row r="673" spans="1:10" x14ac:dyDescent="0.25">
      <c r="A673">
        <v>671</v>
      </c>
      <c r="B673" s="4" t="str">
        <f t="shared" si="75"/>
        <v>NOK</v>
      </c>
      <c r="C673" t="str">
        <f t="shared" si="72"/>
        <v>C</v>
      </c>
      <c r="D673" t="str">
        <f t="shared" si="73"/>
        <v>A</v>
      </c>
      <c r="E673" t="str">
        <f t="shared" si="74"/>
        <v>B</v>
      </c>
      <c r="F673" t="str">
        <f t="shared" si="76"/>
        <v>I</v>
      </c>
      <c r="G673" s="4">
        <f t="shared" si="77"/>
        <v>3</v>
      </c>
      <c r="H673">
        <f t="shared" si="78"/>
        <v>1</v>
      </c>
      <c r="I673">
        <f t="shared" si="79"/>
        <v>2</v>
      </c>
      <c r="J673">
        <f t="shared" si="80"/>
        <v>9</v>
      </c>
    </row>
    <row r="674" spans="1:10" x14ac:dyDescent="0.25">
      <c r="A674">
        <v>672</v>
      </c>
      <c r="B674" s="4" t="str">
        <f t="shared" si="75"/>
        <v>NOK</v>
      </c>
      <c r="C674" t="str">
        <f t="shared" si="72"/>
        <v>C</v>
      </c>
      <c r="D674" t="str">
        <f t="shared" si="73"/>
        <v>A</v>
      </c>
      <c r="E674" t="str">
        <f t="shared" si="74"/>
        <v>B</v>
      </c>
      <c r="F674" t="str">
        <f t="shared" si="76"/>
        <v>J</v>
      </c>
      <c r="G674" s="4">
        <f t="shared" si="77"/>
        <v>3</v>
      </c>
      <c r="H674">
        <f t="shared" si="78"/>
        <v>1</v>
      </c>
      <c r="I674">
        <f t="shared" si="79"/>
        <v>2</v>
      </c>
      <c r="J674">
        <f t="shared" si="80"/>
        <v>10</v>
      </c>
    </row>
    <row r="675" spans="1:10" x14ac:dyDescent="0.25">
      <c r="A675">
        <v>673</v>
      </c>
      <c r="B675" s="4" t="str">
        <f t="shared" si="75"/>
        <v>NOK</v>
      </c>
      <c r="C675" t="str">
        <f t="shared" si="72"/>
        <v>C</v>
      </c>
      <c r="D675" t="str">
        <f t="shared" si="73"/>
        <v>A</v>
      </c>
      <c r="E675" t="str">
        <f t="shared" si="74"/>
        <v>B</v>
      </c>
      <c r="F675" t="str">
        <f t="shared" si="76"/>
        <v>K</v>
      </c>
      <c r="G675" s="4">
        <f t="shared" si="77"/>
        <v>3</v>
      </c>
      <c r="H675">
        <f t="shared" si="78"/>
        <v>1</v>
      </c>
      <c r="I675">
        <f t="shared" si="79"/>
        <v>2</v>
      </c>
      <c r="J675">
        <f t="shared" si="80"/>
        <v>11</v>
      </c>
    </row>
    <row r="676" spans="1:10" x14ac:dyDescent="0.25">
      <c r="A676">
        <v>674</v>
      </c>
      <c r="B676" s="4" t="str">
        <f t="shared" si="75"/>
        <v>NOK</v>
      </c>
      <c r="C676" t="str">
        <f t="shared" si="72"/>
        <v>C</v>
      </c>
      <c r="D676" t="str">
        <f t="shared" si="73"/>
        <v>A</v>
      </c>
      <c r="E676" t="str">
        <f t="shared" si="74"/>
        <v>B</v>
      </c>
      <c r="F676" t="str">
        <f t="shared" si="76"/>
        <v>L</v>
      </c>
      <c r="G676" s="4">
        <f t="shared" si="77"/>
        <v>3</v>
      </c>
      <c r="H676">
        <f t="shared" si="78"/>
        <v>1</v>
      </c>
      <c r="I676">
        <f t="shared" si="79"/>
        <v>2</v>
      </c>
      <c r="J676">
        <f t="shared" si="80"/>
        <v>12</v>
      </c>
    </row>
    <row r="677" spans="1:10" x14ac:dyDescent="0.25">
      <c r="A677">
        <v>675</v>
      </c>
      <c r="B677" s="4" t="str">
        <f t="shared" si="75"/>
        <v>NOK</v>
      </c>
      <c r="C677" t="str">
        <f t="shared" si="72"/>
        <v>C</v>
      </c>
      <c r="D677" t="str">
        <f t="shared" si="73"/>
        <v>A</v>
      </c>
      <c r="E677" t="str">
        <f t="shared" si="74"/>
        <v>B</v>
      </c>
      <c r="F677" t="str">
        <f t="shared" si="76"/>
        <v>M</v>
      </c>
      <c r="G677" s="4">
        <f t="shared" si="77"/>
        <v>3</v>
      </c>
      <c r="H677">
        <f t="shared" si="78"/>
        <v>1</v>
      </c>
      <c r="I677">
        <f t="shared" si="79"/>
        <v>2</v>
      </c>
      <c r="J677">
        <f t="shared" si="80"/>
        <v>13</v>
      </c>
    </row>
    <row r="678" spans="1:10" x14ac:dyDescent="0.25">
      <c r="A678">
        <v>676</v>
      </c>
      <c r="B678" s="4" t="str">
        <f t="shared" si="75"/>
        <v>NOK</v>
      </c>
      <c r="C678" t="str">
        <f t="shared" si="72"/>
        <v>C</v>
      </c>
      <c r="D678" t="str">
        <f t="shared" si="73"/>
        <v>A</v>
      </c>
      <c r="E678" t="str">
        <f t="shared" si="74"/>
        <v>C</v>
      </c>
      <c r="F678" t="str">
        <f t="shared" si="76"/>
        <v>A</v>
      </c>
      <c r="G678" s="4">
        <f t="shared" si="77"/>
        <v>3</v>
      </c>
      <c r="H678">
        <f t="shared" si="78"/>
        <v>1</v>
      </c>
      <c r="I678">
        <f t="shared" si="79"/>
        <v>3</v>
      </c>
      <c r="J678">
        <f t="shared" si="80"/>
        <v>1</v>
      </c>
    </row>
    <row r="679" spans="1:10" x14ac:dyDescent="0.25">
      <c r="A679">
        <v>677</v>
      </c>
      <c r="B679" s="4" t="str">
        <f t="shared" si="75"/>
        <v>NOK</v>
      </c>
      <c r="C679" t="str">
        <f t="shared" si="72"/>
        <v>C</v>
      </c>
      <c r="D679" t="str">
        <f t="shared" si="73"/>
        <v>A</v>
      </c>
      <c r="E679" t="str">
        <f t="shared" si="74"/>
        <v>C</v>
      </c>
      <c r="F679" t="str">
        <f t="shared" si="76"/>
        <v>B</v>
      </c>
      <c r="G679" s="4">
        <f t="shared" si="77"/>
        <v>3</v>
      </c>
      <c r="H679">
        <f t="shared" si="78"/>
        <v>1</v>
      </c>
      <c r="I679">
        <f t="shared" si="79"/>
        <v>3</v>
      </c>
      <c r="J679">
        <f t="shared" si="80"/>
        <v>2</v>
      </c>
    </row>
    <row r="680" spans="1:10" x14ac:dyDescent="0.25">
      <c r="A680">
        <v>678</v>
      </c>
      <c r="B680" s="4" t="str">
        <f t="shared" si="75"/>
        <v>NOK</v>
      </c>
      <c r="C680" t="str">
        <f t="shared" si="72"/>
        <v>C</v>
      </c>
      <c r="D680" t="str">
        <f t="shared" si="73"/>
        <v>A</v>
      </c>
      <c r="E680" t="str">
        <f t="shared" si="74"/>
        <v>C</v>
      </c>
      <c r="F680" t="str">
        <f t="shared" si="76"/>
        <v>C</v>
      </c>
      <c r="G680" s="4">
        <f t="shared" si="77"/>
        <v>3</v>
      </c>
      <c r="H680">
        <f t="shared" si="78"/>
        <v>1</v>
      </c>
      <c r="I680">
        <f t="shared" si="79"/>
        <v>3</v>
      </c>
      <c r="J680">
        <f t="shared" si="80"/>
        <v>3</v>
      </c>
    </row>
    <row r="681" spans="1:10" x14ac:dyDescent="0.25">
      <c r="A681">
        <v>679</v>
      </c>
      <c r="B681" s="4" t="str">
        <f t="shared" si="75"/>
        <v>NOK</v>
      </c>
      <c r="C681" t="str">
        <f t="shared" si="72"/>
        <v>C</v>
      </c>
      <c r="D681" t="str">
        <f t="shared" si="73"/>
        <v>A</v>
      </c>
      <c r="E681" t="str">
        <f t="shared" si="74"/>
        <v>C</v>
      </c>
      <c r="F681" t="str">
        <f t="shared" si="76"/>
        <v>D</v>
      </c>
      <c r="G681" s="4">
        <f t="shared" si="77"/>
        <v>3</v>
      </c>
      <c r="H681">
        <f t="shared" si="78"/>
        <v>1</v>
      </c>
      <c r="I681">
        <f t="shared" si="79"/>
        <v>3</v>
      </c>
      <c r="J681">
        <f t="shared" si="80"/>
        <v>4</v>
      </c>
    </row>
    <row r="682" spans="1:10" x14ac:dyDescent="0.25">
      <c r="A682">
        <v>680</v>
      </c>
      <c r="B682" s="4" t="str">
        <f t="shared" si="75"/>
        <v>OK</v>
      </c>
      <c r="C682" t="str">
        <f t="shared" si="72"/>
        <v>C</v>
      </c>
      <c r="D682" t="str">
        <f t="shared" si="73"/>
        <v>A</v>
      </c>
      <c r="E682" t="str">
        <f t="shared" si="74"/>
        <v>C</v>
      </c>
      <c r="F682" t="str">
        <f t="shared" si="76"/>
        <v>E</v>
      </c>
      <c r="G682" s="4">
        <f t="shared" si="77"/>
        <v>3</v>
      </c>
      <c r="H682">
        <f t="shared" si="78"/>
        <v>1</v>
      </c>
      <c r="I682">
        <f t="shared" si="79"/>
        <v>3</v>
      </c>
      <c r="J682">
        <f t="shared" si="80"/>
        <v>5</v>
      </c>
    </row>
    <row r="683" spans="1:10" x14ac:dyDescent="0.25">
      <c r="A683">
        <v>681</v>
      </c>
      <c r="B683" s="4" t="str">
        <f t="shared" si="75"/>
        <v>NOK</v>
      </c>
      <c r="C683" t="str">
        <f t="shared" si="72"/>
        <v>C</v>
      </c>
      <c r="D683" t="str">
        <f t="shared" si="73"/>
        <v>A</v>
      </c>
      <c r="E683" t="str">
        <f t="shared" si="74"/>
        <v>C</v>
      </c>
      <c r="F683" t="str">
        <f t="shared" si="76"/>
        <v>F</v>
      </c>
      <c r="G683" s="4">
        <f t="shared" si="77"/>
        <v>3</v>
      </c>
      <c r="H683">
        <f t="shared" si="78"/>
        <v>1</v>
      </c>
      <c r="I683">
        <f t="shared" si="79"/>
        <v>3</v>
      </c>
      <c r="J683">
        <f t="shared" si="80"/>
        <v>6</v>
      </c>
    </row>
    <row r="684" spans="1:10" x14ac:dyDescent="0.25">
      <c r="A684">
        <v>682</v>
      </c>
      <c r="B684" s="4" t="str">
        <f t="shared" si="75"/>
        <v>NOK</v>
      </c>
      <c r="C684" t="str">
        <f t="shared" si="72"/>
        <v>C</v>
      </c>
      <c r="D684" t="str">
        <f t="shared" si="73"/>
        <v>A</v>
      </c>
      <c r="E684" t="str">
        <f t="shared" si="74"/>
        <v>C</v>
      </c>
      <c r="F684" t="str">
        <f t="shared" si="76"/>
        <v>G</v>
      </c>
      <c r="G684" s="4">
        <f t="shared" si="77"/>
        <v>3</v>
      </c>
      <c r="H684">
        <f t="shared" si="78"/>
        <v>1</v>
      </c>
      <c r="I684">
        <f t="shared" si="79"/>
        <v>3</v>
      </c>
      <c r="J684">
        <f t="shared" si="80"/>
        <v>7</v>
      </c>
    </row>
    <row r="685" spans="1:10" x14ac:dyDescent="0.25">
      <c r="A685">
        <v>683</v>
      </c>
      <c r="B685" s="4" t="str">
        <f t="shared" si="75"/>
        <v>NOK</v>
      </c>
      <c r="C685" t="str">
        <f t="shared" si="72"/>
        <v>C</v>
      </c>
      <c r="D685" t="str">
        <f t="shared" si="73"/>
        <v>A</v>
      </c>
      <c r="E685" t="str">
        <f t="shared" si="74"/>
        <v>C</v>
      </c>
      <c r="F685" t="str">
        <f t="shared" si="76"/>
        <v>H</v>
      </c>
      <c r="G685" s="4">
        <f t="shared" si="77"/>
        <v>3</v>
      </c>
      <c r="H685">
        <f t="shared" si="78"/>
        <v>1</v>
      </c>
      <c r="I685">
        <f t="shared" si="79"/>
        <v>3</v>
      </c>
      <c r="J685">
        <f t="shared" si="80"/>
        <v>8</v>
      </c>
    </row>
    <row r="686" spans="1:10" x14ac:dyDescent="0.25">
      <c r="A686">
        <v>684</v>
      </c>
      <c r="B686" s="4" t="str">
        <f t="shared" si="75"/>
        <v>NOK</v>
      </c>
      <c r="C686" t="str">
        <f t="shared" si="72"/>
        <v>C</v>
      </c>
      <c r="D686" t="str">
        <f t="shared" si="73"/>
        <v>A</v>
      </c>
      <c r="E686" t="str">
        <f t="shared" si="74"/>
        <v>C</v>
      </c>
      <c r="F686" t="str">
        <f t="shared" si="76"/>
        <v>I</v>
      </c>
      <c r="G686" s="4">
        <f t="shared" si="77"/>
        <v>3</v>
      </c>
      <c r="H686">
        <f t="shared" si="78"/>
        <v>1</v>
      </c>
      <c r="I686">
        <f t="shared" si="79"/>
        <v>3</v>
      </c>
      <c r="J686">
        <f t="shared" si="80"/>
        <v>9</v>
      </c>
    </row>
    <row r="687" spans="1:10" x14ac:dyDescent="0.25">
      <c r="A687">
        <v>685</v>
      </c>
      <c r="B687" s="4" t="str">
        <f t="shared" si="75"/>
        <v>NOK</v>
      </c>
      <c r="C687" t="str">
        <f t="shared" si="72"/>
        <v>C</v>
      </c>
      <c r="D687" t="str">
        <f t="shared" si="73"/>
        <v>A</v>
      </c>
      <c r="E687" t="str">
        <f t="shared" si="74"/>
        <v>C</v>
      </c>
      <c r="F687" t="str">
        <f t="shared" si="76"/>
        <v>J</v>
      </c>
      <c r="G687" s="4">
        <f t="shared" si="77"/>
        <v>3</v>
      </c>
      <c r="H687">
        <f t="shared" si="78"/>
        <v>1</v>
      </c>
      <c r="I687">
        <f t="shared" si="79"/>
        <v>3</v>
      </c>
      <c r="J687">
        <f t="shared" si="80"/>
        <v>10</v>
      </c>
    </row>
    <row r="688" spans="1:10" x14ac:dyDescent="0.25">
      <c r="A688">
        <v>686</v>
      </c>
      <c r="B688" s="4" t="str">
        <f t="shared" si="75"/>
        <v>NOK</v>
      </c>
      <c r="C688" t="str">
        <f t="shared" si="72"/>
        <v>C</v>
      </c>
      <c r="D688" t="str">
        <f t="shared" si="73"/>
        <v>A</v>
      </c>
      <c r="E688" t="str">
        <f t="shared" si="74"/>
        <v>C</v>
      </c>
      <c r="F688" t="str">
        <f t="shared" si="76"/>
        <v>K</v>
      </c>
      <c r="G688" s="4">
        <f t="shared" si="77"/>
        <v>3</v>
      </c>
      <c r="H688">
        <f t="shared" si="78"/>
        <v>1</v>
      </c>
      <c r="I688">
        <f t="shared" si="79"/>
        <v>3</v>
      </c>
      <c r="J688">
        <f t="shared" si="80"/>
        <v>11</v>
      </c>
    </row>
    <row r="689" spans="1:10" x14ac:dyDescent="0.25">
      <c r="A689">
        <v>687</v>
      </c>
      <c r="B689" s="4" t="str">
        <f t="shared" si="75"/>
        <v>NOK</v>
      </c>
      <c r="C689" t="str">
        <f t="shared" si="72"/>
        <v>C</v>
      </c>
      <c r="D689" t="str">
        <f t="shared" si="73"/>
        <v>A</v>
      </c>
      <c r="E689" t="str">
        <f t="shared" si="74"/>
        <v>C</v>
      </c>
      <c r="F689" t="str">
        <f t="shared" si="76"/>
        <v>L</v>
      </c>
      <c r="G689" s="4">
        <f t="shared" si="77"/>
        <v>3</v>
      </c>
      <c r="H689">
        <f t="shared" si="78"/>
        <v>1</v>
      </c>
      <c r="I689">
        <f t="shared" si="79"/>
        <v>3</v>
      </c>
      <c r="J689">
        <f t="shared" si="80"/>
        <v>12</v>
      </c>
    </row>
    <row r="690" spans="1:10" x14ac:dyDescent="0.25">
      <c r="A690">
        <v>688</v>
      </c>
      <c r="B690" s="4" t="str">
        <f t="shared" si="75"/>
        <v>NOK</v>
      </c>
      <c r="C690" t="str">
        <f t="shared" si="72"/>
        <v>C</v>
      </c>
      <c r="D690" t="str">
        <f t="shared" si="73"/>
        <v>A</v>
      </c>
      <c r="E690" t="str">
        <f t="shared" si="74"/>
        <v>C</v>
      </c>
      <c r="F690" t="str">
        <f t="shared" si="76"/>
        <v>M</v>
      </c>
      <c r="G690" s="4">
        <f t="shared" si="77"/>
        <v>3</v>
      </c>
      <c r="H690">
        <f t="shared" si="78"/>
        <v>1</v>
      </c>
      <c r="I690">
        <f t="shared" si="79"/>
        <v>3</v>
      </c>
      <c r="J690">
        <f t="shared" si="80"/>
        <v>13</v>
      </c>
    </row>
    <row r="691" spans="1:10" x14ac:dyDescent="0.25">
      <c r="A691">
        <v>689</v>
      </c>
      <c r="B691" s="4" t="str">
        <f t="shared" si="75"/>
        <v>NOK</v>
      </c>
      <c r="C691" t="str">
        <f t="shared" si="72"/>
        <v>C</v>
      </c>
      <c r="D691" t="str">
        <f t="shared" si="73"/>
        <v>A</v>
      </c>
      <c r="E691" t="str">
        <f t="shared" si="74"/>
        <v>D</v>
      </c>
      <c r="F691" t="str">
        <f t="shared" si="76"/>
        <v>A</v>
      </c>
      <c r="G691" s="4">
        <f t="shared" si="77"/>
        <v>3</v>
      </c>
      <c r="H691">
        <f t="shared" si="78"/>
        <v>1</v>
      </c>
      <c r="I691">
        <f t="shared" si="79"/>
        <v>4</v>
      </c>
      <c r="J691">
        <f t="shared" si="80"/>
        <v>1</v>
      </c>
    </row>
    <row r="692" spans="1:10" x14ac:dyDescent="0.25">
      <c r="A692">
        <v>690</v>
      </c>
      <c r="B692" s="4" t="str">
        <f t="shared" si="75"/>
        <v>NOK</v>
      </c>
      <c r="C692" t="str">
        <f t="shared" ref="C692:C755" si="81">IF(G692=1,"A",IF(G692=2,"B",IF(G692=3,"C",IF(G692=4,"D",IF(G692=5,"E","ERRO")))))</f>
        <v>C</v>
      </c>
      <c r="D692" t="str">
        <f t="shared" ref="D692:D755" si="82">IF(H692=1,"A",IF(H692=2,"B",IF(H692=3,"C",IF(H692=4,"D",IF(H692=5,"E","ERRO")))))</f>
        <v>A</v>
      </c>
      <c r="E692" t="str">
        <f t="shared" ref="E692:E755" si="83">IF(I692=1,"A",IF(I692=2,"B",IF(I692=3,"C",IF(I692=4,"D",IF(I692=5,"E","ERRO")))))</f>
        <v>D</v>
      </c>
      <c r="F692" t="str">
        <f t="shared" si="76"/>
        <v>B</v>
      </c>
      <c r="G692" s="4">
        <f t="shared" si="77"/>
        <v>3</v>
      </c>
      <c r="H692">
        <f t="shared" si="78"/>
        <v>1</v>
      </c>
      <c r="I692">
        <f t="shared" si="79"/>
        <v>4</v>
      </c>
      <c r="J692">
        <f t="shared" si="80"/>
        <v>2</v>
      </c>
    </row>
    <row r="693" spans="1:10" x14ac:dyDescent="0.25">
      <c r="A693">
        <v>691</v>
      </c>
      <c r="B693" s="4" t="str">
        <f t="shared" si="75"/>
        <v>NOK</v>
      </c>
      <c r="C693" t="str">
        <f t="shared" si="81"/>
        <v>C</v>
      </c>
      <c r="D693" t="str">
        <f t="shared" si="82"/>
        <v>A</v>
      </c>
      <c r="E693" t="str">
        <f t="shared" si="83"/>
        <v>D</v>
      </c>
      <c r="F693" t="str">
        <f t="shared" si="76"/>
        <v>C</v>
      </c>
      <c r="G693" s="4">
        <f t="shared" si="77"/>
        <v>3</v>
      </c>
      <c r="H693">
        <f t="shared" si="78"/>
        <v>1</v>
      </c>
      <c r="I693">
        <f t="shared" si="79"/>
        <v>4</v>
      </c>
      <c r="J693">
        <f t="shared" si="80"/>
        <v>3</v>
      </c>
    </row>
    <row r="694" spans="1:10" x14ac:dyDescent="0.25">
      <c r="A694">
        <v>692</v>
      </c>
      <c r="B694" s="4" t="str">
        <f t="shared" si="75"/>
        <v>NOK</v>
      </c>
      <c r="C694" t="str">
        <f t="shared" si="81"/>
        <v>C</v>
      </c>
      <c r="D694" t="str">
        <f t="shared" si="82"/>
        <v>A</v>
      </c>
      <c r="E694" t="str">
        <f t="shared" si="83"/>
        <v>D</v>
      </c>
      <c r="F694" t="str">
        <f t="shared" si="76"/>
        <v>D</v>
      </c>
      <c r="G694" s="4">
        <f t="shared" si="77"/>
        <v>3</v>
      </c>
      <c r="H694">
        <f t="shared" si="78"/>
        <v>1</v>
      </c>
      <c r="I694">
        <f t="shared" si="79"/>
        <v>4</v>
      </c>
      <c r="J694">
        <f t="shared" si="80"/>
        <v>4</v>
      </c>
    </row>
    <row r="695" spans="1:10" x14ac:dyDescent="0.25">
      <c r="A695">
        <v>693</v>
      </c>
      <c r="B695" s="4" t="str">
        <f t="shared" si="75"/>
        <v>NOK</v>
      </c>
      <c r="C695" t="str">
        <f t="shared" si="81"/>
        <v>C</v>
      </c>
      <c r="D695" t="str">
        <f t="shared" si="82"/>
        <v>A</v>
      </c>
      <c r="E695" t="str">
        <f t="shared" si="83"/>
        <v>D</v>
      </c>
      <c r="F695" t="str">
        <f t="shared" si="76"/>
        <v>E</v>
      </c>
      <c r="G695" s="4">
        <f t="shared" si="77"/>
        <v>3</v>
      </c>
      <c r="H695">
        <f t="shared" si="78"/>
        <v>1</v>
      </c>
      <c r="I695">
        <f t="shared" si="79"/>
        <v>4</v>
      </c>
      <c r="J695">
        <f t="shared" si="80"/>
        <v>5</v>
      </c>
    </row>
    <row r="696" spans="1:10" x14ac:dyDescent="0.25">
      <c r="A696">
        <v>694</v>
      </c>
      <c r="B696" s="4" t="str">
        <f t="shared" si="75"/>
        <v>OK</v>
      </c>
      <c r="C696" t="str">
        <f t="shared" si="81"/>
        <v>C</v>
      </c>
      <c r="D696" t="str">
        <f t="shared" si="82"/>
        <v>A</v>
      </c>
      <c r="E696" t="str">
        <f t="shared" si="83"/>
        <v>D</v>
      </c>
      <c r="F696" t="str">
        <f t="shared" si="76"/>
        <v>F</v>
      </c>
      <c r="G696" s="4">
        <f t="shared" si="77"/>
        <v>3</v>
      </c>
      <c r="H696">
        <f t="shared" si="78"/>
        <v>1</v>
      </c>
      <c r="I696">
        <f t="shared" si="79"/>
        <v>4</v>
      </c>
      <c r="J696">
        <f t="shared" si="80"/>
        <v>6</v>
      </c>
    </row>
    <row r="697" spans="1:10" x14ac:dyDescent="0.25">
      <c r="A697">
        <v>695</v>
      </c>
      <c r="B697" s="4" t="str">
        <f t="shared" si="75"/>
        <v>NOK</v>
      </c>
      <c r="C697" t="str">
        <f t="shared" si="81"/>
        <v>C</v>
      </c>
      <c r="D697" t="str">
        <f t="shared" si="82"/>
        <v>A</v>
      </c>
      <c r="E697" t="str">
        <f t="shared" si="83"/>
        <v>D</v>
      </c>
      <c r="F697" t="str">
        <f t="shared" si="76"/>
        <v>G</v>
      </c>
      <c r="G697" s="4">
        <f t="shared" si="77"/>
        <v>3</v>
      </c>
      <c r="H697">
        <f t="shared" si="78"/>
        <v>1</v>
      </c>
      <c r="I697">
        <f t="shared" si="79"/>
        <v>4</v>
      </c>
      <c r="J697">
        <f t="shared" si="80"/>
        <v>7</v>
      </c>
    </row>
    <row r="698" spans="1:10" x14ac:dyDescent="0.25">
      <c r="A698">
        <v>696</v>
      </c>
      <c r="B698" s="4" t="str">
        <f t="shared" si="75"/>
        <v>NOK</v>
      </c>
      <c r="C698" t="str">
        <f t="shared" si="81"/>
        <v>C</v>
      </c>
      <c r="D698" t="str">
        <f t="shared" si="82"/>
        <v>A</v>
      </c>
      <c r="E698" t="str">
        <f t="shared" si="83"/>
        <v>D</v>
      </c>
      <c r="F698" t="str">
        <f t="shared" si="76"/>
        <v>H</v>
      </c>
      <c r="G698" s="4">
        <f t="shared" si="77"/>
        <v>3</v>
      </c>
      <c r="H698">
        <f t="shared" si="78"/>
        <v>1</v>
      </c>
      <c r="I698">
        <f t="shared" si="79"/>
        <v>4</v>
      </c>
      <c r="J698">
        <f t="shared" si="80"/>
        <v>8</v>
      </c>
    </row>
    <row r="699" spans="1:10" x14ac:dyDescent="0.25">
      <c r="A699">
        <v>697</v>
      </c>
      <c r="B699" s="4" t="str">
        <f t="shared" si="75"/>
        <v>NOK</v>
      </c>
      <c r="C699" t="str">
        <f t="shared" si="81"/>
        <v>C</v>
      </c>
      <c r="D699" t="str">
        <f t="shared" si="82"/>
        <v>A</v>
      </c>
      <c r="E699" t="str">
        <f t="shared" si="83"/>
        <v>D</v>
      </c>
      <c r="F699" t="str">
        <f t="shared" si="76"/>
        <v>I</v>
      </c>
      <c r="G699" s="4">
        <f t="shared" si="77"/>
        <v>3</v>
      </c>
      <c r="H699">
        <f t="shared" si="78"/>
        <v>1</v>
      </c>
      <c r="I699">
        <f t="shared" si="79"/>
        <v>4</v>
      </c>
      <c r="J699">
        <f t="shared" si="80"/>
        <v>9</v>
      </c>
    </row>
    <row r="700" spans="1:10" x14ac:dyDescent="0.25">
      <c r="A700">
        <v>698</v>
      </c>
      <c r="B700" s="4" t="str">
        <f t="shared" si="75"/>
        <v>NOK</v>
      </c>
      <c r="C700" t="str">
        <f t="shared" si="81"/>
        <v>C</v>
      </c>
      <c r="D700" t="str">
        <f t="shared" si="82"/>
        <v>A</v>
      </c>
      <c r="E700" t="str">
        <f t="shared" si="83"/>
        <v>D</v>
      </c>
      <c r="F700" t="str">
        <f t="shared" si="76"/>
        <v>J</v>
      </c>
      <c r="G700" s="4">
        <f t="shared" si="77"/>
        <v>3</v>
      </c>
      <c r="H700">
        <f t="shared" si="78"/>
        <v>1</v>
      </c>
      <c r="I700">
        <f t="shared" si="79"/>
        <v>4</v>
      </c>
      <c r="J700">
        <f t="shared" si="80"/>
        <v>10</v>
      </c>
    </row>
    <row r="701" spans="1:10" x14ac:dyDescent="0.25">
      <c r="A701">
        <v>699</v>
      </c>
      <c r="B701" s="4" t="str">
        <f t="shared" si="75"/>
        <v>NOK</v>
      </c>
      <c r="C701" t="str">
        <f t="shared" si="81"/>
        <v>C</v>
      </c>
      <c r="D701" t="str">
        <f t="shared" si="82"/>
        <v>A</v>
      </c>
      <c r="E701" t="str">
        <f t="shared" si="83"/>
        <v>D</v>
      </c>
      <c r="F701" t="str">
        <f t="shared" si="76"/>
        <v>K</v>
      </c>
      <c r="G701" s="4">
        <f t="shared" si="77"/>
        <v>3</v>
      </c>
      <c r="H701">
        <f t="shared" si="78"/>
        <v>1</v>
      </c>
      <c r="I701">
        <f t="shared" si="79"/>
        <v>4</v>
      </c>
      <c r="J701">
        <f t="shared" si="80"/>
        <v>11</v>
      </c>
    </row>
    <row r="702" spans="1:10" x14ac:dyDescent="0.25">
      <c r="A702">
        <v>700</v>
      </c>
      <c r="B702" s="4" t="str">
        <f t="shared" si="75"/>
        <v>NOK</v>
      </c>
      <c r="C702" t="str">
        <f t="shared" si="81"/>
        <v>C</v>
      </c>
      <c r="D702" t="str">
        <f t="shared" si="82"/>
        <v>A</v>
      </c>
      <c r="E702" t="str">
        <f t="shared" si="83"/>
        <v>D</v>
      </c>
      <c r="F702" t="str">
        <f t="shared" si="76"/>
        <v>L</v>
      </c>
      <c r="G702" s="4">
        <f t="shared" si="77"/>
        <v>3</v>
      </c>
      <c r="H702">
        <f t="shared" si="78"/>
        <v>1</v>
      </c>
      <c r="I702">
        <f t="shared" si="79"/>
        <v>4</v>
      </c>
      <c r="J702">
        <f t="shared" si="80"/>
        <v>12</v>
      </c>
    </row>
    <row r="703" spans="1:10" x14ac:dyDescent="0.25">
      <c r="A703">
        <v>701</v>
      </c>
      <c r="B703" s="4" t="str">
        <f t="shared" si="75"/>
        <v>NOK</v>
      </c>
      <c r="C703" t="str">
        <f t="shared" si="81"/>
        <v>C</v>
      </c>
      <c r="D703" t="str">
        <f t="shared" si="82"/>
        <v>A</v>
      </c>
      <c r="E703" t="str">
        <f t="shared" si="83"/>
        <v>D</v>
      </c>
      <c r="F703" t="str">
        <f t="shared" si="76"/>
        <v>M</v>
      </c>
      <c r="G703" s="4">
        <f t="shared" si="77"/>
        <v>3</v>
      </c>
      <c r="H703">
        <f t="shared" si="78"/>
        <v>1</v>
      </c>
      <c r="I703">
        <f t="shared" si="79"/>
        <v>4</v>
      </c>
      <c r="J703">
        <f t="shared" si="80"/>
        <v>13</v>
      </c>
    </row>
    <row r="704" spans="1:10" x14ac:dyDescent="0.25">
      <c r="A704">
        <v>702</v>
      </c>
      <c r="B704" s="4" t="str">
        <f t="shared" si="75"/>
        <v>NOK</v>
      </c>
      <c r="C704" t="str">
        <f t="shared" si="81"/>
        <v>C</v>
      </c>
      <c r="D704" t="str">
        <f t="shared" si="82"/>
        <v>A</v>
      </c>
      <c r="E704" t="str">
        <f t="shared" si="83"/>
        <v>E</v>
      </c>
      <c r="F704" t="str">
        <f t="shared" si="76"/>
        <v>A</v>
      </c>
      <c r="G704" s="4">
        <f t="shared" si="77"/>
        <v>3</v>
      </c>
      <c r="H704">
        <f t="shared" si="78"/>
        <v>1</v>
      </c>
      <c r="I704">
        <f t="shared" si="79"/>
        <v>5</v>
      </c>
      <c r="J704">
        <f t="shared" si="80"/>
        <v>1</v>
      </c>
    </row>
    <row r="705" spans="1:10" x14ac:dyDescent="0.25">
      <c r="A705">
        <v>703</v>
      </c>
      <c r="B705" s="4" t="str">
        <f t="shared" si="75"/>
        <v>NOK</v>
      </c>
      <c r="C705" t="str">
        <f t="shared" si="81"/>
        <v>C</v>
      </c>
      <c r="D705" t="str">
        <f t="shared" si="82"/>
        <v>A</v>
      </c>
      <c r="E705" t="str">
        <f t="shared" si="83"/>
        <v>E</v>
      </c>
      <c r="F705" t="str">
        <f t="shared" si="76"/>
        <v>B</v>
      </c>
      <c r="G705" s="4">
        <f t="shared" si="77"/>
        <v>3</v>
      </c>
      <c r="H705">
        <f t="shared" si="78"/>
        <v>1</v>
      </c>
      <c r="I705">
        <f t="shared" si="79"/>
        <v>5</v>
      </c>
      <c r="J705">
        <f t="shared" si="80"/>
        <v>2</v>
      </c>
    </row>
    <row r="706" spans="1:10" x14ac:dyDescent="0.25">
      <c r="A706">
        <v>704</v>
      </c>
      <c r="B706" s="4" t="str">
        <f t="shared" ref="B706:B769" si="84">IF(ROUND(_xlfn.XLOOKUP(C706,$U$1:$U$5,$T$1:$T$5,,0,1)+_xlfn.XLOOKUP(D706,$W$1:$W$5,$V$1:$V$5,,0,1)+_xlfn.XLOOKUP(E706,$Y$1:$Y$5,$X$1:$X$5,,0,1)-_xlfn.XLOOKUP(F706,$AA$1:$AA$13,$Z$1:$Z$13,,0,1),3)=0.325,"OK","NOK")</f>
        <v>NOK</v>
      </c>
      <c r="C706" t="str">
        <f t="shared" si="81"/>
        <v>C</v>
      </c>
      <c r="D706" t="str">
        <f t="shared" si="82"/>
        <v>A</v>
      </c>
      <c r="E706" t="str">
        <f t="shared" si="83"/>
        <v>E</v>
      </c>
      <c r="F706" t="str">
        <f t="shared" ref="F706:F769" si="85">IF(J706=1,"A",IF(J706=2,"B",IF(J706=3,"C",IF(J706=4,"D",IF(J706=5,"E",IF(J706=6,"F",IF(J706=7,"G",IF(J706=8,"H",IF(J706=9,"I",IF(J706=10,"J",IF(J706=11,"K",IF(J706=12,"L",IF(J706=13,"M","ERRO")))))))))))))</f>
        <v>C</v>
      </c>
      <c r="G706" s="4">
        <f t="shared" ref="G706:G769" si="86">INT($A706/325)+1</f>
        <v>3</v>
      </c>
      <c r="H706">
        <f t="shared" ref="H706:H769" si="87">INT(MOD($A706,325)/65)+1</f>
        <v>1</v>
      </c>
      <c r="I706">
        <f t="shared" ref="I706:I769" si="88">INT(MOD($A706,65)/13)+1</f>
        <v>5</v>
      </c>
      <c r="J706">
        <f t="shared" ref="J706:J769" si="89">MOD($A706,13)+1</f>
        <v>3</v>
      </c>
    </row>
    <row r="707" spans="1:10" x14ac:dyDescent="0.25">
      <c r="A707">
        <v>705</v>
      </c>
      <c r="B707" s="4" t="str">
        <f t="shared" si="84"/>
        <v>NOK</v>
      </c>
      <c r="C707" t="str">
        <f t="shared" si="81"/>
        <v>C</v>
      </c>
      <c r="D707" t="str">
        <f t="shared" si="82"/>
        <v>A</v>
      </c>
      <c r="E707" t="str">
        <f t="shared" si="83"/>
        <v>E</v>
      </c>
      <c r="F707" t="str">
        <f t="shared" si="85"/>
        <v>D</v>
      </c>
      <c r="G707" s="4">
        <f t="shared" si="86"/>
        <v>3</v>
      </c>
      <c r="H707">
        <f t="shared" si="87"/>
        <v>1</v>
      </c>
      <c r="I707">
        <f t="shared" si="88"/>
        <v>5</v>
      </c>
      <c r="J707">
        <f t="shared" si="89"/>
        <v>4</v>
      </c>
    </row>
    <row r="708" spans="1:10" x14ac:dyDescent="0.25">
      <c r="A708">
        <v>706</v>
      </c>
      <c r="B708" s="4" t="str">
        <f t="shared" si="84"/>
        <v>NOK</v>
      </c>
      <c r="C708" t="str">
        <f t="shared" si="81"/>
        <v>C</v>
      </c>
      <c r="D708" t="str">
        <f t="shared" si="82"/>
        <v>A</v>
      </c>
      <c r="E708" t="str">
        <f t="shared" si="83"/>
        <v>E</v>
      </c>
      <c r="F708" t="str">
        <f t="shared" si="85"/>
        <v>E</v>
      </c>
      <c r="G708" s="4">
        <f t="shared" si="86"/>
        <v>3</v>
      </c>
      <c r="H708">
        <f t="shared" si="87"/>
        <v>1</v>
      </c>
      <c r="I708">
        <f t="shared" si="88"/>
        <v>5</v>
      </c>
      <c r="J708">
        <f t="shared" si="89"/>
        <v>5</v>
      </c>
    </row>
    <row r="709" spans="1:10" x14ac:dyDescent="0.25">
      <c r="A709">
        <v>707</v>
      </c>
      <c r="B709" s="4" t="str">
        <f t="shared" si="84"/>
        <v>NOK</v>
      </c>
      <c r="C709" t="str">
        <f t="shared" si="81"/>
        <v>C</v>
      </c>
      <c r="D709" t="str">
        <f t="shared" si="82"/>
        <v>A</v>
      </c>
      <c r="E709" t="str">
        <f t="shared" si="83"/>
        <v>E</v>
      </c>
      <c r="F709" t="str">
        <f t="shared" si="85"/>
        <v>F</v>
      </c>
      <c r="G709" s="4">
        <f t="shared" si="86"/>
        <v>3</v>
      </c>
      <c r="H709">
        <f t="shared" si="87"/>
        <v>1</v>
      </c>
      <c r="I709">
        <f t="shared" si="88"/>
        <v>5</v>
      </c>
      <c r="J709">
        <f t="shared" si="89"/>
        <v>6</v>
      </c>
    </row>
    <row r="710" spans="1:10" x14ac:dyDescent="0.25">
      <c r="A710">
        <v>708</v>
      </c>
      <c r="B710" s="4" t="str">
        <f t="shared" si="84"/>
        <v>OK</v>
      </c>
      <c r="C710" t="str">
        <f t="shared" si="81"/>
        <v>C</v>
      </c>
      <c r="D710" t="str">
        <f t="shared" si="82"/>
        <v>A</v>
      </c>
      <c r="E710" t="str">
        <f t="shared" si="83"/>
        <v>E</v>
      </c>
      <c r="F710" t="str">
        <f t="shared" si="85"/>
        <v>G</v>
      </c>
      <c r="G710" s="4">
        <f t="shared" si="86"/>
        <v>3</v>
      </c>
      <c r="H710">
        <f t="shared" si="87"/>
        <v>1</v>
      </c>
      <c r="I710">
        <f t="shared" si="88"/>
        <v>5</v>
      </c>
      <c r="J710">
        <f t="shared" si="89"/>
        <v>7</v>
      </c>
    </row>
    <row r="711" spans="1:10" x14ac:dyDescent="0.25">
      <c r="A711">
        <v>709</v>
      </c>
      <c r="B711" s="4" t="str">
        <f t="shared" si="84"/>
        <v>NOK</v>
      </c>
      <c r="C711" t="str">
        <f t="shared" si="81"/>
        <v>C</v>
      </c>
      <c r="D711" t="str">
        <f t="shared" si="82"/>
        <v>A</v>
      </c>
      <c r="E711" t="str">
        <f t="shared" si="83"/>
        <v>E</v>
      </c>
      <c r="F711" t="str">
        <f t="shared" si="85"/>
        <v>H</v>
      </c>
      <c r="G711" s="4">
        <f t="shared" si="86"/>
        <v>3</v>
      </c>
      <c r="H711">
        <f t="shared" si="87"/>
        <v>1</v>
      </c>
      <c r="I711">
        <f t="shared" si="88"/>
        <v>5</v>
      </c>
      <c r="J711">
        <f t="shared" si="89"/>
        <v>8</v>
      </c>
    </row>
    <row r="712" spans="1:10" x14ac:dyDescent="0.25">
      <c r="A712">
        <v>710</v>
      </c>
      <c r="B712" s="4" t="str">
        <f t="shared" si="84"/>
        <v>NOK</v>
      </c>
      <c r="C712" t="str">
        <f t="shared" si="81"/>
        <v>C</v>
      </c>
      <c r="D712" t="str">
        <f t="shared" si="82"/>
        <v>A</v>
      </c>
      <c r="E712" t="str">
        <f t="shared" si="83"/>
        <v>E</v>
      </c>
      <c r="F712" t="str">
        <f t="shared" si="85"/>
        <v>I</v>
      </c>
      <c r="G712" s="4">
        <f t="shared" si="86"/>
        <v>3</v>
      </c>
      <c r="H712">
        <f t="shared" si="87"/>
        <v>1</v>
      </c>
      <c r="I712">
        <f t="shared" si="88"/>
        <v>5</v>
      </c>
      <c r="J712">
        <f t="shared" si="89"/>
        <v>9</v>
      </c>
    </row>
    <row r="713" spans="1:10" x14ac:dyDescent="0.25">
      <c r="A713">
        <v>711</v>
      </c>
      <c r="B713" s="4" t="str">
        <f t="shared" si="84"/>
        <v>NOK</v>
      </c>
      <c r="C713" t="str">
        <f t="shared" si="81"/>
        <v>C</v>
      </c>
      <c r="D713" t="str">
        <f t="shared" si="82"/>
        <v>A</v>
      </c>
      <c r="E713" t="str">
        <f t="shared" si="83"/>
        <v>E</v>
      </c>
      <c r="F713" t="str">
        <f t="shared" si="85"/>
        <v>J</v>
      </c>
      <c r="G713" s="4">
        <f t="shared" si="86"/>
        <v>3</v>
      </c>
      <c r="H713">
        <f t="shared" si="87"/>
        <v>1</v>
      </c>
      <c r="I713">
        <f t="shared" si="88"/>
        <v>5</v>
      </c>
      <c r="J713">
        <f t="shared" si="89"/>
        <v>10</v>
      </c>
    </row>
    <row r="714" spans="1:10" x14ac:dyDescent="0.25">
      <c r="A714">
        <v>712</v>
      </c>
      <c r="B714" s="4" t="str">
        <f t="shared" si="84"/>
        <v>NOK</v>
      </c>
      <c r="C714" t="str">
        <f t="shared" si="81"/>
        <v>C</v>
      </c>
      <c r="D714" t="str">
        <f t="shared" si="82"/>
        <v>A</v>
      </c>
      <c r="E714" t="str">
        <f t="shared" si="83"/>
        <v>E</v>
      </c>
      <c r="F714" t="str">
        <f t="shared" si="85"/>
        <v>K</v>
      </c>
      <c r="G714" s="4">
        <f t="shared" si="86"/>
        <v>3</v>
      </c>
      <c r="H714">
        <f t="shared" si="87"/>
        <v>1</v>
      </c>
      <c r="I714">
        <f t="shared" si="88"/>
        <v>5</v>
      </c>
      <c r="J714">
        <f t="shared" si="89"/>
        <v>11</v>
      </c>
    </row>
    <row r="715" spans="1:10" x14ac:dyDescent="0.25">
      <c r="A715">
        <v>713</v>
      </c>
      <c r="B715" s="4" t="str">
        <f t="shared" si="84"/>
        <v>NOK</v>
      </c>
      <c r="C715" t="str">
        <f t="shared" si="81"/>
        <v>C</v>
      </c>
      <c r="D715" t="str">
        <f t="shared" si="82"/>
        <v>A</v>
      </c>
      <c r="E715" t="str">
        <f t="shared" si="83"/>
        <v>E</v>
      </c>
      <c r="F715" t="str">
        <f t="shared" si="85"/>
        <v>L</v>
      </c>
      <c r="G715" s="4">
        <f t="shared" si="86"/>
        <v>3</v>
      </c>
      <c r="H715">
        <f t="shared" si="87"/>
        <v>1</v>
      </c>
      <c r="I715">
        <f t="shared" si="88"/>
        <v>5</v>
      </c>
      <c r="J715">
        <f t="shared" si="89"/>
        <v>12</v>
      </c>
    </row>
    <row r="716" spans="1:10" x14ac:dyDescent="0.25">
      <c r="A716">
        <v>714</v>
      </c>
      <c r="B716" s="4" t="str">
        <f t="shared" si="84"/>
        <v>NOK</v>
      </c>
      <c r="C716" t="str">
        <f t="shared" si="81"/>
        <v>C</v>
      </c>
      <c r="D716" t="str">
        <f t="shared" si="82"/>
        <v>A</v>
      </c>
      <c r="E716" t="str">
        <f t="shared" si="83"/>
        <v>E</v>
      </c>
      <c r="F716" t="str">
        <f t="shared" si="85"/>
        <v>M</v>
      </c>
      <c r="G716" s="4">
        <f t="shared" si="86"/>
        <v>3</v>
      </c>
      <c r="H716">
        <f t="shared" si="87"/>
        <v>1</v>
      </c>
      <c r="I716">
        <f t="shared" si="88"/>
        <v>5</v>
      </c>
      <c r="J716">
        <f t="shared" si="89"/>
        <v>13</v>
      </c>
    </row>
    <row r="717" spans="1:10" x14ac:dyDescent="0.25">
      <c r="A717">
        <v>715</v>
      </c>
      <c r="B717" s="4" t="str">
        <f t="shared" si="84"/>
        <v>NOK</v>
      </c>
      <c r="C717" t="str">
        <f t="shared" si="81"/>
        <v>C</v>
      </c>
      <c r="D717" t="str">
        <f t="shared" si="82"/>
        <v>B</v>
      </c>
      <c r="E717" t="str">
        <f t="shared" si="83"/>
        <v>A</v>
      </c>
      <c r="F717" t="str">
        <f t="shared" si="85"/>
        <v>A</v>
      </c>
      <c r="G717" s="4">
        <f t="shared" si="86"/>
        <v>3</v>
      </c>
      <c r="H717">
        <f t="shared" si="87"/>
        <v>2</v>
      </c>
      <c r="I717">
        <f t="shared" si="88"/>
        <v>1</v>
      </c>
      <c r="J717">
        <f t="shared" si="89"/>
        <v>1</v>
      </c>
    </row>
    <row r="718" spans="1:10" x14ac:dyDescent="0.25">
      <c r="A718">
        <v>716</v>
      </c>
      <c r="B718" s="4" t="str">
        <f t="shared" si="84"/>
        <v>NOK</v>
      </c>
      <c r="C718" t="str">
        <f t="shared" si="81"/>
        <v>C</v>
      </c>
      <c r="D718" t="str">
        <f t="shared" si="82"/>
        <v>B</v>
      </c>
      <c r="E718" t="str">
        <f t="shared" si="83"/>
        <v>A</v>
      </c>
      <c r="F718" t="str">
        <f t="shared" si="85"/>
        <v>B</v>
      </c>
      <c r="G718" s="4">
        <f t="shared" si="86"/>
        <v>3</v>
      </c>
      <c r="H718">
        <f t="shared" si="87"/>
        <v>2</v>
      </c>
      <c r="I718">
        <f t="shared" si="88"/>
        <v>1</v>
      </c>
      <c r="J718">
        <f t="shared" si="89"/>
        <v>2</v>
      </c>
    </row>
    <row r="719" spans="1:10" x14ac:dyDescent="0.25">
      <c r="A719">
        <v>717</v>
      </c>
      <c r="B719" s="4" t="str">
        <f t="shared" si="84"/>
        <v>NOK</v>
      </c>
      <c r="C719" t="str">
        <f t="shared" si="81"/>
        <v>C</v>
      </c>
      <c r="D719" t="str">
        <f t="shared" si="82"/>
        <v>B</v>
      </c>
      <c r="E719" t="str">
        <f t="shared" si="83"/>
        <v>A</v>
      </c>
      <c r="F719" t="str">
        <f t="shared" si="85"/>
        <v>C</v>
      </c>
      <c r="G719" s="4">
        <f t="shared" si="86"/>
        <v>3</v>
      </c>
      <c r="H719">
        <f t="shared" si="87"/>
        <v>2</v>
      </c>
      <c r="I719">
        <f t="shared" si="88"/>
        <v>1</v>
      </c>
      <c r="J719">
        <f t="shared" si="89"/>
        <v>3</v>
      </c>
    </row>
    <row r="720" spans="1:10" x14ac:dyDescent="0.25">
      <c r="A720">
        <v>718</v>
      </c>
      <c r="B720" s="4" t="str">
        <f t="shared" si="84"/>
        <v>OK</v>
      </c>
      <c r="C720" t="str">
        <f t="shared" si="81"/>
        <v>C</v>
      </c>
      <c r="D720" t="str">
        <f t="shared" si="82"/>
        <v>B</v>
      </c>
      <c r="E720" t="str">
        <f t="shared" si="83"/>
        <v>A</v>
      </c>
      <c r="F720" t="str">
        <f t="shared" si="85"/>
        <v>D</v>
      </c>
      <c r="G720" s="4">
        <f t="shared" si="86"/>
        <v>3</v>
      </c>
      <c r="H720">
        <f t="shared" si="87"/>
        <v>2</v>
      </c>
      <c r="I720">
        <f t="shared" si="88"/>
        <v>1</v>
      </c>
      <c r="J720">
        <f t="shared" si="89"/>
        <v>4</v>
      </c>
    </row>
    <row r="721" spans="1:10" x14ac:dyDescent="0.25">
      <c r="A721">
        <v>719</v>
      </c>
      <c r="B721" s="4" t="str">
        <f t="shared" si="84"/>
        <v>NOK</v>
      </c>
      <c r="C721" t="str">
        <f t="shared" si="81"/>
        <v>C</v>
      </c>
      <c r="D721" t="str">
        <f t="shared" si="82"/>
        <v>B</v>
      </c>
      <c r="E721" t="str">
        <f t="shared" si="83"/>
        <v>A</v>
      </c>
      <c r="F721" t="str">
        <f t="shared" si="85"/>
        <v>E</v>
      </c>
      <c r="G721" s="4">
        <f t="shared" si="86"/>
        <v>3</v>
      </c>
      <c r="H721">
        <f t="shared" si="87"/>
        <v>2</v>
      </c>
      <c r="I721">
        <f t="shared" si="88"/>
        <v>1</v>
      </c>
      <c r="J721">
        <f t="shared" si="89"/>
        <v>5</v>
      </c>
    </row>
    <row r="722" spans="1:10" x14ac:dyDescent="0.25">
      <c r="A722">
        <v>720</v>
      </c>
      <c r="B722" s="4" t="str">
        <f t="shared" si="84"/>
        <v>NOK</v>
      </c>
      <c r="C722" t="str">
        <f t="shared" si="81"/>
        <v>C</v>
      </c>
      <c r="D722" t="str">
        <f t="shared" si="82"/>
        <v>B</v>
      </c>
      <c r="E722" t="str">
        <f t="shared" si="83"/>
        <v>A</v>
      </c>
      <c r="F722" t="str">
        <f t="shared" si="85"/>
        <v>F</v>
      </c>
      <c r="G722" s="4">
        <f t="shared" si="86"/>
        <v>3</v>
      </c>
      <c r="H722">
        <f t="shared" si="87"/>
        <v>2</v>
      </c>
      <c r="I722">
        <f t="shared" si="88"/>
        <v>1</v>
      </c>
      <c r="J722">
        <f t="shared" si="89"/>
        <v>6</v>
      </c>
    </row>
    <row r="723" spans="1:10" x14ac:dyDescent="0.25">
      <c r="A723">
        <v>721</v>
      </c>
      <c r="B723" s="4" t="str">
        <f t="shared" si="84"/>
        <v>NOK</v>
      </c>
      <c r="C723" t="str">
        <f t="shared" si="81"/>
        <v>C</v>
      </c>
      <c r="D723" t="str">
        <f t="shared" si="82"/>
        <v>B</v>
      </c>
      <c r="E723" t="str">
        <f t="shared" si="83"/>
        <v>A</v>
      </c>
      <c r="F723" t="str">
        <f t="shared" si="85"/>
        <v>G</v>
      </c>
      <c r="G723" s="4">
        <f t="shared" si="86"/>
        <v>3</v>
      </c>
      <c r="H723">
        <f t="shared" si="87"/>
        <v>2</v>
      </c>
      <c r="I723">
        <f t="shared" si="88"/>
        <v>1</v>
      </c>
      <c r="J723">
        <f t="shared" si="89"/>
        <v>7</v>
      </c>
    </row>
    <row r="724" spans="1:10" x14ac:dyDescent="0.25">
      <c r="A724">
        <v>722</v>
      </c>
      <c r="B724" s="4" t="str">
        <f t="shared" si="84"/>
        <v>NOK</v>
      </c>
      <c r="C724" t="str">
        <f t="shared" si="81"/>
        <v>C</v>
      </c>
      <c r="D724" t="str">
        <f t="shared" si="82"/>
        <v>B</v>
      </c>
      <c r="E724" t="str">
        <f t="shared" si="83"/>
        <v>A</v>
      </c>
      <c r="F724" t="str">
        <f t="shared" si="85"/>
        <v>H</v>
      </c>
      <c r="G724" s="4">
        <f t="shared" si="86"/>
        <v>3</v>
      </c>
      <c r="H724">
        <f t="shared" si="87"/>
        <v>2</v>
      </c>
      <c r="I724">
        <f t="shared" si="88"/>
        <v>1</v>
      </c>
      <c r="J724">
        <f t="shared" si="89"/>
        <v>8</v>
      </c>
    </row>
    <row r="725" spans="1:10" x14ac:dyDescent="0.25">
      <c r="A725">
        <v>723</v>
      </c>
      <c r="B725" s="4" t="str">
        <f t="shared" si="84"/>
        <v>NOK</v>
      </c>
      <c r="C725" t="str">
        <f t="shared" si="81"/>
        <v>C</v>
      </c>
      <c r="D725" t="str">
        <f t="shared" si="82"/>
        <v>B</v>
      </c>
      <c r="E725" t="str">
        <f t="shared" si="83"/>
        <v>A</v>
      </c>
      <c r="F725" t="str">
        <f t="shared" si="85"/>
        <v>I</v>
      </c>
      <c r="G725" s="4">
        <f t="shared" si="86"/>
        <v>3</v>
      </c>
      <c r="H725">
        <f t="shared" si="87"/>
        <v>2</v>
      </c>
      <c r="I725">
        <f t="shared" si="88"/>
        <v>1</v>
      </c>
      <c r="J725">
        <f t="shared" si="89"/>
        <v>9</v>
      </c>
    </row>
    <row r="726" spans="1:10" x14ac:dyDescent="0.25">
      <c r="A726">
        <v>724</v>
      </c>
      <c r="B726" s="4" t="str">
        <f t="shared" si="84"/>
        <v>NOK</v>
      </c>
      <c r="C726" t="str">
        <f t="shared" si="81"/>
        <v>C</v>
      </c>
      <c r="D726" t="str">
        <f t="shared" si="82"/>
        <v>B</v>
      </c>
      <c r="E726" t="str">
        <f t="shared" si="83"/>
        <v>A</v>
      </c>
      <c r="F726" t="str">
        <f t="shared" si="85"/>
        <v>J</v>
      </c>
      <c r="G726" s="4">
        <f t="shared" si="86"/>
        <v>3</v>
      </c>
      <c r="H726">
        <f t="shared" si="87"/>
        <v>2</v>
      </c>
      <c r="I726">
        <f t="shared" si="88"/>
        <v>1</v>
      </c>
      <c r="J726">
        <f t="shared" si="89"/>
        <v>10</v>
      </c>
    </row>
    <row r="727" spans="1:10" x14ac:dyDescent="0.25">
      <c r="A727">
        <v>725</v>
      </c>
      <c r="B727" s="4" t="str">
        <f t="shared" si="84"/>
        <v>NOK</v>
      </c>
      <c r="C727" t="str">
        <f t="shared" si="81"/>
        <v>C</v>
      </c>
      <c r="D727" t="str">
        <f t="shared" si="82"/>
        <v>B</v>
      </c>
      <c r="E727" t="str">
        <f t="shared" si="83"/>
        <v>A</v>
      </c>
      <c r="F727" t="str">
        <f t="shared" si="85"/>
        <v>K</v>
      </c>
      <c r="G727" s="4">
        <f t="shared" si="86"/>
        <v>3</v>
      </c>
      <c r="H727">
        <f t="shared" si="87"/>
        <v>2</v>
      </c>
      <c r="I727">
        <f t="shared" si="88"/>
        <v>1</v>
      </c>
      <c r="J727">
        <f t="shared" si="89"/>
        <v>11</v>
      </c>
    </row>
    <row r="728" spans="1:10" x14ac:dyDescent="0.25">
      <c r="A728">
        <v>726</v>
      </c>
      <c r="B728" s="4" t="str">
        <f t="shared" si="84"/>
        <v>NOK</v>
      </c>
      <c r="C728" t="str">
        <f t="shared" si="81"/>
        <v>C</v>
      </c>
      <c r="D728" t="str">
        <f t="shared" si="82"/>
        <v>B</v>
      </c>
      <c r="E728" t="str">
        <f t="shared" si="83"/>
        <v>A</v>
      </c>
      <c r="F728" t="str">
        <f t="shared" si="85"/>
        <v>L</v>
      </c>
      <c r="G728" s="4">
        <f t="shared" si="86"/>
        <v>3</v>
      </c>
      <c r="H728">
        <f t="shared" si="87"/>
        <v>2</v>
      </c>
      <c r="I728">
        <f t="shared" si="88"/>
        <v>1</v>
      </c>
      <c r="J728">
        <f t="shared" si="89"/>
        <v>12</v>
      </c>
    </row>
    <row r="729" spans="1:10" x14ac:dyDescent="0.25">
      <c r="A729">
        <v>727</v>
      </c>
      <c r="B729" s="4" t="str">
        <f t="shared" si="84"/>
        <v>NOK</v>
      </c>
      <c r="C729" t="str">
        <f t="shared" si="81"/>
        <v>C</v>
      </c>
      <c r="D729" t="str">
        <f t="shared" si="82"/>
        <v>B</v>
      </c>
      <c r="E729" t="str">
        <f t="shared" si="83"/>
        <v>A</v>
      </c>
      <c r="F729" t="str">
        <f t="shared" si="85"/>
        <v>M</v>
      </c>
      <c r="G729" s="4">
        <f t="shared" si="86"/>
        <v>3</v>
      </c>
      <c r="H729">
        <f t="shared" si="87"/>
        <v>2</v>
      </c>
      <c r="I729">
        <f t="shared" si="88"/>
        <v>1</v>
      </c>
      <c r="J729">
        <f t="shared" si="89"/>
        <v>13</v>
      </c>
    </row>
    <row r="730" spans="1:10" x14ac:dyDescent="0.25">
      <c r="A730">
        <v>728</v>
      </c>
      <c r="B730" s="4" t="str">
        <f t="shared" si="84"/>
        <v>NOK</v>
      </c>
      <c r="C730" t="str">
        <f t="shared" si="81"/>
        <v>C</v>
      </c>
      <c r="D730" t="str">
        <f t="shared" si="82"/>
        <v>B</v>
      </c>
      <c r="E730" t="str">
        <f t="shared" si="83"/>
        <v>B</v>
      </c>
      <c r="F730" t="str">
        <f t="shared" si="85"/>
        <v>A</v>
      </c>
      <c r="G730" s="4">
        <f t="shared" si="86"/>
        <v>3</v>
      </c>
      <c r="H730">
        <f t="shared" si="87"/>
        <v>2</v>
      </c>
      <c r="I730">
        <f t="shared" si="88"/>
        <v>2</v>
      </c>
      <c r="J730">
        <f t="shared" si="89"/>
        <v>1</v>
      </c>
    </row>
    <row r="731" spans="1:10" x14ac:dyDescent="0.25">
      <c r="A731">
        <v>729</v>
      </c>
      <c r="B731" s="4" t="str">
        <f t="shared" si="84"/>
        <v>NOK</v>
      </c>
      <c r="C731" t="str">
        <f t="shared" si="81"/>
        <v>C</v>
      </c>
      <c r="D731" t="str">
        <f t="shared" si="82"/>
        <v>B</v>
      </c>
      <c r="E731" t="str">
        <f t="shared" si="83"/>
        <v>B</v>
      </c>
      <c r="F731" t="str">
        <f t="shared" si="85"/>
        <v>B</v>
      </c>
      <c r="G731" s="4">
        <f t="shared" si="86"/>
        <v>3</v>
      </c>
      <c r="H731">
        <f t="shared" si="87"/>
        <v>2</v>
      </c>
      <c r="I731">
        <f t="shared" si="88"/>
        <v>2</v>
      </c>
      <c r="J731">
        <f t="shared" si="89"/>
        <v>2</v>
      </c>
    </row>
    <row r="732" spans="1:10" x14ac:dyDescent="0.25">
      <c r="A732">
        <v>730</v>
      </c>
      <c r="B732" s="4" t="str">
        <f t="shared" si="84"/>
        <v>NOK</v>
      </c>
      <c r="C732" t="str">
        <f t="shared" si="81"/>
        <v>C</v>
      </c>
      <c r="D732" t="str">
        <f t="shared" si="82"/>
        <v>B</v>
      </c>
      <c r="E732" t="str">
        <f t="shared" si="83"/>
        <v>B</v>
      </c>
      <c r="F732" t="str">
        <f t="shared" si="85"/>
        <v>C</v>
      </c>
      <c r="G732" s="4">
        <f t="shared" si="86"/>
        <v>3</v>
      </c>
      <c r="H732">
        <f t="shared" si="87"/>
        <v>2</v>
      </c>
      <c r="I732">
        <f t="shared" si="88"/>
        <v>2</v>
      </c>
      <c r="J732">
        <f t="shared" si="89"/>
        <v>3</v>
      </c>
    </row>
    <row r="733" spans="1:10" x14ac:dyDescent="0.25">
      <c r="A733">
        <v>731</v>
      </c>
      <c r="B733" s="4" t="str">
        <f t="shared" si="84"/>
        <v>NOK</v>
      </c>
      <c r="C733" t="str">
        <f t="shared" si="81"/>
        <v>C</v>
      </c>
      <c r="D733" t="str">
        <f t="shared" si="82"/>
        <v>B</v>
      </c>
      <c r="E733" t="str">
        <f t="shared" si="83"/>
        <v>B</v>
      </c>
      <c r="F733" t="str">
        <f t="shared" si="85"/>
        <v>D</v>
      </c>
      <c r="G733" s="4">
        <f t="shared" si="86"/>
        <v>3</v>
      </c>
      <c r="H733">
        <f t="shared" si="87"/>
        <v>2</v>
      </c>
      <c r="I733">
        <f t="shared" si="88"/>
        <v>2</v>
      </c>
      <c r="J733">
        <f t="shared" si="89"/>
        <v>4</v>
      </c>
    </row>
    <row r="734" spans="1:10" x14ac:dyDescent="0.25">
      <c r="A734">
        <v>732</v>
      </c>
      <c r="B734" s="4" t="str">
        <f t="shared" si="84"/>
        <v>OK</v>
      </c>
      <c r="C734" t="str">
        <f t="shared" si="81"/>
        <v>C</v>
      </c>
      <c r="D734" t="str">
        <f t="shared" si="82"/>
        <v>B</v>
      </c>
      <c r="E734" t="str">
        <f t="shared" si="83"/>
        <v>B</v>
      </c>
      <c r="F734" t="str">
        <f t="shared" si="85"/>
        <v>E</v>
      </c>
      <c r="G734" s="4">
        <f t="shared" si="86"/>
        <v>3</v>
      </c>
      <c r="H734">
        <f t="shared" si="87"/>
        <v>2</v>
      </c>
      <c r="I734">
        <f t="shared" si="88"/>
        <v>2</v>
      </c>
      <c r="J734">
        <f t="shared" si="89"/>
        <v>5</v>
      </c>
    </row>
    <row r="735" spans="1:10" x14ac:dyDescent="0.25">
      <c r="A735">
        <v>733</v>
      </c>
      <c r="B735" s="4" t="str">
        <f t="shared" si="84"/>
        <v>NOK</v>
      </c>
      <c r="C735" t="str">
        <f t="shared" si="81"/>
        <v>C</v>
      </c>
      <c r="D735" t="str">
        <f t="shared" si="82"/>
        <v>B</v>
      </c>
      <c r="E735" t="str">
        <f t="shared" si="83"/>
        <v>B</v>
      </c>
      <c r="F735" t="str">
        <f t="shared" si="85"/>
        <v>F</v>
      </c>
      <c r="G735" s="4">
        <f t="shared" si="86"/>
        <v>3</v>
      </c>
      <c r="H735">
        <f t="shared" si="87"/>
        <v>2</v>
      </c>
      <c r="I735">
        <f t="shared" si="88"/>
        <v>2</v>
      </c>
      <c r="J735">
        <f t="shared" si="89"/>
        <v>6</v>
      </c>
    </row>
    <row r="736" spans="1:10" x14ac:dyDescent="0.25">
      <c r="A736">
        <v>734</v>
      </c>
      <c r="B736" s="4" t="str">
        <f t="shared" si="84"/>
        <v>NOK</v>
      </c>
      <c r="C736" t="str">
        <f t="shared" si="81"/>
        <v>C</v>
      </c>
      <c r="D736" t="str">
        <f t="shared" si="82"/>
        <v>B</v>
      </c>
      <c r="E736" t="str">
        <f t="shared" si="83"/>
        <v>B</v>
      </c>
      <c r="F736" t="str">
        <f t="shared" si="85"/>
        <v>G</v>
      </c>
      <c r="G736" s="4">
        <f t="shared" si="86"/>
        <v>3</v>
      </c>
      <c r="H736">
        <f t="shared" si="87"/>
        <v>2</v>
      </c>
      <c r="I736">
        <f t="shared" si="88"/>
        <v>2</v>
      </c>
      <c r="J736">
        <f t="shared" si="89"/>
        <v>7</v>
      </c>
    </row>
    <row r="737" spans="1:10" x14ac:dyDescent="0.25">
      <c r="A737">
        <v>735</v>
      </c>
      <c r="B737" s="4" t="str">
        <f t="shared" si="84"/>
        <v>NOK</v>
      </c>
      <c r="C737" t="str">
        <f t="shared" si="81"/>
        <v>C</v>
      </c>
      <c r="D737" t="str">
        <f t="shared" si="82"/>
        <v>B</v>
      </c>
      <c r="E737" t="str">
        <f t="shared" si="83"/>
        <v>B</v>
      </c>
      <c r="F737" t="str">
        <f t="shared" si="85"/>
        <v>H</v>
      </c>
      <c r="G737" s="4">
        <f t="shared" si="86"/>
        <v>3</v>
      </c>
      <c r="H737">
        <f t="shared" si="87"/>
        <v>2</v>
      </c>
      <c r="I737">
        <f t="shared" si="88"/>
        <v>2</v>
      </c>
      <c r="J737">
        <f t="shared" si="89"/>
        <v>8</v>
      </c>
    </row>
    <row r="738" spans="1:10" x14ac:dyDescent="0.25">
      <c r="A738">
        <v>736</v>
      </c>
      <c r="B738" s="4" t="str">
        <f t="shared" si="84"/>
        <v>NOK</v>
      </c>
      <c r="C738" t="str">
        <f t="shared" si="81"/>
        <v>C</v>
      </c>
      <c r="D738" t="str">
        <f t="shared" si="82"/>
        <v>B</v>
      </c>
      <c r="E738" t="str">
        <f t="shared" si="83"/>
        <v>B</v>
      </c>
      <c r="F738" t="str">
        <f t="shared" si="85"/>
        <v>I</v>
      </c>
      <c r="G738" s="4">
        <f t="shared" si="86"/>
        <v>3</v>
      </c>
      <c r="H738">
        <f t="shared" si="87"/>
        <v>2</v>
      </c>
      <c r="I738">
        <f t="shared" si="88"/>
        <v>2</v>
      </c>
      <c r="J738">
        <f t="shared" si="89"/>
        <v>9</v>
      </c>
    </row>
    <row r="739" spans="1:10" x14ac:dyDescent="0.25">
      <c r="A739">
        <v>737</v>
      </c>
      <c r="B739" s="4" t="str">
        <f t="shared" si="84"/>
        <v>NOK</v>
      </c>
      <c r="C739" t="str">
        <f t="shared" si="81"/>
        <v>C</v>
      </c>
      <c r="D739" t="str">
        <f t="shared" si="82"/>
        <v>B</v>
      </c>
      <c r="E739" t="str">
        <f t="shared" si="83"/>
        <v>B</v>
      </c>
      <c r="F739" t="str">
        <f t="shared" si="85"/>
        <v>J</v>
      </c>
      <c r="G739" s="4">
        <f t="shared" si="86"/>
        <v>3</v>
      </c>
      <c r="H739">
        <f t="shared" si="87"/>
        <v>2</v>
      </c>
      <c r="I739">
        <f t="shared" si="88"/>
        <v>2</v>
      </c>
      <c r="J739">
        <f t="shared" si="89"/>
        <v>10</v>
      </c>
    </row>
    <row r="740" spans="1:10" x14ac:dyDescent="0.25">
      <c r="A740">
        <v>738</v>
      </c>
      <c r="B740" s="4" t="str">
        <f t="shared" si="84"/>
        <v>NOK</v>
      </c>
      <c r="C740" t="str">
        <f t="shared" si="81"/>
        <v>C</v>
      </c>
      <c r="D740" t="str">
        <f t="shared" si="82"/>
        <v>B</v>
      </c>
      <c r="E740" t="str">
        <f t="shared" si="83"/>
        <v>B</v>
      </c>
      <c r="F740" t="str">
        <f t="shared" si="85"/>
        <v>K</v>
      </c>
      <c r="G740" s="4">
        <f t="shared" si="86"/>
        <v>3</v>
      </c>
      <c r="H740">
        <f t="shared" si="87"/>
        <v>2</v>
      </c>
      <c r="I740">
        <f t="shared" si="88"/>
        <v>2</v>
      </c>
      <c r="J740">
        <f t="shared" si="89"/>
        <v>11</v>
      </c>
    </row>
    <row r="741" spans="1:10" x14ac:dyDescent="0.25">
      <c r="A741">
        <v>739</v>
      </c>
      <c r="B741" s="4" t="str">
        <f t="shared" si="84"/>
        <v>NOK</v>
      </c>
      <c r="C741" t="str">
        <f t="shared" si="81"/>
        <v>C</v>
      </c>
      <c r="D741" t="str">
        <f t="shared" si="82"/>
        <v>B</v>
      </c>
      <c r="E741" t="str">
        <f t="shared" si="83"/>
        <v>B</v>
      </c>
      <c r="F741" t="str">
        <f t="shared" si="85"/>
        <v>L</v>
      </c>
      <c r="G741" s="4">
        <f t="shared" si="86"/>
        <v>3</v>
      </c>
      <c r="H741">
        <f t="shared" si="87"/>
        <v>2</v>
      </c>
      <c r="I741">
        <f t="shared" si="88"/>
        <v>2</v>
      </c>
      <c r="J741">
        <f t="shared" si="89"/>
        <v>12</v>
      </c>
    </row>
    <row r="742" spans="1:10" x14ac:dyDescent="0.25">
      <c r="A742">
        <v>740</v>
      </c>
      <c r="B742" s="4" t="str">
        <f t="shared" si="84"/>
        <v>NOK</v>
      </c>
      <c r="C742" t="str">
        <f t="shared" si="81"/>
        <v>C</v>
      </c>
      <c r="D742" t="str">
        <f t="shared" si="82"/>
        <v>B</v>
      </c>
      <c r="E742" t="str">
        <f t="shared" si="83"/>
        <v>B</v>
      </c>
      <c r="F742" t="str">
        <f t="shared" si="85"/>
        <v>M</v>
      </c>
      <c r="G742" s="4">
        <f t="shared" si="86"/>
        <v>3</v>
      </c>
      <c r="H742">
        <f t="shared" si="87"/>
        <v>2</v>
      </c>
      <c r="I742">
        <f t="shared" si="88"/>
        <v>2</v>
      </c>
      <c r="J742">
        <f t="shared" si="89"/>
        <v>13</v>
      </c>
    </row>
    <row r="743" spans="1:10" x14ac:dyDescent="0.25">
      <c r="A743">
        <v>741</v>
      </c>
      <c r="B743" s="4" t="str">
        <f t="shared" si="84"/>
        <v>NOK</v>
      </c>
      <c r="C743" t="str">
        <f t="shared" si="81"/>
        <v>C</v>
      </c>
      <c r="D743" t="str">
        <f t="shared" si="82"/>
        <v>B</v>
      </c>
      <c r="E743" t="str">
        <f t="shared" si="83"/>
        <v>C</v>
      </c>
      <c r="F743" t="str">
        <f t="shared" si="85"/>
        <v>A</v>
      </c>
      <c r="G743" s="4">
        <f t="shared" si="86"/>
        <v>3</v>
      </c>
      <c r="H743">
        <f t="shared" si="87"/>
        <v>2</v>
      </c>
      <c r="I743">
        <f t="shared" si="88"/>
        <v>3</v>
      </c>
      <c r="J743">
        <f t="shared" si="89"/>
        <v>1</v>
      </c>
    </row>
    <row r="744" spans="1:10" x14ac:dyDescent="0.25">
      <c r="A744">
        <v>742</v>
      </c>
      <c r="B744" s="4" t="str">
        <f t="shared" si="84"/>
        <v>NOK</v>
      </c>
      <c r="C744" t="str">
        <f t="shared" si="81"/>
        <v>C</v>
      </c>
      <c r="D744" t="str">
        <f t="shared" si="82"/>
        <v>B</v>
      </c>
      <c r="E744" t="str">
        <f t="shared" si="83"/>
        <v>C</v>
      </c>
      <c r="F744" t="str">
        <f t="shared" si="85"/>
        <v>B</v>
      </c>
      <c r="G744" s="4">
        <f t="shared" si="86"/>
        <v>3</v>
      </c>
      <c r="H744">
        <f t="shared" si="87"/>
        <v>2</v>
      </c>
      <c r="I744">
        <f t="shared" si="88"/>
        <v>3</v>
      </c>
      <c r="J744">
        <f t="shared" si="89"/>
        <v>2</v>
      </c>
    </row>
    <row r="745" spans="1:10" x14ac:dyDescent="0.25">
      <c r="A745">
        <v>743</v>
      </c>
      <c r="B745" s="4" t="str">
        <f t="shared" si="84"/>
        <v>NOK</v>
      </c>
      <c r="C745" t="str">
        <f t="shared" si="81"/>
        <v>C</v>
      </c>
      <c r="D745" t="str">
        <f t="shared" si="82"/>
        <v>B</v>
      </c>
      <c r="E745" t="str">
        <f t="shared" si="83"/>
        <v>C</v>
      </c>
      <c r="F745" t="str">
        <f t="shared" si="85"/>
        <v>C</v>
      </c>
      <c r="G745" s="4">
        <f t="shared" si="86"/>
        <v>3</v>
      </c>
      <c r="H745">
        <f t="shared" si="87"/>
        <v>2</v>
      </c>
      <c r="I745">
        <f t="shared" si="88"/>
        <v>3</v>
      </c>
      <c r="J745">
        <f t="shared" si="89"/>
        <v>3</v>
      </c>
    </row>
    <row r="746" spans="1:10" x14ac:dyDescent="0.25">
      <c r="A746">
        <v>744</v>
      </c>
      <c r="B746" s="4" t="str">
        <f t="shared" si="84"/>
        <v>NOK</v>
      </c>
      <c r="C746" t="str">
        <f t="shared" si="81"/>
        <v>C</v>
      </c>
      <c r="D746" t="str">
        <f t="shared" si="82"/>
        <v>B</v>
      </c>
      <c r="E746" t="str">
        <f t="shared" si="83"/>
        <v>C</v>
      </c>
      <c r="F746" t="str">
        <f t="shared" si="85"/>
        <v>D</v>
      </c>
      <c r="G746" s="4">
        <f t="shared" si="86"/>
        <v>3</v>
      </c>
      <c r="H746">
        <f t="shared" si="87"/>
        <v>2</v>
      </c>
      <c r="I746">
        <f t="shared" si="88"/>
        <v>3</v>
      </c>
      <c r="J746">
        <f t="shared" si="89"/>
        <v>4</v>
      </c>
    </row>
    <row r="747" spans="1:10" x14ac:dyDescent="0.25">
      <c r="A747">
        <v>745</v>
      </c>
      <c r="B747" s="4" t="str">
        <f t="shared" si="84"/>
        <v>NOK</v>
      </c>
      <c r="C747" t="str">
        <f t="shared" si="81"/>
        <v>C</v>
      </c>
      <c r="D747" t="str">
        <f t="shared" si="82"/>
        <v>B</v>
      </c>
      <c r="E747" t="str">
        <f t="shared" si="83"/>
        <v>C</v>
      </c>
      <c r="F747" t="str">
        <f t="shared" si="85"/>
        <v>E</v>
      </c>
      <c r="G747" s="4">
        <f t="shared" si="86"/>
        <v>3</v>
      </c>
      <c r="H747">
        <f t="shared" si="87"/>
        <v>2</v>
      </c>
      <c r="I747">
        <f t="shared" si="88"/>
        <v>3</v>
      </c>
      <c r="J747">
        <f t="shared" si="89"/>
        <v>5</v>
      </c>
    </row>
    <row r="748" spans="1:10" x14ac:dyDescent="0.25">
      <c r="A748">
        <v>746</v>
      </c>
      <c r="B748" s="4" t="str">
        <f t="shared" si="84"/>
        <v>OK</v>
      </c>
      <c r="C748" t="str">
        <f t="shared" si="81"/>
        <v>C</v>
      </c>
      <c r="D748" t="str">
        <f t="shared" si="82"/>
        <v>B</v>
      </c>
      <c r="E748" t="str">
        <f t="shared" si="83"/>
        <v>C</v>
      </c>
      <c r="F748" t="str">
        <f t="shared" si="85"/>
        <v>F</v>
      </c>
      <c r="G748" s="4">
        <f t="shared" si="86"/>
        <v>3</v>
      </c>
      <c r="H748">
        <f t="shared" si="87"/>
        <v>2</v>
      </c>
      <c r="I748">
        <f t="shared" si="88"/>
        <v>3</v>
      </c>
      <c r="J748">
        <f t="shared" si="89"/>
        <v>6</v>
      </c>
    </row>
    <row r="749" spans="1:10" x14ac:dyDescent="0.25">
      <c r="A749">
        <v>747</v>
      </c>
      <c r="B749" s="4" t="str">
        <f t="shared" si="84"/>
        <v>NOK</v>
      </c>
      <c r="C749" t="str">
        <f t="shared" si="81"/>
        <v>C</v>
      </c>
      <c r="D749" t="str">
        <f t="shared" si="82"/>
        <v>B</v>
      </c>
      <c r="E749" t="str">
        <f t="shared" si="83"/>
        <v>C</v>
      </c>
      <c r="F749" t="str">
        <f t="shared" si="85"/>
        <v>G</v>
      </c>
      <c r="G749" s="4">
        <f t="shared" si="86"/>
        <v>3</v>
      </c>
      <c r="H749">
        <f t="shared" si="87"/>
        <v>2</v>
      </c>
      <c r="I749">
        <f t="shared" si="88"/>
        <v>3</v>
      </c>
      <c r="J749">
        <f t="shared" si="89"/>
        <v>7</v>
      </c>
    </row>
    <row r="750" spans="1:10" x14ac:dyDescent="0.25">
      <c r="A750">
        <v>748</v>
      </c>
      <c r="B750" s="4" t="str">
        <f t="shared" si="84"/>
        <v>NOK</v>
      </c>
      <c r="C750" t="str">
        <f t="shared" si="81"/>
        <v>C</v>
      </c>
      <c r="D750" t="str">
        <f t="shared" si="82"/>
        <v>B</v>
      </c>
      <c r="E750" t="str">
        <f t="shared" si="83"/>
        <v>C</v>
      </c>
      <c r="F750" t="str">
        <f t="shared" si="85"/>
        <v>H</v>
      </c>
      <c r="G750" s="4">
        <f t="shared" si="86"/>
        <v>3</v>
      </c>
      <c r="H750">
        <f t="shared" si="87"/>
        <v>2</v>
      </c>
      <c r="I750">
        <f t="shared" si="88"/>
        <v>3</v>
      </c>
      <c r="J750">
        <f t="shared" si="89"/>
        <v>8</v>
      </c>
    </row>
    <row r="751" spans="1:10" x14ac:dyDescent="0.25">
      <c r="A751">
        <v>749</v>
      </c>
      <c r="B751" s="4" t="str">
        <f t="shared" si="84"/>
        <v>NOK</v>
      </c>
      <c r="C751" t="str">
        <f t="shared" si="81"/>
        <v>C</v>
      </c>
      <c r="D751" t="str">
        <f t="shared" si="82"/>
        <v>B</v>
      </c>
      <c r="E751" t="str">
        <f t="shared" si="83"/>
        <v>C</v>
      </c>
      <c r="F751" t="str">
        <f t="shared" si="85"/>
        <v>I</v>
      </c>
      <c r="G751" s="4">
        <f t="shared" si="86"/>
        <v>3</v>
      </c>
      <c r="H751">
        <f t="shared" si="87"/>
        <v>2</v>
      </c>
      <c r="I751">
        <f t="shared" si="88"/>
        <v>3</v>
      </c>
      <c r="J751">
        <f t="shared" si="89"/>
        <v>9</v>
      </c>
    </row>
    <row r="752" spans="1:10" x14ac:dyDescent="0.25">
      <c r="A752">
        <v>750</v>
      </c>
      <c r="B752" s="4" t="str">
        <f t="shared" si="84"/>
        <v>NOK</v>
      </c>
      <c r="C752" t="str">
        <f t="shared" si="81"/>
        <v>C</v>
      </c>
      <c r="D752" t="str">
        <f t="shared" si="82"/>
        <v>B</v>
      </c>
      <c r="E752" t="str">
        <f t="shared" si="83"/>
        <v>C</v>
      </c>
      <c r="F752" t="str">
        <f t="shared" si="85"/>
        <v>J</v>
      </c>
      <c r="G752" s="4">
        <f t="shared" si="86"/>
        <v>3</v>
      </c>
      <c r="H752">
        <f t="shared" si="87"/>
        <v>2</v>
      </c>
      <c r="I752">
        <f t="shared" si="88"/>
        <v>3</v>
      </c>
      <c r="J752">
        <f t="shared" si="89"/>
        <v>10</v>
      </c>
    </row>
    <row r="753" spans="1:10" x14ac:dyDescent="0.25">
      <c r="A753">
        <v>751</v>
      </c>
      <c r="B753" s="4" t="str">
        <f t="shared" si="84"/>
        <v>NOK</v>
      </c>
      <c r="C753" t="str">
        <f t="shared" si="81"/>
        <v>C</v>
      </c>
      <c r="D753" t="str">
        <f t="shared" si="82"/>
        <v>B</v>
      </c>
      <c r="E753" t="str">
        <f t="shared" si="83"/>
        <v>C</v>
      </c>
      <c r="F753" t="str">
        <f t="shared" si="85"/>
        <v>K</v>
      </c>
      <c r="G753" s="4">
        <f t="shared" si="86"/>
        <v>3</v>
      </c>
      <c r="H753">
        <f t="shared" si="87"/>
        <v>2</v>
      </c>
      <c r="I753">
        <f t="shared" si="88"/>
        <v>3</v>
      </c>
      <c r="J753">
        <f t="shared" si="89"/>
        <v>11</v>
      </c>
    </row>
    <row r="754" spans="1:10" x14ac:dyDescent="0.25">
      <c r="A754">
        <v>752</v>
      </c>
      <c r="B754" s="4" t="str">
        <f t="shared" si="84"/>
        <v>NOK</v>
      </c>
      <c r="C754" t="str">
        <f t="shared" si="81"/>
        <v>C</v>
      </c>
      <c r="D754" t="str">
        <f t="shared" si="82"/>
        <v>B</v>
      </c>
      <c r="E754" t="str">
        <f t="shared" si="83"/>
        <v>C</v>
      </c>
      <c r="F754" t="str">
        <f t="shared" si="85"/>
        <v>L</v>
      </c>
      <c r="G754" s="4">
        <f t="shared" si="86"/>
        <v>3</v>
      </c>
      <c r="H754">
        <f t="shared" si="87"/>
        <v>2</v>
      </c>
      <c r="I754">
        <f t="shared" si="88"/>
        <v>3</v>
      </c>
      <c r="J754">
        <f t="shared" si="89"/>
        <v>12</v>
      </c>
    </row>
    <row r="755" spans="1:10" x14ac:dyDescent="0.25">
      <c r="A755">
        <v>753</v>
      </c>
      <c r="B755" s="4" t="str">
        <f t="shared" si="84"/>
        <v>NOK</v>
      </c>
      <c r="C755" t="str">
        <f t="shared" si="81"/>
        <v>C</v>
      </c>
      <c r="D755" t="str">
        <f t="shared" si="82"/>
        <v>B</v>
      </c>
      <c r="E755" t="str">
        <f t="shared" si="83"/>
        <v>C</v>
      </c>
      <c r="F755" t="str">
        <f t="shared" si="85"/>
        <v>M</v>
      </c>
      <c r="G755" s="4">
        <f t="shared" si="86"/>
        <v>3</v>
      </c>
      <c r="H755">
        <f t="shared" si="87"/>
        <v>2</v>
      </c>
      <c r="I755">
        <f t="shared" si="88"/>
        <v>3</v>
      </c>
      <c r="J755">
        <f t="shared" si="89"/>
        <v>13</v>
      </c>
    </row>
    <row r="756" spans="1:10" x14ac:dyDescent="0.25">
      <c r="A756">
        <v>754</v>
      </c>
      <c r="B756" s="4" t="str">
        <f t="shared" si="84"/>
        <v>NOK</v>
      </c>
      <c r="C756" t="str">
        <f t="shared" ref="C756:C819" si="90">IF(G756=1,"A",IF(G756=2,"B",IF(G756=3,"C",IF(G756=4,"D",IF(G756=5,"E","ERRO")))))</f>
        <v>C</v>
      </c>
      <c r="D756" t="str">
        <f t="shared" ref="D756:D819" si="91">IF(H756=1,"A",IF(H756=2,"B",IF(H756=3,"C",IF(H756=4,"D",IF(H756=5,"E","ERRO")))))</f>
        <v>B</v>
      </c>
      <c r="E756" t="str">
        <f t="shared" ref="E756:E819" si="92">IF(I756=1,"A",IF(I756=2,"B",IF(I756=3,"C",IF(I756=4,"D",IF(I756=5,"E","ERRO")))))</f>
        <v>D</v>
      </c>
      <c r="F756" t="str">
        <f t="shared" si="85"/>
        <v>A</v>
      </c>
      <c r="G756" s="4">
        <f t="shared" si="86"/>
        <v>3</v>
      </c>
      <c r="H756">
        <f t="shared" si="87"/>
        <v>2</v>
      </c>
      <c r="I756">
        <f t="shared" si="88"/>
        <v>4</v>
      </c>
      <c r="J756">
        <f t="shared" si="89"/>
        <v>1</v>
      </c>
    </row>
    <row r="757" spans="1:10" x14ac:dyDescent="0.25">
      <c r="A757">
        <v>755</v>
      </c>
      <c r="B757" s="4" t="str">
        <f t="shared" si="84"/>
        <v>NOK</v>
      </c>
      <c r="C757" t="str">
        <f t="shared" si="90"/>
        <v>C</v>
      </c>
      <c r="D757" t="str">
        <f t="shared" si="91"/>
        <v>B</v>
      </c>
      <c r="E757" t="str">
        <f t="shared" si="92"/>
        <v>D</v>
      </c>
      <c r="F757" t="str">
        <f t="shared" si="85"/>
        <v>B</v>
      </c>
      <c r="G757" s="4">
        <f t="shared" si="86"/>
        <v>3</v>
      </c>
      <c r="H757">
        <f t="shared" si="87"/>
        <v>2</v>
      </c>
      <c r="I757">
        <f t="shared" si="88"/>
        <v>4</v>
      </c>
      <c r="J757">
        <f t="shared" si="89"/>
        <v>2</v>
      </c>
    </row>
    <row r="758" spans="1:10" x14ac:dyDescent="0.25">
      <c r="A758">
        <v>756</v>
      </c>
      <c r="B758" s="4" t="str">
        <f t="shared" si="84"/>
        <v>NOK</v>
      </c>
      <c r="C758" t="str">
        <f t="shared" si="90"/>
        <v>C</v>
      </c>
      <c r="D758" t="str">
        <f t="shared" si="91"/>
        <v>B</v>
      </c>
      <c r="E758" t="str">
        <f t="shared" si="92"/>
        <v>D</v>
      </c>
      <c r="F758" t="str">
        <f t="shared" si="85"/>
        <v>C</v>
      </c>
      <c r="G758" s="4">
        <f t="shared" si="86"/>
        <v>3</v>
      </c>
      <c r="H758">
        <f t="shared" si="87"/>
        <v>2</v>
      </c>
      <c r="I758">
        <f t="shared" si="88"/>
        <v>4</v>
      </c>
      <c r="J758">
        <f t="shared" si="89"/>
        <v>3</v>
      </c>
    </row>
    <row r="759" spans="1:10" x14ac:dyDescent="0.25">
      <c r="A759">
        <v>757</v>
      </c>
      <c r="B759" s="4" t="str">
        <f t="shared" si="84"/>
        <v>NOK</v>
      </c>
      <c r="C759" t="str">
        <f t="shared" si="90"/>
        <v>C</v>
      </c>
      <c r="D759" t="str">
        <f t="shared" si="91"/>
        <v>B</v>
      </c>
      <c r="E759" t="str">
        <f t="shared" si="92"/>
        <v>D</v>
      </c>
      <c r="F759" t="str">
        <f t="shared" si="85"/>
        <v>D</v>
      </c>
      <c r="G759" s="4">
        <f t="shared" si="86"/>
        <v>3</v>
      </c>
      <c r="H759">
        <f t="shared" si="87"/>
        <v>2</v>
      </c>
      <c r="I759">
        <f t="shared" si="88"/>
        <v>4</v>
      </c>
      <c r="J759">
        <f t="shared" si="89"/>
        <v>4</v>
      </c>
    </row>
    <row r="760" spans="1:10" x14ac:dyDescent="0.25">
      <c r="A760">
        <v>758</v>
      </c>
      <c r="B760" s="4" t="str">
        <f t="shared" si="84"/>
        <v>NOK</v>
      </c>
      <c r="C760" t="str">
        <f t="shared" si="90"/>
        <v>C</v>
      </c>
      <c r="D760" t="str">
        <f t="shared" si="91"/>
        <v>B</v>
      </c>
      <c r="E760" t="str">
        <f t="shared" si="92"/>
        <v>D</v>
      </c>
      <c r="F760" t="str">
        <f t="shared" si="85"/>
        <v>E</v>
      </c>
      <c r="G760" s="4">
        <f t="shared" si="86"/>
        <v>3</v>
      </c>
      <c r="H760">
        <f t="shared" si="87"/>
        <v>2</v>
      </c>
      <c r="I760">
        <f t="shared" si="88"/>
        <v>4</v>
      </c>
      <c r="J760">
        <f t="shared" si="89"/>
        <v>5</v>
      </c>
    </row>
    <row r="761" spans="1:10" x14ac:dyDescent="0.25">
      <c r="A761">
        <v>759</v>
      </c>
      <c r="B761" s="4" t="str">
        <f t="shared" si="84"/>
        <v>NOK</v>
      </c>
      <c r="C761" t="str">
        <f t="shared" si="90"/>
        <v>C</v>
      </c>
      <c r="D761" t="str">
        <f t="shared" si="91"/>
        <v>B</v>
      </c>
      <c r="E761" t="str">
        <f t="shared" si="92"/>
        <v>D</v>
      </c>
      <c r="F761" t="str">
        <f t="shared" si="85"/>
        <v>F</v>
      </c>
      <c r="G761" s="4">
        <f t="shared" si="86"/>
        <v>3</v>
      </c>
      <c r="H761">
        <f t="shared" si="87"/>
        <v>2</v>
      </c>
      <c r="I761">
        <f t="shared" si="88"/>
        <v>4</v>
      </c>
      <c r="J761">
        <f t="shared" si="89"/>
        <v>6</v>
      </c>
    </row>
    <row r="762" spans="1:10" x14ac:dyDescent="0.25">
      <c r="A762">
        <v>760</v>
      </c>
      <c r="B762" s="4" t="str">
        <f t="shared" si="84"/>
        <v>OK</v>
      </c>
      <c r="C762" t="str">
        <f t="shared" si="90"/>
        <v>C</v>
      </c>
      <c r="D762" t="str">
        <f t="shared" si="91"/>
        <v>B</v>
      </c>
      <c r="E762" t="str">
        <f t="shared" si="92"/>
        <v>D</v>
      </c>
      <c r="F762" t="str">
        <f t="shared" si="85"/>
        <v>G</v>
      </c>
      <c r="G762" s="4">
        <f t="shared" si="86"/>
        <v>3</v>
      </c>
      <c r="H762">
        <f t="shared" si="87"/>
        <v>2</v>
      </c>
      <c r="I762">
        <f t="shared" si="88"/>
        <v>4</v>
      </c>
      <c r="J762">
        <f t="shared" si="89"/>
        <v>7</v>
      </c>
    </row>
    <row r="763" spans="1:10" x14ac:dyDescent="0.25">
      <c r="A763">
        <v>761</v>
      </c>
      <c r="B763" s="4" t="str">
        <f t="shared" si="84"/>
        <v>NOK</v>
      </c>
      <c r="C763" t="str">
        <f t="shared" si="90"/>
        <v>C</v>
      </c>
      <c r="D763" t="str">
        <f t="shared" si="91"/>
        <v>B</v>
      </c>
      <c r="E763" t="str">
        <f t="shared" si="92"/>
        <v>D</v>
      </c>
      <c r="F763" t="str">
        <f t="shared" si="85"/>
        <v>H</v>
      </c>
      <c r="G763" s="4">
        <f t="shared" si="86"/>
        <v>3</v>
      </c>
      <c r="H763">
        <f t="shared" si="87"/>
        <v>2</v>
      </c>
      <c r="I763">
        <f t="shared" si="88"/>
        <v>4</v>
      </c>
      <c r="J763">
        <f t="shared" si="89"/>
        <v>8</v>
      </c>
    </row>
    <row r="764" spans="1:10" x14ac:dyDescent="0.25">
      <c r="A764">
        <v>762</v>
      </c>
      <c r="B764" s="4" t="str">
        <f t="shared" si="84"/>
        <v>NOK</v>
      </c>
      <c r="C764" t="str">
        <f t="shared" si="90"/>
        <v>C</v>
      </c>
      <c r="D764" t="str">
        <f t="shared" si="91"/>
        <v>B</v>
      </c>
      <c r="E764" t="str">
        <f t="shared" si="92"/>
        <v>D</v>
      </c>
      <c r="F764" t="str">
        <f t="shared" si="85"/>
        <v>I</v>
      </c>
      <c r="G764" s="4">
        <f t="shared" si="86"/>
        <v>3</v>
      </c>
      <c r="H764">
        <f t="shared" si="87"/>
        <v>2</v>
      </c>
      <c r="I764">
        <f t="shared" si="88"/>
        <v>4</v>
      </c>
      <c r="J764">
        <f t="shared" si="89"/>
        <v>9</v>
      </c>
    </row>
    <row r="765" spans="1:10" x14ac:dyDescent="0.25">
      <c r="A765">
        <v>763</v>
      </c>
      <c r="B765" s="4" t="str">
        <f t="shared" si="84"/>
        <v>NOK</v>
      </c>
      <c r="C765" t="str">
        <f t="shared" si="90"/>
        <v>C</v>
      </c>
      <c r="D765" t="str">
        <f t="shared" si="91"/>
        <v>B</v>
      </c>
      <c r="E765" t="str">
        <f t="shared" si="92"/>
        <v>D</v>
      </c>
      <c r="F765" t="str">
        <f t="shared" si="85"/>
        <v>J</v>
      </c>
      <c r="G765" s="4">
        <f t="shared" si="86"/>
        <v>3</v>
      </c>
      <c r="H765">
        <f t="shared" si="87"/>
        <v>2</v>
      </c>
      <c r="I765">
        <f t="shared" si="88"/>
        <v>4</v>
      </c>
      <c r="J765">
        <f t="shared" si="89"/>
        <v>10</v>
      </c>
    </row>
    <row r="766" spans="1:10" x14ac:dyDescent="0.25">
      <c r="A766">
        <v>764</v>
      </c>
      <c r="B766" s="4" t="str">
        <f t="shared" si="84"/>
        <v>NOK</v>
      </c>
      <c r="C766" t="str">
        <f t="shared" si="90"/>
        <v>C</v>
      </c>
      <c r="D766" t="str">
        <f t="shared" si="91"/>
        <v>B</v>
      </c>
      <c r="E766" t="str">
        <f t="shared" si="92"/>
        <v>D</v>
      </c>
      <c r="F766" t="str">
        <f t="shared" si="85"/>
        <v>K</v>
      </c>
      <c r="G766" s="4">
        <f t="shared" si="86"/>
        <v>3</v>
      </c>
      <c r="H766">
        <f t="shared" si="87"/>
        <v>2</v>
      </c>
      <c r="I766">
        <f t="shared" si="88"/>
        <v>4</v>
      </c>
      <c r="J766">
        <f t="shared" si="89"/>
        <v>11</v>
      </c>
    </row>
    <row r="767" spans="1:10" x14ac:dyDescent="0.25">
      <c r="A767">
        <v>765</v>
      </c>
      <c r="B767" s="4" t="str">
        <f t="shared" si="84"/>
        <v>NOK</v>
      </c>
      <c r="C767" t="str">
        <f t="shared" si="90"/>
        <v>C</v>
      </c>
      <c r="D767" t="str">
        <f t="shared" si="91"/>
        <v>B</v>
      </c>
      <c r="E767" t="str">
        <f t="shared" si="92"/>
        <v>D</v>
      </c>
      <c r="F767" t="str">
        <f t="shared" si="85"/>
        <v>L</v>
      </c>
      <c r="G767" s="4">
        <f t="shared" si="86"/>
        <v>3</v>
      </c>
      <c r="H767">
        <f t="shared" si="87"/>
        <v>2</v>
      </c>
      <c r="I767">
        <f t="shared" si="88"/>
        <v>4</v>
      </c>
      <c r="J767">
        <f t="shared" si="89"/>
        <v>12</v>
      </c>
    </row>
    <row r="768" spans="1:10" x14ac:dyDescent="0.25">
      <c r="A768">
        <v>766</v>
      </c>
      <c r="B768" s="4" t="str">
        <f t="shared" si="84"/>
        <v>NOK</v>
      </c>
      <c r="C768" t="str">
        <f t="shared" si="90"/>
        <v>C</v>
      </c>
      <c r="D768" t="str">
        <f t="shared" si="91"/>
        <v>B</v>
      </c>
      <c r="E768" t="str">
        <f t="shared" si="92"/>
        <v>D</v>
      </c>
      <c r="F768" t="str">
        <f t="shared" si="85"/>
        <v>M</v>
      </c>
      <c r="G768" s="4">
        <f t="shared" si="86"/>
        <v>3</v>
      </c>
      <c r="H768">
        <f t="shared" si="87"/>
        <v>2</v>
      </c>
      <c r="I768">
        <f t="shared" si="88"/>
        <v>4</v>
      </c>
      <c r="J768">
        <f t="shared" si="89"/>
        <v>13</v>
      </c>
    </row>
    <row r="769" spans="1:10" x14ac:dyDescent="0.25">
      <c r="A769">
        <v>767</v>
      </c>
      <c r="B769" s="4" t="str">
        <f t="shared" si="84"/>
        <v>NOK</v>
      </c>
      <c r="C769" t="str">
        <f t="shared" si="90"/>
        <v>C</v>
      </c>
      <c r="D769" t="str">
        <f t="shared" si="91"/>
        <v>B</v>
      </c>
      <c r="E769" t="str">
        <f t="shared" si="92"/>
        <v>E</v>
      </c>
      <c r="F769" t="str">
        <f t="shared" si="85"/>
        <v>A</v>
      </c>
      <c r="G769" s="4">
        <f t="shared" si="86"/>
        <v>3</v>
      </c>
      <c r="H769">
        <f t="shared" si="87"/>
        <v>2</v>
      </c>
      <c r="I769">
        <f t="shared" si="88"/>
        <v>5</v>
      </c>
      <c r="J769">
        <f t="shared" si="89"/>
        <v>1</v>
      </c>
    </row>
    <row r="770" spans="1:10" x14ac:dyDescent="0.25">
      <c r="A770">
        <v>768</v>
      </c>
      <c r="B770" s="4" t="str">
        <f t="shared" ref="B770:B833" si="93">IF(ROUND(_xlfn.XLOOKUP(C770,$U$1:$U$5,$T$1:$T$5,,0,1)+_xlfn.XLOOKUP(D770,$W$1:$W$5,$V$1:$V$5,,0,1)+_xlfn.XLOOKUP(E770,$Y$1:$Y$5,$X$1:$X$5,,0,1)-_xlfn.XLOOKUP(F770,$AA$1:$AA$13,$Z$1:$Z$13,,0,1),3)=0.325,"OK","NOK")</f>
        <v>NOK</v>
      </c>
      <c r="C770" t="str">
        <f t="shared" si="90"/>
        <v>C</v>
      </c>
      <c r="D770" t="str">
        <f t="shared" si="91"/>
        <v>B</v>
      </c>
      <c r="E770" t="str">
        <f t="shared" si="92"/>
        <v>E</v>
      </c>
      <c r="F770" t="str">
        <f t="shared" ref="F770:F833" si="94">IF(J770=1,"A",IF(J770=2,"B",IF(J770=3,"C",IF(J770=4,"D",IF(J770=5,"E",IF(J770=6,"F",IF(J770=7,"G",IF(J770=8,"H",IF(J770=9,"I",IF(J770=10,"J",IF(J770=11,"K",IF(J770=12,"L",IF(J770=13,"M","ERRO")))))))))))))</f>
        <v>B</v>
      </c>
      <c r="G770" s="4">
        <f t="shared" ref="G770:G833" si="95">INT($A770/325)+1</f>
        <v>3</v>
      </c>
      <c r="H770">
        <f t="shared" ref="H770:H833" si="96">INT(MOD($A770,325)/65)+1</f>
        <v>2</v>
      </c>
      <c r="I770">
        <f t="shared" ref="I770:I833" si="97">INT(MOD($A770,65)/13)+1</f>
        <v>5</v>
      </c>
      <c r="J770">
        <f t="shared" ref="J770:J833" si="98">MOD($A770,13)+1</f>
        <v>2</v>
      </c>
    </row>
    <row r="771" spans="1:10" x14ac:dyDescent="0.25">
      <c r="A771">
        <v>769</v>
      </c>
      <c r="B771" s="4" t="str">
        <f t="shared" si="93"/>
        <v>NOK</v>
      </c>
      <c r="C771" t="str">
        <f t="shared" si="90"/>
        <v>C</v>
      </c>
      <c r="D771" t="str">
        <f t="shared" si="91"/>
        <v>B</v>
      </c>
      <c r="E771" t="str">
        <f t="shared" si="92"/>
        <v>E</v>
      </c>
      <c r="F771" t="str">
        <f t="shared" si="94"/>
        <v>C</v>
      </c>
      <c r="G771" s="4">
        <f t="shared" si="95"/>
        <v>3</v>
      </c>
      <c r="H771">
        <f t="shared" si="96"/>
        <v>2</v>
      </c>
      <c r="I771">
        <f t="shared" si="97"/>
        <v>5</v>
      </c>
      <c r="J771">
        <f t="shared" si="98"/>
        <v>3</v>
      </c>
    </row>
    <row r="772" spans="1:10" x14ac:dyDescent="0.25">
      <c r="A772">
        <v>770</v>
      </c>
      <c r="B772" s="4" t="str">
        <f t="shared" si="93"/>
        <v>NOK</v>
      </c>
      <c r="C772" t="str">
        <f t="shared" si="90"/>
        <v>C</v>
      </c>
      <c r="D772" t="str">
        <f t="shared" si="91"/>
        <v>B</v>
      </c>
      <c r="E772" t="str">
        <f t="shared" si="92"/>
        <v>E</v>
      </c>
      <c r="F772" t="str">
        <f t="shared" si="94"/>
        <v>D</v>
      </c>
      <c r="G772" s="4">
        <f t="shared" si="95"/>
        <v>3</v>
      </c>
      <c r="H772">
        <f t="shared" si="96"/>
        <v>2</v>
      </c>
      <c r="I772">
        <f t="shared" si="97"/>
        <v>5</v>
      </c>
      <c r="J772">
        <f t="shared" si="98"/>
        <v>4</v>
      </c>
    </row>
    <row r="773" spans="1:10" x14ac:dyDescent="0.25">
      <c r="A773">
        <v>771</v>
      </c>
      <c r="B773" s="4" t="str">
        <f t="shared" si="93"/>
        <v>NOK</v>
      </c>
      <c r="C773" t="str">
        <f t="shared" si="90"/>
        <v>C</v>
      </c>
      <c r="D773" t="str">
        <f t="shared" si="91"/>
        <v>B</v>
      </c>
      <c r="E773" t="str">
        <f t="shared" si="92"/>
        <v>E</v>
      </c>
      <c r="F773" t="str">
        <f t="shared" si="94"/>
        <v>E</v>
      </c>
      <c r="G773" s="4">
        <f t="shared" si="95"/>
        <v>3</v>
      </c>
      <c r="H773">
        <f t="shared" si="96"/>
        <v>2</v>
      </c>
      <c r="I773">
        <f t="shared" si="97"/>
        <v>5</v>
      </c>
      <c r="J773">
        <f t="shared" si="98"/>
        <v>5</v>
      </c>
    </row>
    <row r="774" spans="1:10" x14ac:dyDescent="0.25">
      <c r="A774">
        <v>772</v>
      </c>
      <c r="B774" s="4" t="str">
        <f t="shared" si="93"/>
        <v>NOK</v>
      </c>
      <c r="C774" t="str">
        <f t="shared" si="90"/>
        <v>C</v>
      </c>
      <c r="D774" t="str">
        <f t="shared" si="91"/>
        <v>B</v>
      </c>
      <c r="E774" t="str">
        <f t="shared" si="92"/>
        <v>E</v>
      </c>
      <c r="F774" t="str">
        <f t="shared" si="94"/>
        <v>F</v>
      </c>
      <c r="G774" s="4">
        <f t="shared" si="95"/>
        <v>3</v>
      </c>
      <c r="H774">
        <f t="shared" si="96"/>
        <v>2</v>
      </c>
      <c r="I774">
        <f t="shared" si="97"/>
        <v>5</v>
      </c>
      <c r="J774">
        <f t="shared" si="98"/>
        <v>6</v>
      </c>
    </row>
    <row r="775" spans="1:10" x14ac:dyDescent="0.25">
      <c r="A775">
        <v>773</v>
      </c>
      <c r="B775" s="4" t="str">
        <f t="shared" si="93"/>
        <v>NOK</v>
      </c>
      <c r="C775" t="str">
        <f t="shared" si="90"/>
        <v>C</v>
      </c>
      <c r="D775" t="str">
        <f t="shared" si="91"/>
        <v>B</v>
      </c>
      <c r="E775" t="str">
        <f t="shared" si="92"/>
        <v>E</v>
      </c>
      <c r="F775" t="str">
        <f t="shared" si="94"/>
        <v>G</v>
      </c>
      <c r="G775" s="4">
        <f t="shared" si="95"/>
        <v>3</v>
      </c>
      <c r="H775">
        <f t="shared" si="96"/>
        <v>2</v>
      </c>
      <c r="I775">
        <f t="shared" si="97"/>
        <v>5</v>
      </c>
      <c r="J775">
        <f t="shared" si="98"/>
        <v>7</v>
      </c>
    </row>
    <row r="776" spans="1:10" x14ac:dyDescent="0.25">
      <c r="A776">
        <v>774</v>
      </c>
      <c r="B776" s="4" t="str">
        <f t="shared" si="93"/>
        <v>OK</v>
      </c>
      <c r="C776" t="str">
        <f t="shared" si="90"/>
        <v>C</v>
      </c>
      <c r="D776" t="str">
        <f t="shared" si="91"/>
        <v>B</v>
      </c>
      <c r="E776" t="str">
        <f t="shared" si="92"/>
        <v>E</v>
      </c>
      <c r="F776" t="str">
        <f t="shared" si="94"/>
        <v>H</v>
      </c>
      <c r="G776" s="4">
        <f t="shared" si="95"/>
        <v>3</v>
      </c>
      <c r="H776">
        <f t="shared" si="96"/>
        <v>2</v>
      </c>
      <c r="I776">
        <f t="shared" si="97"/>
        <v>5</v>
      </c>
      <c r="J776">
        <f t="shared" si="98"/>
        <v>8</v>
      </c>
    </row>
    <row r="777" spans="1:10" x14ac:dyDescent="0.25">
      <c r="A777">
        <v>775</v>
      </c>
      <c r="B777" s="4" t="str">
        <f t="shared" si="93"/>
        <v>NOK</v>
      </c>
      <c r="C777" t="str">
        <f t="shared" si="90"/>
        <v>C</v>
      </c>
      <c r="D777" t="str">
        <f t="shared" si="91"/>
        <v>B</v>
      </c>
      <c r="E777" t="str">
        <f t="shared" si="92"/>
        <v>E</v>
      </c>
      <c r="F777" t="str">
        <f t="shared" si="94"/>
        <v>I</v>
      </c>
      <c r="G777" s="4">
        <f t="shared" si="95"/>
        <v>3</v>
      </c>
      <c r="H777">
        <f t="shared" si="96"/>
        <v>2</v>
      </c>
      <c r="I777">
        <f t="shared" si="97"/>
        <v>5</v>
      </c>
      <c r="J777">
        <f t="shared" si="98"/>
        <v>9</v>
      </c>
    </row>
    <row r="778" spans="1:10" x14ac:dyDescent="0.25">
      <c r="A778">
        <v>776</v>
      </c>
      <c r="B778" s="4" t="str">
        <f t="shared" si="93"/>
        <v>NOK</v>
      </c>
      <c r="C778" t="str">
        <f t="shared" si="90"/>
        <v>C</v>
      </c>
      <c r="D778" t="str">
        <f t="shared" si="91"/>
        <v>B</v>
      </c>
      <c r="E778" t="str">
        <f t="shared" si="92"/>
        <v>E</v>
      </c>
      <c r="F778" t="str">
        <f t="shared" si="94"/>
        <v>J</v>
      </c>
      <c r="G778" s="4">
        <f t="shared" si="95"/>
        <v>3</v>
      </c>
      <c r="H778">
        <f t="shared" si="96"/>
        <v>2</v>
      </c>
      <c r="I778">
        <f t="shared" si="97"/>
        <v>5</v>
      </c>
      <c r="J778">
        <f t="shared" si="98"/>
        <v>10</v>
      </c>
    </row>
    <row r="779" spans="1:10" x14ac:dyDescent="0.25">
      <c r="A779">
        <v>777</v>
      </c>
      <c r="B779" s="4" t="str">
        <f t="shared" si="93"/>
        <v>NOK</v>
      </c>
      <c r="C779" t="str">
        <f t="shared" si="90"/>
        <v>C</v>
      </c>
      <c r="D779" t="str">
        <f t="shared" si="91"/>
        <v>B</v>
      </c>
      <c r="E779" t="str">
        <f t="shared" si="92"/>
        <v>E</v>
      </c>
      <c r="F779" t="str">
        <f t="shared" si="94"/>
        <v>K</v>
      </c>
      <c r="G779" s="4">
        <f t="shared" si="95"/>
        <v>3</v>
      </c>
      <c r="H779">
        <f t="shared" si="96"/>
        <v>2</v>
      </c>
      <c r="I779">
        <f t="shared" si="97"/>
        <v>5</v>
      </c>
      <c r="J779">
        <f t="shared" si="98"/>
        <v>11</v>
      </c>
    </row>
    <row r="780" spans="1:10" x14ac:dyDescent="0.25">
      <c r="A780">
        <v>778</v>
      </c>
      <c r="B780" s="4" t="str">
        <f t="shared" si="93"/>
        <v>NOK</v>
      </c>
      <c r="C780" t="str">
        <f t="shared" si="90"/>
        <v>C</v>
      </c>
      <c r="D780" t="str">
        <f t="shared" si="91"/>
        <v>B</v>
      </c>
      <c r="E780" t="str">
        <f t="shared" si="92"/>
        <v>E</v>
      </c>
      <c r="F780" t="str">
        <f t="shared" si="94"/>
        <v>L</v>
      </c>
      <c r="G780" s="4">
        <f t="shared" si="95"/>
        <v>3</v>
      </c>
      <c r="H780">
        <f t="shared" si="96"/>
        <v>2</v>
      </c>
      <c r="I780">
        <f t="shared" si="97"/>
        <v>5</v>
      </c>
      <c r="J780">
        <f t="shared" si="98"/>
        <v>12</v>
      </c>
    </row>
    <row r="781" spans="1:10" x14ac:dyDescent="0.25">
      <c r="A781">
        <v>779</v>
      </c>
      <c r="B781" s="4" t="str">
        <f t="shared" si="93"/>
        <v>NOK</v>
      </c>
      <c r="C781" t="str">
        <f t="shared" si="90"/>
        <v>C</v>
      </c>
      <c r="D781" t="str">
        <f t="shared" si="91"/>
        <v>B</v>
      </c>
      <c r="E781" t="str">
        <f t="shared" si="92"/>
        <v>E</v>
      </c>
      <c r="F781" t="str">
        <f t="shared" si="94"/>
        <v>M</v>
      </c>
      <c r="G781" s="4">
        <f t="shared" si="95"/>
        <v>3</v>
      </c>
      <c r="H781">
        <f t="shared" si="96"/>
        <v>2</v>
      </c>
      <c r="I781">
        <f t="shared" si="97"/>
        <v>5</v>
      </c>
      <c r="J781">
        <f t="shared" si="98"/>
        <v>13</v>
      </c>
    </row>
    <row r="782" spans="1:10" x14ac:dyDescent="0.25">
      <c r="A782">
        <v>780</v>
      </c>
      <c r="B782" s="4" t="str">
        <f t="shared" si="93"/>
        <v>NOK</v>
      </c>
      <c r="C782" t="str">
        <f t="shared" si="90"/>
        <v>C</v>
      </c>
      <c r="D782" t="str">
        <f t="shared" si="91"/>
        <v>C</v>
      </c>
      <c r="E782" t="str">
        <f t="shared" si="92"/>
        <v>A</v>
      </c>
      <c r="F782" t="str">
        <f t="shared" si="94"/>
        <v>A</v>
      </c>
      <c r="G782" s="4">
        <f t="shared" si="95"/>
        <v>3</v>
      </c>
      <c r="H782">
        <f t="shared" si="96"/>
        <v>3</v>
      </c>
      <c r="I782">
        <f t="shared" si="97"/>
        <v>1</v>
      </c>
      <c r="J782">
        <f t="shared" si="98"/>
        <v>1</v>
      </c>
    </row>
    <row r="783" spans="1:10" x14ac:dyDescent="0.25">
      <c r="A783">
        <v>781</v>
      </c>
      <c r="B783" s="4" t="str">
        <f t="shared" si="93"/>
        <v>NOK</v>
      </c>
      <c r="C783" t="str">
        <f t="shared" si="90"/>
        <v>C</v>
      </c>
      <c r="D783" t="str">
        <f t="shared" si="91"/>
        <v>C</v>
      </c>
      <c r="E783" t="str">
        <f t="shared" si="92"/>
        <v>A</v>
      </c>
      <c r="F783" t="str">
        <f t="shared" si="94"/>
        <v>B</v>
      </c>
      <c r="G783" s="4">
        <f t="shared" si="95"/>
        <v>3</v>
      </c>
      <c r="H783">
        <f t="shared" si="96"/>
        <v>3</v>
      </c>
      <c r="I783">
        <f t="shared" si="97"/>
        <v>1</v>
      </c>
      <c r="J783">
        <f t="shared" si="98"/>
        <v>2</v>
      </c>
    </row>
    <row r="784" spans="1:10" x14ac:dyDescent="0.25">
      <c r="A784">
        <v>782</v>
      </c>
      <c r="B784" s="4" t="str">
        <f t="shared" si="93"/>
        <v>NOK</v>
      </c>
      <c r="C784" t="str">
        <f t="shared" si="90"/>
        <v>C</v>
      </c>
      <c r="D784" t="str">
        <f t="shared" si="91"/>
        <v>C</v>
      </c>
      <c r="E784" t="str">
        <f t="shared" si="92"/>
        <v>A</v>
      </c>
      <c r="F784" t="str">
        <f t="shared" si="94"/>
        <v>C</v>
      </c>
      <c r="G784" s="4">
        <f t="shared" si="95"/>
        <v>3</v>
      </c>
      <c r="H784">
        <f t="shared" si="96"/>
        <v>3</v>
      </c>
      <c r="I784">
        <f t="shared" si="97"/>
        <v>1</v>
      </c>
      <c r="J784">
        <f t="shared" si="98"/>
        <v>3</v>
      </c>
    </row>
    <row r="785" spans="1:10" x14ac:dyDescent="0.25">
      <c r="A785">
        <v>783</v>
      </c>
      <c r="B785" s="4" t="str">
        <f t="shared" si="93"/>
        <v>NOK</v>
      </c>
      <c r="C785" t="str">
        <f t="shared" si="90"/>
        <v>C</v>
      </c>
      <c r="D785" t="str">
        <f t="shared" si="91"/>
        <v>C</v>
      </c>
      <c r="E785" t="str">
        <f t="shared" si="92"/>
        <v>A</v>
      </c>
      <c r="F785" t="str">
        <f t="shared" si="94"/>
        <v>D</v>
      </c>
      <c r="G785" s="4">
        <f t="shared" si="95"/>
        <v>3</v>
      </c>
      <c r="H785">
        <f t="shared" si="96"/>
        <v>3</v>
      </c>
      <c r="I785">
        <f t="shared" si="97"/>
        <v>1</v>
      </c>
      <c r="J785">
        <f t="shared" si="98"/>
        <v>4</v>
      </c>
    </row>
    <row r="786" spans="1:10" x14ac:dyDescent="0.25">
      <c r="A786">
        <v>784</v>
      </c>
      <c r="B786" s="4" t="str">
        <f t="shared" si="93"/>
        <v>OK</v>
      </c>
      <c r="C786" t="str">
        <f t="shared" si="90"/>
        <v>C</v>
      </c>
      <c r="D786" t="str">
        <f t="shared" si="91"/>
        <v>C</v>
      </c>
      <c r="E786" t="str">
        <f t="shared" si="92"/>
        <v>A</v>
      </c>
      <c r="F786" t="str">
        <f t="shared" si="94"/>
        <v>E</v>
      </c>
      <c r="G786" s="4">
        <f t="shared" si="95"/>
        <v>3</v>
      </c>
      <c r="H786">
        <f t="shared" si="96"/>
        <v>3</v>
      </c>
      <c r="I786">
        <f t="shared" si="97"/>
        <v>1</v>
      </c>
      <c r="J786">
        <f t="shared" si="98"/>
        <v>5</v>
      </c>
    </row>
    <row r="787" spans="1:10" x14ac:dyDescent="0.25">
      <c r="A787">
        <v>785</v>
      </c>
      <c r="B787" s="4" t="str">
        <f t="shared" si="93"/>
        <v>NOK</v>
      </c>
      <c r="C787" t="str">
        <f t="shared" si="90"/>
        <v>C</v>
      </c>
      <c r="D787" t="str">
        <f t="shared" si="91"/>
        <v>C</v>
      </c>
      <c r="E787" t="str">
        <f t="shared" si="92"/>
        <v>A</v>
      </c>
      <c r="F787" t="str">
        <f t="shared" si="94"/>
        <v>F</v>
      </c>
      <c r="G787" s="4">
        <f t="shared" si="95"/>
        <v>3</v>
      </c>
      <c r="H787">
        <f t="shared" si="96"/>
        <v>3</v>
      </c>
      <c r="I787">
        <f t="shared" si="97"/>
        <v>1</v>
      </c>
      <c r="J787">
        <f t="shared" si="98"/>
        <v>6</v>
      </c>
    </row>
    <row r="788" spans="1:10" x14ac:dyDescent="0.25">
      <c r="A788">
        <v>786</v>
      </c>
      <c r="B788" s="4" t="str">
        <f t="shared" si="93"/>
        <v>NOK</v>
      </c>
      <c r="C788" t="str">
        <f t="shared" si="90"/>
        <v>C</v>
      </c>
      <c r="D788" t="str">
        <f t="shared" si="91"/>
        <v>C</v>
      </c>
      <c r="E788" t="str">
        <f t="shared" si="92"/>
        <v>A</v>
      </c>
      <c r="F788" t="str">
        <f t="shared" si="94"/>
        <v>G</v>
      </c>
      <c r="G788" s="4">
        <f t="shared" si="95"/>
        <v>3</v>
      </c>
      <c r="H788">
        <f t="shared" si="96"/>
        <v>3</v>
      </c>
      <c r="I788">
        <f t="shared" si="97"/>
        <v>1</v>
      </c>
      <c r="J788">
        <f t="shared" si="98"/>
        <v>7</v>
      </c>
    </row>
    <row r="789" spans="1:10" x14ac:dyDescent="0.25">
      <c r="A789">
        <v>787</v>
      </c>
      <c r="B789" s="4" t="str">
        <f t="shared" si="93"/>
        <v>NOK</v>
      </c>
      <c r="C789" t="str">
        <f t="shared" si="90"/>
        <v>C</v>
      </c>
      <c r="D789" t="str">
        <f t="shared" si="91"/>
        <v>C</v>
      </c>
      <c r="E789" t="str">
        <f t="shared" si="92"/>
        <v>A</v>
      </c>
      <c r="F789" t="str">
        <f t="shared" si="94"/>
        <v>H</v>
      </c>
      <c r="G789" s="4">
        <f t="shared" si="95"/>
        <v>3</v>
      </c>
      <c r="H789">
        <f t="shared" si="96"/>
        <v>3</v>
      </c>
      <c r="I789">
        <f t="shared" si="97"/>
        <v>1</v>
      </c>
      <c r="J789">
        <f t="shared" si="98"/>
        <v>8</v>
      </c>
    </row>
    <row r="790" spans="1:10" x14ac:dyDescent="0.25">
      <c r="A790">
        <v>788</v>
      </c>
      <c r="B790" s="4" t="str">
        <f t="shared" si="93"/>
        <v>NOK</v>
      </c>
      <c r="C790" t="str">
        <f t="shared" si="90"/>
        <v>C</v>
      </c>
      <c r="D790" t="str">
        <f t="shared" si="91"/>
        <v>C</v>
      </c>
      <c r="E790" t="str">
        <f t="shared" si="92"/>
        <v>A</v>
      </c>
      <c r="F790" t="str">
        <f t="shared" si="94"/>
        <v>I</v>
      </c>
      <c r="G790" s="4">
        <f t="shared" si="95"/>
        <v>3</v>
      </c>
      <c r="H790">
        <f t="shared" si="96"/>
        <v>3</v>
      </c>
      <c r="I790">
        <f t="shared" si="97"/>
        <v>1</v>
      </c>
      <c r="J790">
        <f t="shared" si="98"/>
        <v>9</v>
      </c>
    </row>
    <row r="791" spans="1:10" x14ac:dyDescent="0.25">
      <c r="A791">
        <v>789</v>
      </c>
      <c r="B791" s="4" t="str">
        <f t="shared" si="93"/>
        <v>NOK</v>
      </c>
      <c r="C791" t="str">
        <f t="shared" si="90"/>
        <v>C</v>
      </c>
      <c r="D791" t="str">
        <f t="shared" si="91"/>
        <v>C</v>
      </c>
      <c r="E791" t="str">
        <f t="shared" si="92"/>
        <v>A</v>
      </c>
      <c r="F791" t="str">
        <f t="shared" si="94"/>
        <v>J</v>
      </c>
      <c r="G791" s="4">
        <f t="shared" si="95"/>
        <v>3</v>
      </c>
      <c r="H791">
        <f t="shared" si="96"/>
        <v>3</v>
      </c>
      <c r="I791">
        <f t="shared" si="97"/>
        <v>1</v>
      </c>
      <c r="J791">
        <f t="shared" si="98"/>
        <v>10</v>
      </c>
    </row>
    <row r="792" spans="1:10" x14ac:dyDescent="0.25">
      <c r="A792">
        <v>790</v>
      </c>
      <c r="B792" s="4" t="str">
        <f t="shared" si="93"/>
        <v>NOK</v>
      </c>
      <c r="C792" t="str">
        <f t="shared" si="90"/>
        <v>C</v>
      </c>
      <c r="D792" t="str">
        <f t="shared" si="91"/>
        <v>C</v>
      </c>
      <c r="E792" t="str">
        <f t="shared" si="92"/>
        <v>A</v>
      </c>
      <c r="F792" t="str">
        <f t="shared" si="94"/>
        <v>K</v>
      </c>
      <c r="G792" s="4">
        <f t="shared" si="95"/>
        <v>3</v>
      </c>
      <c r="H792">
        <f t="shared" si="96"/>
        <v>3</v>
      </c>
      <c r="I792">
        <f t="shared" si="97"/>
        <v>1</v>
      </c>
      <c r="J792">
        <f t="shared" si="98"/>
        <v>11</v>
      </c>
    </row>
    <row r="793" spans="1:10" x14ac:dyDescent="0.25">
      <c r="A793">
        <v>791</v>
      </c>
      <c r="B793" s="4" t="str">
        <f t="shared" si="93"/>
        <v>NOK</v>
      </c>
      <c r="C793" t="str">
        <f t="shared" si="90"/>
        <v>C</v>
      </c>
      <c r="D793" t="str">
        <f t="shared" si="91"/>
        <v>C</v>
      </c>
      <c r="E793" t="str">
        <f t="shared" si="92"/>
        <v>A</v>
      </c>
      <c r="F793" t="str">
        <f t="shared" si="94"/>
        <v>L</v>
      </c>
      <c r="G793" s="4">
        <f t="shared" si="95"/>
        <v>3</v>
      </c>
      <c r="H793">
        <f t="shared" si="96"/>
        <v>3</v>
      </c>
      <c r="I793">
        <f t="shared" si="97"/>
        <v>1</v>
      </c>
      <c r="J793">
        <f t="shared" si="98"/>
        <v>12</v>
      </c>
    </row>
    <row r="794" spans="1:10" x14ac:dyDescent="0.25">
      <c r="A794">
        <v>792</v>
      </c>
      <c r="B794" s="4" t="str">
        <f t="shared" si="93"/>
        <v>NOK</v>
      </c>
      <c r="C794" t="str">
        <f t="shared" si="90"/>
        <v>C</v>
      </c>
      <c r="D794" t="str">
        <f t="shared" si="91"/>
        <v>C</v>
      </c>
      <c r="E794" t="str">
        <f t="shared" si="92"/>
        <v>A</v>
      </c>
      <c r="F794" t="str">
        <f t="shared" si="94"/>
        <v>M</v>
      </c>
      <c r="G794" s="4">
        <f t="shared" si="95"/>
        <v>3</v>
      </c>
      <c r="H794">
        <f t="shared" si="96"/>
        <v>3</v>
      </c>
      <c r="I794">
        <f t="shared" si="97"/>
        <v>1</v>
      </c>
      <c r="J794">
        <f t="shared" si="98"/>
        <v>13</v>
      </c>
    </row>
    <row r="795" spans="1:10" x14ac:dyDescent="0.25">
      <c r="A795">
        <v>793</v>
      </c>
      <c r="B795" s="4" t="str">
        <f t="shared" si="93"/>
        <v>NOK</v>
      </c>
      <c r="C795" t="str">
        <f t="shared" si="90"/>
        <v>C</v>
      </c>
      <c r="D795" t="str">
        <f t="shared" si="91"/>
        <v>C</v>
      </c>
      <c r="E795" t="str">
        <f t="shared" si="92"/>
        <v>B</v>
      </c>
      <c r="F795" t="str">
        <f t="shared" si="94"/>
        <v>A</v>
      </c>
      <c r="G795" s="4">
        <f t="shared" si="95"/>
        <v>3</v>
      </c>
      <c r="H795">
        <f t="shared" si="96"/>
        <v>3</v>
      </c>
      <c r="I795">
        <f t="shared" si="97"/>
        <v>2</v>
      </c>
      <c r="J795">
        <f t="shared" si="98"/>
        <v>1</v>
      </c>
    </row>
    <row r="796" spans="1:10" x14ac:dyDescent="0.25">
      <c r="A796">
        <v>794</v>
      </c>
      <c r="B796" s="4" t="str">
        <f t="shared" si="93"/>
        <v>NOK</v>
      </c>
      <c r="C796" t="str">
        <f t="shared" si="90"/>
        <v>C</v>
      </c>
      <c r="D796" t="str">
        <f t="shared" si="91"/>
        <v>C</v>
      </c>
      <c r="E796" t="str">
        <f t="shared" si="92"/>
        <v>B</v>
      </c>
      <c r="F796" t="str">
        <f t="shared" si="94"/>
        <v>B</v>
      </c>
      <c r="G796" s="4">
        <f t="shared" si="95"/>
        <v>3</v>
      </c>
      <c r="H796">
        <f t="shared" si="96"/>
        <v>3</v>
      </c>
      <c r="I796">
        <f t="shared" si="97"/>
        <v>2</v>
      </c>
      <c r="J796">
        <f t="shared" si="98"/>
        <v>2</v>
      </c>
    </row>
    <row r="797" spans="1:10" x14ac:dyDescent="0.25">
      <c r="A797">
        <v>795</v>
      </c>
      <c r="B797" s="4" t="str">
        <f t="shared" si="93"/>
        <v>NOK</v>
      </c>
      <c r="C797" t="str">
        <f t="shared" si="90"/>
        <v>C</v>
      </c>
      <c r="D797" t="str">
        <f t="shared" si="91"/>
        <v>C</v>
      </c>
      <c r="E797" t="str">
        <f t="shared" si="92"/>
        <v>B</v>
      </c>
      <c r="F797" t="str">
        <f t="shared" si="94"/>
        <v>C</v>
      </c>
      <c r="G797" s="4">
        <f t="shared" si="95"/>
        <v>3</v>
      </c>
      <c r="H797">
        <f t="shared" si="96"/>
        <v>3</v>
      </c>
      <c r="I797">
        <f t="shared" si="97"/>
        <v>2</v>
      </c>
      <c r="J797">
        <f t="shared" si="98"/>
        <v>3</v>
      </c>
    </row>
    <row r="798" spans="1:10" x14ac:dyDescent="0.25">
      <c r="A798">
        <v>796</v>
      </c>
      <c r="B798" s="4" t="str">
        <f t="shared" si="93"/>
        <v>NOK</v>
      </c>
      <c r="C798" t="str">
        <f t="shared" si="90"/>
        <v>C</v>
      </c>
      <c r="D798" t="str">
        <f t="shared" si="91"/>
        <v>C</v>
      </c>
      <c r="E798" t="str">
        <f t="shared" si="92"/>
        <v>B</v>
      </c>
      <c r="F798" t="str">
        <f t="shared" si="94"/>
        <v>D</v>
      </c>
      <c r="G798" s="4">
        <f t="shared" si="95"/>
        <v>3</v>
      </c>
      <c r="H798">
        <f t="shared" si="96"/>
        <v>3</v>
      </c>
      <c r="I798">
        <f t="shared" si="97"/>
        <v>2</v>
      </c>
      <c r="J798">
        <f t="shared" si="98"/>
        <v>4</v>
      </c>
    </row>
    <row r="799" spans="1:10" x14ac:dyDescent="0.25">
      <c r="A799">
        <v>797</v>
      </c>
      <c r="B799" s="4" t="str">
        <f t="shared" si="93"/>
        <v>NOK</v>
      </c>
      <c r="C799" t="str">
        <f t="shared" si="90"/>
        <v>C</v>
      </c>
      <c r="D799" t="str">
        <f t="shared" si="91"/>
        <v>C</v>
      </c>
      <c r="E799" t="str">
        <f t="shared" si="92"/>
        <v>B</v>
      </c>
      <c r="F799" t="str">
        <f t="shared" si="94"/>
        <v>E</v>
      </c>
      <c r="G799" s="4">
        <f t="shared" si="95"/>
        <v>3</v>
      </c>
      <c r="H799">
        <f t="shared" si="96"/>
        <v>3</v>
      </c>
      <c r="I799">
        <f t="shared" si="97"/>
        <v>2</v>
      </c>
      <c r="J799">
        <f t="shared" si="98"/>
        <v>5</v>
      </c>
    </row>
    <row r="800" spans="1:10" x14ac:dyDescent="0.25">
      <c r="A800">
        <v>798</v>
      </c>
      <c r="B800" s="4" t="str">
        <f t="shared" si="93"/>
        <v>OK</v>
      </c>
      <c r="C800" t="str">
        <f t="shared" si="90"/>
        <v>C</v>
      </c>
      <c r="D800" t="str">
        <f t="shared" si="91"/>
        <v>C</v>
      </c>
      <c r="E800" t="str">
        <f t="shared" si="92"/>
        <v>B</v>
      </c>
      <c r="F800" t="str">
        <f t="shared" si="94"/>
        <v>F</v>
      </c>
      <c r="G800" s="4">
        <f t="shared" si="95"/>
        <v>3</v>
      </c>
      <c r="H800">
        <f t="shared" si="96"/>
        <v>3</v>
      </c>
      <c r="I800">
        <f t="shared" si="97"/>
        <v>2</v>
      </c>
      <c r="J800">
        <f t="shared" si="98"/>
        <v>6</v>
      </c>
    </row>
    <row r="801" spans="1:10" x14ac:dyDescent="0.25">
      <c r="A801">
        <v>799</v>
      </c>
      <c r="B801" s="4" t="str">
        <f t="shared" si="93"/>
        <v>NOK</v>
      </c>
      <c r="C801" t="str">
        <f t="shared" si="90"/>
        <v>C</v>
      </c>
      <c r="D801" t="str">
        <f t="shared" si="91"/>
        <v>C</v>
      </c>
      <c r="E801" t="str">
        <f t="shared" si="92"/>
        <v>B</v>
      </c>
      <c r="F801" t="str">
        <f t="shared" si="94"/>
        <v>G</v>
      </c>
      <c r="G801" s="4">
        <f t="shared" si="95"/>
        <v>3</v>
      </c>
      <c r="H801">
        <f t="shared" si="96"/>
        <v>3</v>
      </c>
      <c r="I801">
        <f t="shared" si="97"/>
        <v>2</v>
      </c>
      <c r="J801">
        <f t="shared" si="98"/>
        <v>7</v>
      </c>
    </row>
    <row r="802" spans="1:10" x14ac:dyDescent="0.25">
      <c r="A802">
        <v>800</v>
      </c>
      <c r="B802" s="4" t="str">
        <f t="shared" si="93"/>
        <v>NOK</v>
      </c>
      <c r="C802" t="str">
        <f t="shared" si="90"/>
        <v>C</v>
      </c>
      <c r="D802" t="str">
        <f t="shared" si="91"/>
        <v>C</v>
      </c>
      <c r="E802" t="str">
        <f t="shared" si="92"/>
        <v>B</v>
      </c>
      <c r="F802" t="str">
        <f t="shared" si="94"/>
        <v>H</v>
      </c>
      <c r="G802" s="4">
        <f t="shared" si="95"/>
        <v>3</v>
      </c>
      <c r="H802">
        <f t="shared" si="96"/>
        <v>3</v>
      </c>
      <c r="I802">
        <f t="shared" si="97"/>
        <v>2</v>
      </c>
      <c r="J802">
        <f t="shared" si="98"/>
        <v>8</v>
      </c>
    </row>
    <row r="803" spans="1:10" x14ac:dyDescent="0.25">
      <c r="A803">
        <v>801</v>
      </c>
      <c r="B803" s="4" t="str">
        <f t="shared" si="93"/>
        <v>NOK</v>
      </c>
      <c r="C803" t="str">
        <f t="shared" si="90"/>
        <v>C</v>
      </c>
      <c r="D803" t="str">
        <f t="shared" si="91"/>
        <v>C</v>
      </c>
      <c r="E803" t="str">
        <f t="shared" si="92"/>
        <v>B</v>
      </c>
      <c r="F803" t="str">
        <f t="shared" si="94"/>
        <v>I</v>
      </c>
      <c r="G803" s="4">
        <f t="shared" si="95"/>
        <v>3</v>
      </c>
      <c r="H803">
        <f t="shared" si="96"/>
        <v>3</v>
      </c>
      <c r="I803">
        <f t="shared" si="97"/>
        <v>2</v>
      </c>
      <c r="J803">
        <f t="shared" si="98"/>
        <v>9</v>
      </c>
    </row>
    <row r="804" spans="1:10" x14ac:dyDescent="0.25">
      <c r="A804">
        <v>802</v>
      </c>
      <c r="B804" s="4" t="str">
        <f t="shared" si="93"/>
        <v>NOK</v>
      </c>
      <c r="C804" t="str">
        <f t="shared" si="90"/>
        <v>C</v>
      </c>
      <c r="D804" t="str">
        <f t="shared" si="91"/>
        <v>C</v>
      </c>
      <c r="E804" t="str">
        <f t="shared" si="92"/>
        <v>B</v>
      </c>
      <c r="F804" t="str">
        <f t="shared" si="94"/>
        <v>J</v>
      </c>
      <c r="G804" s="4">
        <f t="shared" si="95"/>
        <v>3</v>
      </c>
      <c r="H804">
        <f t="shared" si="96"/>
        <v>3</v>
      </c>
      <c r="I804">
        <f t="shared" si="97"/>
        <v>2</v>
      </c>
      <c r="J804">
        <f t="shared" si="98"/>
        <v>10</v>
      </c>
    </row>
    <row r="805" spans="1:10" x14ac:dyDescent="0.25">
      <c r="A805">
        <v>803</v>
      </c>
      <c r="B805" s="4" t="str">
        <f t="shared" si="93"/>
        <v>NOK</v>
      </c>
      <c r="C805" t="str">
        <f t="shared" si="90"/>
        <v>C</v>
      </c>
      <c r="D805" t="str">
        <f t="shared" si="91"/>
        <v>C</v>
      </c>
      <c r="E805" t="str">
        <f t="shared" si="92"/>
        <v>B</v>
      </c>
      <c r="F805" t="str">
        <f t="shared" si="94"/>
        <v>K</v>
      </c>
      <c r="G805" s="4">
        <f t="shared" si="95"/>
        <v>3</v>
      </c>
      <c r="H805">
        <f t="shared" si="96"/>
        <v>3</v>
      </c>
      <c r="I805">
        <f t="shared" si="97"/>
        <v>2</v>
      </c>
      <c r="J805">
        <f t="shared" si="98"/>
        <v>11</v>
      </c>
    </row>
    <row r="806" spans="1:10" x14ac:dyDescent="0.25">
      <c r="A806">
        <v>804</v>
      </c>
      <c r="B806" s="4" t="str">
        <f t="shared" si="93"/>
        <v>NOK</v>
      </c>
      <c r="C806" t="str">
        <f t="shared" si="90"/>
        <v>C</v>
      </c>
      <c r="D806" t="str">
        <f t="shared" si="91"/>
        <v>C</v>
      </c>
      <c r="E806" t="str">
        <f t="shared" si="92"/>
        <v>B</v>
      </c>
      <c r="F806" t="str">
        <f t="shared" si="94"/>
        <v>L</v>
      </c>
      <c r="G806" s="4">
        <f t="shared" si="95"/>
        <v>3</v>
      </c>
      <c r="H806">
        <f t="shared" si="96"/>
        <v>3</v>
      </c>
      <c r="I806">
        <f t="shared" si="97"/>
        <v>2</v>
      </c>
      <c r="J806">
        <f t="shared" si="98"/>
        <v>12</v>
      </c>
    </row>
    <row r="807" spans="1:10" x14ac:dyDescent="0.25">
      <c r="A807">
        <v>805</v>
      </c>
      <c r="B807" s="4" t="str">
        <f t="shared" si="93"/>
        <v>NOK</v>
      </c>
      <c r="C807" t="str">
        <f t="shared" si="90"/>
        <v>C</v>
      </c>
      <c r="D807" t="str">
        <f t="shared" si="91"/>
        <v>C</v>
      </c>
      <c r="E807" t="str">
        <f t="shared" si="92"/>
        <v>B</v>
      </c>
      <c r="F807" t="str">
        <f t="shared" si="94"/>
        <v>M</v>
      </c>
      <c r="G807" s="4">
        <f t="shared" si="95"/>
        <v>3</v>
      </c>
      <c r="H807">
        <f t="shared" si="96"/>
        <v>3</v>
      </c>
      <c r="I807">
        <f t="shared" si="97"/>
        <v>2</v>
      </c>
      <c r="J807">
        <f t="shared" si="98"/>
        <v>13</v>
      </c>
    </row>
    <row r="808" spans="1:10" x14ac:dyDescent="0.25">
      <c r="A808">
        <v>806</v>
      </c>
      <c r="B808" s="4" t="str">
        <f t="shared" si="93"/>
        <v>NOK</v>
      </c>
      <c r="C808" t="str">
        <f t="shared" si="90"/>
        <v>C</v>
      </c>
      <c r="D808" t="str">
        <f t="shared" si="91"/>
        <v>C</v>
      </c>
      <c r="E808" t="str">
        <f t="shared" si="92"/>
        <v>C</v>
      </c>
      <c r="F808" t="str">
        <f t="shared" si="94"/>
        <v>A</v>
      </c>
      <c r="G808" s="4">
        <f t="shared" si="95"/>
        <v>3</v>
      </c>
      <c r="H808">
        <f t="shared" si="96"/>
        <v>3</v>
      </c>
      <c r="I808">
        <f t="shared" si="97"/>
        <v>3</v>
      </c>
      <c r="J808">
        <f t="shared" si="98"/>
        <v>1</v>
      </c>
    </row>
    <row r="809" spans="1:10" x14ac:dyDescent="0.25">
      <c r="A809">
        <v>807</v>
      </c>
      <c r="B809" s="4" t="str">
        <f t="shared" si="93"/>
        <v>NOK</v>
      </c>
      <c r="C809" t="str">
        <f t="shared" si="90"/>
        <v>C</v>
      </c>
      <c r="D809" t="str">
        <f t="shared" si="91"/>
        <v>C</v>
      </c>
      <c r="E809" t="str">
        <f t="shared" si="92"/>
        <v>C</v>
      </c>
      <c r="F809" t="str">
        <f t="shared" si="94"/>
        <v>B</v>
      </c>
      <c r="G809" s="4">
        <f t="shared" si="95"/>
        <v>3</v>
      </c>
      <c r="H809">
        <f t="shared" si="96"/>
        <v>3</v>
      </c>
      <c r="I809">
        <f t="shared" si="97"/>
        <v>3</v>
      </c>
      <c r="J809">
        <f t="shared" si="98"/>
        <v>2</v>
      </c>
    </row>
    <row r="810" spans="1:10" x14ac:dyDescent="0.25">
      <c r="A810">
        <v>808</v>
      </c>
      <c r="B810" s="4" t="str">
        <f t="shared" si="93"/>
        <v>NOK</v>
      </c>
      <c r="C810" t="str">
        <f t="shared" si="90"/>
        <v>C</v>
      </c>
      <c r="D810" t="str">
        <f t="shared" si="91"/>
        <v>C</v>
      </c>
      <c r="E810" t="str">
        <f t="shared" si="92"/>
        <v>C</v>
      </c>
      <c r="F810" t="str">
        <f t="shared" si="94"/>
        <v>C</v>
      </c>
      <c r="G810" s="4">
        <f t="shared" si="95"/>
        <v>3</v>
      </c>
      <c r="H810">
        <f t="shared" si="96"/>
        <v>3</v>
      </c>
      <c r="I810">
        <f t="shared" si="97"/>
        <v>3</v>
      </c>
      <c r="J810">
        <f t="shared" si="98"/>
        <v>3</v>
      </c>
    </row>
    <row r="811" spans="1:10" x14ac:dyDescent="0.25">
      <c r="A811">
        <v>809</v>
      </c>
      <c r="B811" s="4" t="str">
        <f t="shared" si="93"/>
        <v>NOK</v>
      </c>
      <c r="C811" t="str">
        <f t="shared" si="90"/>
        <v>C</v>
      </c>
      <c r="D811" t="str">
        <f t="shared" si="91"/>
        <v>C</v>
      </c>
      <c r="E811" t="str">
        <f t="shared" si="92"/>
        <v>C</v>
      </c>
      <c r="F811" t="str">
        <f t="shared" si="94"/>
        <v>D</v>
      </c>
      <c r="G811" s="4">
        <f t="shared" si="95"/>
        <v>3</v>
      </c>
      <c r="H811">
        <f t="shared" si="96"/>
        <v>3</v>
      </c>
      <c r="I811">
        <f t="shared" si="97"/>
        <v>3</v>
      </c>
      <c r="J811">
        <f t="shared" si="98"/>
        <v>4</v>
      </c>
    </row>
    <row r="812" spans="1:10" x14ac:dyDescent="0.25">
      <c r="A812">
        <v>810</v>
      </c>
      <c r="B812" s="4" t="str">
        <f t="shared" si="93"/>
        <v>NOK</v>
      </c>
      <c r="C812" t="str">
        <f t="shared" si="90"/>
        <v>C</v>
      </c>
      <c r="D812" t="str">
        <f t="shared" si="91"/>
        <v>C</v>
      </c>
      <c r="E812" t="str">
        <f t="shared" si="92"/>
        <v>C</v>
      </c>
      <c r="F812" t="str">
        <f t="shared" si="94"/>
        <v>E</v>
      </c>
      <c r="G812" s="4">
        <f t="shared" si="95"/>
        <v>3</v>
      </c>
      <c r="H812">
        <f t="shared" si="96"/>
        <v>3</v>
      </c>
      <c r="I812">
        <f t="shared" si="97"/>
        <v>3</v>
      </c>
      <c r="J812">
        <f t="shared" si="98"/>
        <v>5</v>
      </c>
    </row>
    <row r="813" spans="1:10" x14ac:dyDescent="0.25">
      <c r="A813">
        <v>811</v>
      </c>
      <c r="B813" s="4" t="str">
        <f t="shared" si="93"/>
        <v>NOK</v>
      </c>
      <c r="C813" t="str">
        <f t="shared" si="90"/>
        <v>C</v>
      </c>
      <c r="D813" t="str">
        <f t="shared" si="91"/>
        <v>C</v>
      </c>
      <c r="E813" t="str">
        <f t="shared" si="92"/>
        <v>C</v>
      </c>
      <c r="F813" t="str">
        <f t="shared" si="94"/>
        <v>F</v>
      </c>
      <c r="G813" s="4">
        <f t="shared" si="95"/>
        <v>3</v>
      </c>
      <c r="H813">
        <f t="shared" si="96"/>
        <v>3</v>
      </c>
      <c r="I813">
        <f t="shared" si="97"/>
        <v>3</v>
      </c>
      <c r="J813">
        <f t="shared" si="98"/>
        <v>6</v>
      </c>
    </row>
    <row r="814" spans="1:10" x14ac:dyDescent="0.25">
      <c r="A814">
        <v>812</v>
      </c>
      <c r="B814" s="4" t="str">
        <f t="shared" si="93"/>
        <v>OK</v>
      </c>
      <c r="C814" t="str">
        <f t="shared" si="90"/>
        <v>C</v>
      </c>
      <c r="D814" t="str">
        <f t="shared" si="91"/>
        <v>C</v>
      </c>
      <c r="E814" t="str">
        <f t="shared" si="92"/>
        <v>C</v>
      </c>
      <c r="F814" t="str">
        <f t="shared" si="94"/>
        <v>G</v>
      </c>
      <c r="G814" s="4">
        <f t="shared" si="95"/>
        <v>3</v>
      </c>
      <c r="H814">
        <f t="shared" si="96"/>
        <v>3</v>
      </c>
      <c r="I814">
        <f t="shared" si="97"/>
        <v>3</v>
      </c>
      <c r="J814">
        <f t="shared" si="98"/>
        <v>7</v>
      </c>
    </row>
    <row r="815" spans="1:10" x14ac:dyDescent="0.25">
      <c r="A815">
        <v>813</v>
      </c>
      <c r="B815" s="4" t="str">
        <f t="shared" si="93"/>
        <v>NOK</v>
      </c>
      <c r="C815" t="str">
        <f t="shared" si="90"/>
        <v>C</v>
      </c>
      <c r="D815" t="str">
        <f t="shared" si="91"/>
        <v>C</v>
      </c>
      <c r="E815" t="str">
        <f t="shared" si="92"/>
        <v>C</v>
      </c>
      <c r="F815" t="str">
        <f t="shared" si="94"/>
        <v>H</v>
      </c>
      <c r="G815" s="4">
        <f t="shared" si="95"/>
        <v>3</v>
      </c>
      <c r="H815">
        <f t="shared" si="96"/>
        <v>3</v>
      </c>
      <c r="I815">
        <f t="shared" si="97"/>
        <v>3</v>
      </c>
      <c r="J815">
        <f t="shared" si="98"/>
        <v>8</v>
      </c>
    </row>
    <row r="816" spans="1:10" x14ac:dyDescent="0.25">
      <c r="A816">
        <v>814</v>
      </c>
      <c r="B816" s="4" t="str">
        <f t="shared" si="93"/>
        <v>NOK</v>
      </c>
      <c r="C816" t="str">
        <f t="shared" si="90"/>
        <v>C</v>
      </c>
      <c r="D816" t="str">
        <f t="shared" si="91"/>
        <v>C</v>
      </c>
      <c r="E816" t="str">
        <f t="shared" si="92"/>
        <v>C</v>
      </c>
      <c r="F816" t="str">
        <f t="shared" si="94"/>
        <v>I</v>
      </c>
      <c r="G816" s="4">
        <f t="shared" si="95"/>
        <v>3</v>
      </c>
      <c r="H816">
        <f t="shared" si="96"/>
        <v>3</v>
      </c>
      <c r="I816">
        <f t="shared" si="97"/>
        <v>3</v>
      </c>
      <c r="J816">
        <f t="shared" si="98"/>
        <v>9</v>
      </c>
    </row>
    <row r="817" spans="1:10" x14ac:dyDescent="0.25">
      <c r="A817">
        <v>815</v>
      </c>
      <c r="B817" s="4" t="str">
        <f t="shared" si="93"/>
        <v>NOK</v>
      </c>
      <c r="C817" t="str">
        <f t="shared" si="90"/>
        <v>C</v>
      </c>
      <c r="D817" t="str">
        <f t="shared" si="91"/>
        <v>C</v>
      </c>
      <c r="E817" t="str">
        <f t="shared" si="92"/>
        <v>C</v>
      </c>
      <c r="F817" t="str">
        <f t="shared" si="94"/>
        <v>J</v>
      </c>
      <c r="G817" s="4">
        <f t="shared" si="95"/>
        <v>3</v>
      </c>
      <c r="H817">
        <f t="shared" si="96"/>
        <v>3</v>
      </c>
      <c r="I817">
        <f t="shared" si="97"/>
        <v>3</v>
      </c>
      <c r="J817">
        <f t="shared" si="98"/>
        <v>10</v>
      </c>
    </row>
    <row r="818" spans="1:10" x14ac:dyDescent="0.25">
      <c r="A818">
        <v>816</v>
      </c>
      <c r="B818" s="4" t="str">
        <f t="shared" si="93"/>
        <v>NOK</v>
      </c>
      <c r="C818" t="str">
        <f t="shared" si="90"/>
        <v>C</v>
      </c>
      <c r="D818" t="str">
        <f t="shared" si="91"/>
        <v>C</v>
      </c>
      <c r="E818" t="str">
        <f t="shared" si="92"/>
        <v>C</v>
      </c>
      <c r="F818" t="str">
        <f t="shared" si="94"/>
        <v>K</v>
      </c>
      <c r="G818" s="4">
        <f t="shared" si="95"/>
        <v>3</v>
      </c>
      <c r="H818">
        <f t="shared" si="96"/>
        <v>3</v>
      </c>
      <c r="I818">
        <f t="shared" si="97"/>
        <v>3</v>
      </c>
      <c r="J818">
        <f t="shared" si="98"/>
        <v>11</v>
      </c>
    </row>
    <row r="819" spans="1:10" x14ac:dyDescent="0.25">
      <c r="A819">
        <v>817</v>
      </c>
      <c r="B819" s="4" t="str">
        <f t="shared" si="93"/>
        <v>NOK</v>
      </c>
      <c r="C819" t="str">
        <f t="shared" si="90"/>
        <v>C</v>
      </c>
      <c r="D819" t="str">
        <f t="shared" si="91"/>
        <v>C</v>
      </c>
      <c r="E819" t="str">
        <f t="shared" si="92"/>
        <v>C</v>
      </c>
      <c r="F819" t="str">
        <f t="shared" si="94"/>
        <v>L</v>
      </c>
      <c r="G819" s="4">
        <f t="shared" si="95"/>
        <v>3</v>
      </c>
      <c r="H819">
        <f t="shared" si="96"/>
        <v>3</v>
      </c>
      <c r="I819">
        <f t="shared" si="97"/>
        <v>3</v>
      </c>
      <c r="J819">
        <f t="shared" si="98"/>
        <v>12</v>
      </c>
    </row>
    <row r="820" spans="1:10" x14ac:dyDescent="0.25">
      <c r="A820">
        <v>818</v>
      </c>
      <c r="B820" s="4" t="str">
        <f t="shared" si="93"/>
        <v>NOK</v>
      </c>
      <c r="C820" t="str">
        <f t="shared" ref="C820:C883" si="99">IF(G820=1,"A",IF(G820=2,"B",IF(G820=3,"C",IF(G820=4,"D",IF(G820=5,"E","ERRO")))))</f>
        <v>C</v>
      </c>
      <c r="D820" t="str">
        <f t="shared" ref="D820:D883" si="100">IF(H820=1,"A",IF(H820=2,"B",IF(H820=3,"C",IF(H820=4,"D",IF(H820=5,"E","ERRO")))))</f>
        <v>C</v>
      </c>
      <c r="E820" t="str">
        <f t="shared" ref="E820:E883" si="101">IF(I820=1,"A",IF(I820=2,"B",IF(I820=3,"C",IF(I820=4,"D",IF(I820=5,"E","ERRO")))))</f>
        <v>C</v>
      </c>
      <c r="F820" t="str">
        <f t="shared" si="94"/>
        <v>M</v>
      </c>
      <c r="G820" s="4">
        <f t="shared" si="95"/>
        <v>3</v>
      </c>
      <c r="H820">
        <f t="shared" si="96"/>
        <v>3</v>
      </c>
      <c r="I820">
        <f t="shared" si="97"/>
        <v>3</v>
      </c>
      <c r="J820">
        <f t="shared" si="98"/>
        <v>13</v>
      </c>
    </row>
    <row r="821" spans="1:10" x14ac:dyDescent="0.25">
      <c r="A821">
        <v>819</v>
      </c>
      <c r="B821" s="4" t="str">
        <f t="shared" si="93"/>
        <v>NOK</v>
      </c>
      <c r="C821" t="str">
        <f t="shared" si="99"/>
        <v>C</v>
      </c>
      <c r="D821" t="str">
        <f t="shared" si="100"/>
        <v>C</v>
      </c>
      <c r="E821" t="str">
        <f t="shared" si="101"/>
        <v>D</v>
      </c>
      <c r="F821" t="str">
        <f t="shared" si="94"/>
        <v>A</v>
      </c>
      <c r="G821" s="4">
        <f t="shared" si="95"/>
        <v>3</v>
      </c>
      <c r="H821">
        <f t="shared" si="96"/>
        <v>3</v>
      </c>
      <c r="I821">
        <f t="shared" si="97"/>
        <v>4</v>
      </c>
      <c r="J821">
        <f t="shared" si="98"/>
        <v>1</v>
      </c>
    </row>
    <row r="822" spans="1:10" x14ac:dyDescent="0.25">
      <c r="A822">
        <v>820</v>
      </c>
      <c r="B822" s="4" t="str">
        <f t="shared" si="93"/>
        <v>NOK</v>
      </c>
      <c r="C822" t="str">
        <f t="shared" si="99"/>
        <v>C</v>
      </c>
      <c r="D822" t="str">
        <f t="shared" si="100"/>
        <v>C</v>
      </c>
      <c r="E822" t="str">
        <f t="shared" si="101"/>
        <v>D</v>
      </c>
      <c r="F822" t="str">
        <f t="shared" si="94"/>
        <v>B</v>
      </c>
      <c r="G822" s="4">
        <f t="shared" si="95"/>
        <v>3</v>
      </c>
      <c r="H822">
        <f t="shared" si="96"/>
        <v>3</v>
      </c>
      <c r="I822">
        <f t="shared" si="97"/>
        <v>4</v>
      </c>
      <c r="J822">
        <f t="shared" si="98"/>
        <v>2</v>
      </c>
    </row>
    <row r="823" spans="1:10" x14ac:dyDescent="0.25">
      <c r="A823">
        <v>821</v>
      </c>
      <c r="B823" s="4" t="str">
        <f t="shared" si="93"/>
        <v>NOK</v>
      </c>
      <c r="C823" t="str">
        <f t="shared" si="99"/>
        <v>C</v>
      </c>
      <c r="D823" t="str">
        <f t="shared" si="100"/>
        <v>C</v>
      </c>
      <c r="E823" t="str">
        <f t="shared" si="101"/>
        <v>D</v>
      </c>
      <c r="F823" t="str">
        <f t="shared" si="94"/>
        <v>C</v>
      </c>
      <c r="G823" s="4">
        <f t="shared" si="95"/>
        <v>3</v>
      </c>
      <c r="H823">
        <f t="shared" si="96"/>
        <v>3</v>
      </c>
      <c r="I823">
        <f t="shared" si="97"/>
        <v>4</v>
      </c>
      <c r="J823">
        <f t="shared" si="98"/>
        <v>3</v>
      </c>
    </row>
    <row r="824" spans="1:10" x14ac:dyDescent="0.25">
      <c r="A824">
        <v>822</v>
      </c>
      <c r="B824" s="4" t="str">
        <f t="shared" si="93"/>
        <v>NOK</v>
      </c>
      <c r="C824" t="str">
        <f t="shared" si="99"/>
        <v>C</v>
      </c>
      <c r="D824" t="str">
        <f t="shared" si="100"/>
        <v>C</v>
      </c>
      <c r="E824" t="str">
        <f t="shared" si="101"/>
        <v>D</v>
      </c>
      <c r="F824" t="str">
        <f t="shared" si="94"/>
        <v>D</v>
      </c>
      <c r="G824" s="4">
        <f t="shared" si="95"/>
        <v>3</v>
      </c>
      <c r="H824">
        <f t="shared" si="96"/>
        <v>3</v>
      </c>
      <c r="I824">
        <f t="shared" si="97"/>
        <v>4</v>
      </c>
      <c r="J824">
        <f t="shared" si="98"/>
        <v>4</v>
      </c>
    </row>
    <row r="825" spans="1:10" x14ac:dyDescent="0.25">
      <c r="A825">
        <v>823</v>
      </c>
      <c r="B825" s="4" t="str">
        <f t="shared" si="93"/>
        <v>NOK</v>
      </c>
      <c r="C825" t="str">
        <f t="shared" si="99"/>
        <v>C</v>
      </c>
      <c r="D825" t="str">
        <f t="shared" si="100"/>
        <v>C</v>
      </c>
      <c r="E825" t="str">
        <f t="shared" si="101"/>
        <v>D</v>
      </c>
      <c r="F825" t="str">
        <f t="shared" si="94"/>
        <v>E</v>
      </c>
      <c r="G825" s="4">
        <f t="shared" si="95"/>
        <v>3</v>
      </c>
      <c r="H825">
        <f t="shared" si="96"/>
        <v>3</v>
      </c>
      <c r="I825">
        <f t="shared" si="97"/>
        <v>4</v>
      </c>
      <c r="J825">
        <f t="shared" si="98"/>
        <v>5</v>
      </c>
    </row>
    <row r="826" spans="1:10" x14ac:dyDescent="0.25">
      <c r="A826">
        <v>824</v>
      </c>
      <c r="B826" s="4" t="str">
        <f t="shared" si="93"/>
        <v>NOK</v>
      </c>
      <c r="C826" t="str">
        <f t="shared" si="99"/>
        <v>C</v>
      </c>
      <c r="D826" t="str">
        <f t="shared" si="100"/>
        <v>C</v>
      </c>
      <c r="E826" t="str">
        <f t="shared" si="101"/>
        <v>D</v>
      </c>
      <c r="F826" t="str">
        <f t="shared" si="94"/>
        <v>F</v>
      </c>
      <c r="G826" s="4">
        <f t="shared" si="95"/>
        <v>3</v>
      </c>
      <c r="H826">
        <f t="shared" si="96"/>
        <v>3</v>
      </c>
      <c r="I826">
        <f t="shared" si="97"/>
        <v>4</v>
      </c>
      <c r="J826">
        <f t="shared" si="98"/>
        <v>6</v>
      </c>
    </row>
    <row r="827" spans="1:10" x14ac:dyDescent="0.25">
      <c r="A827">
        <v>825</v>
      </c>
      <c r="B827" s="4" t="str">
        <f t="shared" si="93"/>
        <v>NOK</v>
      </c>
      <c r="C827" t="str">
        <f t="shared" si="99"/>
        <v>C</v>
      </c>
      <c r="D827" t="str">
        <f t="shared" si="100"/>
        <v>C</v>
      </c>
      <c r="E827" t="str">
        <f t="shared" si="101"/>
        <v>D</v>
      </c>
      <c r="F827" t="str">
        <f t="shared" si="94"/>
        <v>G</v>
      </c>
      <c r="G827" s="4">
        <f t="shared" si="95"/>
        <v>3</v>
      </c>
      <c r="H827">
        <f t="shared" si="96"/>
        <v>3</v>
      </c>
      <c r="I827">
        <f t="shared" si="97"/>
        <v>4</v>
      </c>
      <c r="J827">
        <f t="shared" si="98"/>
        <v>7</v>
      </c>
    </row>
    <row r="828" spans="1:10" x14ac:dyDescent="0.25">
      <c r="A828">
        <v>826</v>
      </c>
      <c r="B828" s="4" t="str">
        <f t="shared" si="93"/>
        <v>OK</v>
      </c>
      <c r="C828" t="str">
        <f t="shared" si="99"/>
        <v>C</v>
      </c>
      <c r="D828" t="str">
        <f t="shared" si="100"/>
        <v>C</v>
      </c>
      <c r="E828" t="str">
        <f t="shared" si="101"/>
        <v>D</v>
      </c>
      <c r="F828" t="str">
        <f t="shared" si="94"/>
        <v>H</v>
      </c>
      <c r="G828" s="4">
        <f t="shared" si="95"/>
        <v>3</v>
      </c>
      <c r="H828">
        <f t="shared" si="96"/>
        <v>3</v>
      </c>
      <c r="I828">
        <f t="shared" si="97"/>
        <v>4</v>
      </c>
      <c r="J828">
        <f t="shared" si="98"/>
        <v>8</v>
      </c>
    </row>
    <row r="829" spans="1:10" x14ac:dyDescent="0.25">
      <c r="A829">
        <v>827</v>
      </c>
      <c r="B829" s="4" t="str">
        <f t="shared" si="93"/>
        <v>NOK</v>
      </c>
      <c r="C829" t="str">
        <f t="shared" si="99"/>
        <v>C</v>
      </c>
      <c r="D829" t="str">
        <f t="shared" si="100"/>
        <v>C</v>
      </c>
      <c r="E829" t="str">
        <f t="shared" si="101"/>
        <v>D</v>
      </c>
      <c r="F829" t="str">
        <f t="shared" si="94"/>
        <v>I</v>
      </c>
      <c r="G829" s="4">
        <f t="shared" si="95"/>
        <v>3</v>
      </c>
      <c r="H829">
        <f t="shared" si="96"/>
        <v>3</v>
      </c>
      <c r="I829">
        <f t="shared" si="97"/>
        <v>4</v>
      </c>
      <c r="J829">
        <f t="shared" si="98"/>
        <v>9</v>
      </c>
    </row>
    <row r="830" spans="1:10" x14ac:dyDescent="0.25">
      <c r="A830">
        <v>828</v>
      </c>
      <c r="B830" s="4" t="str">
        <f t="shared" si="93"/>
        <v>NOK</v>
      </c>
      <c r="C830" t="str">
        <f t="shared" si="99"/>
        <v>C</v>
      </c>
      <c r="D830" t="str">
        <f t="shared" si="100"/>
        <v>C</v>
      </c>
      <c r="E830" t="str">
        <f t="shared" si="101"/>
        <v>D</v>
      </c>
      <c r="F830" t="str">
        <f t="shared" si="94"/>
        <v>J</v>
      </c>
      <c r="G830" s="4">
        <f t="shared" si="95"/>
        <v>3</v>
      </c>
      <c r="H830">
        <f t="shared" si="96"/>
        <v>3</v>
      </c>
      <c r="I830">
        <f t="shared" si="97"/>
        <v>4</v>
      </c>
      <c r="J830">
        <f t="shared" si="98"/>
        <v>10</v>
      </c>
    </row>
    <row r="831" spans="1:10" x14ac:dyDescent="0.25">
      <c r="A831">
        <v>829</v>
      </c>
      <c r="B831" s="4" t="str">
        <f t="shared" si="93"/>
        <v>NOK</v>
      </c>
      <c r="C831" t="str">
        <f t="shared" si="99"/>
        <v>C</v>
      </c>
      <c r="D831" t="str">
        <f t="shared" si="100"/>
        <v>C</v>
      </c>
      <c r="E831" t="str">
        <f t="shared" si="101"/>
        <v>D</v>
      </c>
      <c r="F831" t="str">
        <f t="shared" si="94"/>
        <v>K</v>
      </c>
      <c r="G831" s="4">
        <f t="shared" si="95"/>
        <v>3</v>
      </c>
      <c r="H831">
        <f t="shared" si="96"/>
        <v>3</v>
      </c>
      <c r="I831">
        <f t="shared" si="97"/>
        <v>4</v>
      </c>
      <c r="J831">
        <f t="shared" si="98"/>
        <v>11</v>
      </c>
    </row>
    <row r="832" spans="1:10" x14ac:dyDescent="0.25">
      <c r="A832">
        <v>830</v>
      </c>
      <c r="B832" s="4" t="str">
        <f t="shared" si="93"/>
        <v>NOK</v>
      </c>
      <c r="C832" t="str">
        <f t="shared" si="99"/>
        <v>C</v>
      </c>
      <c r="D832" t="str">
        <f t="shared" si="100"/>
        <v>C</v>
      </c>
      <c r="E832" t="str">
        <f t="shared" si="101"/>
        <v>D</v>
      </c>
      <c r="F832" t="str">
        <f t="shared" si="94"/>
        <v>L</v>
      </c>
      <c r="G832" s="4">
        <f t="shared" si="95"/>
        <v>3</v>
      </c>
      <c r="H832">
        <f t="shared" si="96"/>
        <v>3</v>
      </c>
      <c r="I832">
        <f t="shared" si="97"/>
        <v>4</v>
      </c>
      <c r="J832">
        <f t="shared" si="98"/>
        <v>12</v>
      </c>
    </row>
    <row r="833" spans="1:10" x14ac:dyDescent="0.25">
      <c r="A833">
        <v>831</v>
      </c>
      <c r="B833" s="4" t="str">
        <f t="shared" si="93"/>
        <v>NOK</v>
      </c>
      <c r="C833" t="str">
        <f t="shared" si="99"/>
        <v>C</v>
      </c>
      <c r="D833" t="str">
        <f t="shared" si="100"/>
        <v>C</v>
      </c>
      <c r="E833" t="str">
        <f t="shared" si="101"/>
        <v>D</v>
      </c>
      <c r="F833" t="str">
        <f t="shared" si="94"/>
        <v>M</v>
      </c>
      <c r="G833" s="4">
        <f t="shared" si="95"/>
        <v>3</v>
      </c>
      <c r="H833">
        <f t="shared" si="96"/>
        <v>3</v>
      </c>
      <c r="I833">
        <f t="shared" si="97"/>
        <v>4</v>
      </c>
      <c r="J833">
        <f t="shared" si="98"/>
        <v>13</v>
      </c>
    </row>
    <row r="834" spans="1:10" x14ac:dyDescent="0.25">
      <c r="A834">
        <v>832</v>
      </c>
      <c r="B834" s="4" t="str">
        <f t="shared" ref="B834:B897" si="102">IF(ROUND(_xlfn.XLOOKUP(C834,$U$1:$U$5,$T$1:$T$5,,0,1)+_xlfn.XLOOKUP(D834,$W$1:$W$5,$V$1:$V$5,,0,1)+_xlfn.XLOOKUP(E834,$Y$1:$Y$5,$X$1:$X$5,,0,1)-_xlfn.XLOOKUP(F834,$AA$1:$AA$13,$Z$1:$Z$13,,0,1),3)=0.325,"OK","NOK")</f>
        <v>NOK</v>
      </c>
      <c r="C834" t="str">
        <f t="shared" si="99"/>
        <v>C</v>
      </c>
      <c r="D834" t="str">
        <f t="shared" si="100"/>
        <v>C</v>
      </c>
      <c r="E834" t="str">
        <f t="shared" si="101"/>
        <v>E</v>
      </c>
      <c r="F834" t="str">
        <f t="shared" ref="F834:F897" si="103">IF(J834=1,"A",IF(J834=2,"B",IF(J834=3,"C",IF(J834=4,"D",IF(J834=5,"E",IF(J834=6,"F",IF(J834=7,"G",IF(J834=8,"H",IF(J834=9,"I",IF(J834=10,"J",IF(J834=11,"K",IF(J834=12,"L",IF(J834=13,"M","ERRO")))))))))))))</f>
        <v>A</v>
      </c>
      <c r="G834" s="4">
        <f t="shared" ref="G834:G897" si="104">INT($A834/325)+1</f>
        <v>3</v>
      </c>
      <c r="H834">
        <f t="shared" ref="H834:H897" si="105">INT(MOD($A834,325)/65)+1</f>
        <v>3</v>
      </c>
      <c r="I834">
        <f t="shared" ref="I834:I897" si="106">INT(MOD($A834,65)/13)+1</f>
        <v>5</v>
      </c>
      <c r="J834">
        <f t="shared" ref="J834:J897" si="107">MOD($A834,13)+1</f>
        <v>1</v>
      </c>
    </row>
    <row r="835" spans="1:10" x14ac:dyDescent="0.25">
      <c r="A835">
        <v>833</v>
      </c>
      <c r="B835" s="4" t="str">
        <f t="shared" si="102"/>
        <v>NOK</v>
      </c>
      <c r="C835" t="str">
        <f t="shared" si="99"/>
        <v>C</v>
      </c>
      <c r="D835" t="str">
        <f t="shared" si="100"/>
        <v>C</v>
      </c>
      <c r="E835" t="str">
        <f t="shared" si="101"/>
        <v>E</v>
      </c>
      <c r="F835" t="str">
        <f t="shared" si="103"/>
        <v>B</v>
      </c>
      <c r="G835" s="4">
        <f t="shared" si="104"/>
        <v>3</v>
      </c>
      <c r="H835">
        <f t="shared" si="105"/>
        <v>3</v>
      </c>
      <c r="I835">
        <f t="shared" si="106"/>
        <v>5</v>
      </c>
      <c r="J835">
        <f t="shared" si="107"/>
        <v>2</v>
      </c>
    </row>
    <row r="836" spans="1:10" x14ac:dyDescent="0.25">
      <c r="A836">
        <v>834</v>
      </c>
      <c r="B836" s="4" t="str">
        <f t="shared" si="102"/>
        <v>NOK</v>
      </c>
      <c r="C836" t="str">
        <f t="shared" si="99"/>
        <v>C</v>
      </c>
      <c r="D836" t="str">
        <f t="shared" si="100"/>
        <v>C</v>
      </c>
      <c r="E836" t="str">
        <f t="shared" si="101"/>
        <v>E</v>
      </c>
      <c r="F836" t="str">
        <f t="shared" si="103"/>
        <v>C</v>
      </c>
      <c r="G836" s="4">
        <f t="shared" si="104"/>
        <v>3</v>
      </c>
      <c r="H836">
        <f t="shared" si="105"/>
        <v>3</v>
      </c>
      <c r="I836">
        <f t="shared" si="106"/>
        <v>5</v>
      </c>
      <c r="J836">
        <f t="shared" si="107"/>
        <v>3</v>
      </c>
    </row>
    <row r="837" spans="1:10" x14ac:dyDescent="0.25">
      <c r="A837">
        <v>835</v>
      </c>
      <c r="B837" s="4" t="str">
        <f t="shared" si="102"/>
        <v>NOK</v>
      </c>
      <c r="C837" t="str">
        <f t="shared" si="99"/>
        <v>C</v>
      </c>
      <c r="D837" t="str">
        <f t="shared" si="100"/>
        <v>C</v>
      </c>
      <c r="E837" t="str">
        <f t="shared" si="101"/>
        <v>E</v>
      </c>
      <c r="F837" t="str">
        <f t="shared" si="103"/>
        <v>D</v>
      </c>
      <c r="G837" s="4">
        <f t="shared" si="104"/>
        <v>3</v>
      </c>
      <c r="H837">
        <f t="shared" si="105"/>
        <v>3</v>
      </c>
      <c r="I837">
        <f t="shared" si="106"/>
        <v>5</v>
      </c>
      <c r="J837">
        <f t="shared" si="107"/>
        <v>4</v>
      </c>
    </row>
    <row r="838" spans="1:10" x14ac:dyDescent="0.25">
      <c r="A838">
        <v>836</v>
      </c>
      <c r="B838" s="4" t="str">
        <f t="shared" si="102"/>
        <v>NOK</v>
      </c>
      <c r="C838" t="str">
        <f t="shared" si="99"/>
        <v>C</v>
      </c>
      <c r="D838" t="str">
        <f t="shared" si="100"/>
        <v>C</v>
      </c>
      <c r="E838" t="str">
        <f t="shared" si="101"/>
        <v>E</v>
      </c>
      <c r="F838" t="str">
        <f t="shared" si="103"/>
        <v>E</v>
      </c>
      <c r="G838" s="4">
        <f t="shared" si="104"/>
        <v>3</v>
      </c>
      <c r="H838">
        <f t="shared" si="105"/>
        <v>3</v>
      </c>
      <c r="I838">
        <f t="shared" si="106"/>
        <v>5</v>
      </c>
      <c r="J838">
        <f t="shared" si="107"/>
        <v>5</v>
      </c>
    </row>
    <row r="839" spans="1:10" x14ac:dyDescent="0.25">
      <c r="A839">
        <v>837</v>
      </c>
      <c r="B839" s="4" t="str">
        <f t="shared" si="102"/>
        <v>NOK</v>
      </c>
      <c r="C839" t="str">
        <f t="shared" si="99"/>
        <v>C</v>
      </c>
      <c r="D839" t="str">
        <f t="shared" si="100"/>
        <v>C</v>
      </c>
      <c r="E839" t="str">
        <f t="shared" si="101"/>
        <v>E</v>
      </c>
      <c r="F839" t="str">
        <f t="shared" si="103"/>
        <v>F</v>
      </c>
      <c r="G839" s="4">
        <f t="shared" si="104"/>
        <v>3</v>
      </c>
      <c r="H839">
        <f t="shared" si="105"/>
        <v>3</v>
      </c>
      <c r="I839">
        <f t="shared" si="106"/>
        <v>5</v>
      </c>
      <c r="J839">
        <f t="shared" si="107"/>
        <v>6</v>
      </c>
    </row>
    <row r="840" spans="1:10" x14ac:dyDescent="0.25">
      <c r="A840">
        <v>838</v>
      </c>
      <c r="B840" s="4" t="str">
        <f t="shared" si="102"/>
        <v>NOK</v>
      </c>
      <c r="C840" t="str">
        <f t="shared" si="99"/>
        <v>C</v>
      </c>
      <c r="D840" t="str">
        <f t="shared" si="100"/>
        <v>C</v>
      </c>
      <c r="E840" t="str">
        <f t="shared" si="101"/>
        <v>E</v>
      </c>
      <c r="F840" t="str">
        <f t="shared" si="103"/>
        <v>G</v>
      </c>
      <c r="G840" s="4">
        <f t="shared" si="104"/>
        <v>3</v>
      </c>
      <c r="H840">
        <f t="shared" si="105"/>
        <v>3</v>
      </c>
      <c r="I840">
        <f t="shared" si="106"/>
        <v>5</v>
      </c>
      <c r="J840">
        <f t="shared" si="107"/>
        <v>7</v>
      </c>
    </row>
    <row r="841" spans="1:10" x14ac:dyDescent="0.25">
      <c r="A841">
        <v>839</v>
      </c>
      <c r="B841" s="4" t="str">
        <f t="shared" si="102"/>
        <v>NOK</v>
      </c>
      <c r="C841" t="str">
        <f t="shared" si="99"/>
        <v>C</v>
      </c>
      <c r="D841" t="str">
        <f t="shared" si="100"/>
        <v>C</v>
      </c>
      <c r="E841" t="str">
        <f t="shared" si="101"/>
        <v>E</v>
      </c>
      <c r="F841" t="str">
        <f t="shared" si="103"/>
        <v>H</v>
      </c>
      <c r="G841" s="4">
        <f t="shared" si="104"/>
        <v>3</v>
      </c>
      <c r="H841">
        <f t="shared" si="105"/>
        <v>3</v>
      </c>
      <c r="I841">
        <f t="shared" si="106"/>
        <v>5</v>
      </c>
      <c r="J841">
        <f t="shared" si="107"/>
        <v>8</v>
      </c>
    </row>
    <row r="842" spans="1:10" x14ac:dyDescent="0.25">
      <c r="A842">
        <v>840</v>
      </c>
      <c r="B842" s="4" t="str">
        <f t="shared" si="102"/>
        <v>OK</v>
      </c>
      <c r="C842" t="str">
        <f t="shared" si="99"/>
        <v>C</v>
      </c>
      <c r="D842" t="str">
        <f t="shared" si="100"/>
        <v>C</v>
      </c>
      <c r="E842" t="str">
        <f t="shared" si="101"/>
        <v>E</v>
      </c>
      <c r="F842" t="str">
        <f t="shared" si="103"/>
        <v>I</v>
      </c>
      <c r="G842" s="4">
        <f t="shared" si="104"/>
        <v>3</v>
      </c>
      <c r="H842">
        <f t="shared" si="105"/>
        <v>3</v>
      </c>
      <c r="I842">
        <f t="shared" si="106"/>
        <v>5</v>
      </c>
      <c r="J842">
        <f t="shared" si="107"/>
        <v>9</v>
      </c>
    </row>
    <row r="843" spans="1:10" x14ac:dyDescent="0.25">
      <c r="A843">
        <v>841</v>
      </c>
      <c r="B843" s="4" t="str">
        <f t="shared" si="102"/>
        <v>NOK</v>
      </c>
      <c r="C843" t="str">
        <f t="shared" si="99"/>
        <v>C</v>
      </c>
      <c r="D843" t="str">
        <f t="shared" si="100"/>
        <v>C</v>
      </c>
      <c r="E843" t="str">
        <f t="shared" si="101"/>
        <v>E</v>
      </c>
      <c r="F843" t="str">
        <f t="shared" si="103"/>
        <v>J</v>
      </c>
      <c r="G843" s="4">
        <f t="shared" si="104"/>
        <v>3</v>
      </c>
      <c r="H843">
        <f t="shared" si="105"/>
        <v>3</v>
      </c>
      <c r="I843">
        <f t="shared" si="106"/>
        <v>5</v>
      </c>
      <c r="J843">
        <f t="shared" si="107"/>
        <v>10</v>
      </c>
    </row>
    <row r="844" spans="1:10" x14ac:dyDescent="0.25">
      <c r="A844">
        <v>842</v>
      </c>
      <c r="B844" s="4" t="str">
        <f t="shared" si="102"/>
        <v>NOK</v>
      </c>
      <c r="C844" t="str">
        <f t="shared" si="99"/>
        <v>C</v>
      </c>
      <c r="D844" t="str">
        <f t="shared" si="100"/>
        <v>C</v>
      </c>
      <c r="E844" t="str">
        <f t="shared" si="101"/>
        <v>E</v>
      </c>
      <c r="F844" t="str">
        <f t="shared" si="103"/>
        <v>K</v>
      </c>
      <c r="G844" s="4">
        <f t="shared" si="104"/>
        <v>3</v>
      </c>
      <c r="H844">
        <f t="shared" si="105"/>
        <v>3</v>
      </c>
      <c r="I844">
        <f t="shared" si="106"/>
        <v>5</v>
      </c>
      <c r="J844">
        <f t="shared" si="107"/>
        <v>11</v>
      </c>
    </row>
    <row r="845" spans="1:10" x14ac:dyDescent="0.25">
      <c r="A845">
        <v>843</v>
      </c>
      <c r="B845" s="4" t="str">
        <f t="shared" si="102"/>
        <v>NOK</v>
      </c>
      <c r="C845" t="str">
        <f t="shared" si="99"/>
        <v>C</v>
      </c>
      <c r="D845" t="str">
        <f t="shared" si="100"/>
        <v>C</v>
      </c>
      <c r="E845" t="str">
        <f t="shared" si="101"/>
        <v>E</v>
      </c>
      <c r="F845" t="str">
        <f t="shared" si="103"/>
        <v>L</v>
      </c>
      <c r="G845" s="4">
        <f t="shared" si="104"/>
        <v>3</v>
      </c>
      <c r="H845">
        <f t="shared" si="105"/>
        <v>3</v>
      </c>
      <c r="I845">
        <f t="shared" si="106"/>
        <v>5</v>
      </c>
      <c r="J845">
        <f t="shared" si="107"/>
        <v>12</v>
      </c>
    </row>
    <row r="846" spans="1:10" x14ac:dyDescent="0.25">
      <c r="A846">
        <v>844</v>
      </c>
      <c r="B846" s="4" t="str">
        <f t="shared" si="102"/>
        <v>NOK</v>
      </c>
      <c r="C846" t="str">
        <f t="shared" si="99"/>
        <v>C</v>
      </c>
      <c r="D846" t="str">
        <f t="shared" si="100"/>
        <v>C</v>
      </c>
      <c r="E846" t="str">
        <f t="shared" si="101"/>
        <v>E</v>
      </c>
      <c r="F846" t="str">
        <f t="shared" si="103"/>
        <v>M</v>
      </c>
      <c r="G846" s="4">
        <f t="shared" si="104"/>
        <v>3</v>
      </c>
      <c r="H846">
        <f t="shared" si="105"/>
        <v>3</v>
      </c>
      <c r="I846">
        <f t="shared" si="106"/>
        <v>5</v>
      </c>
      <c r="J846">
        <f t="shared" si="107"/>
        <v>13</v>
      </c>
    </row>
    <row r="847" spans="1:10" x14ac:dyDescent="0.25">
      <c r="A847">
        <v>845</v>
      </c>
      <c r="B847" s="4" t="str">
        <f t="shared" si="102"/>
        <v>NOK</v>
      </c>
      <c r="C847" t="str">
        <f t="shared" si="99"/>
        <v>C</v>
      </c>
      <c r="D847" t="str">
        <f t="shared" si="100"/>
        <v>D</v>
      </c>
      <c r="E847" t="str">
        <f t="shared" si="101"/>
        <v>A</v>
      </c>
      <c r="F847" t="str">
        <f t="shared" si="103"/>
        <v>A</v>
      </c>
      <c r="G847" s="4">
        <f t="shared" si="104"/>
        <v>3</v>
      </c>
      <c r="H847">
        <f t="shared" si="105"/>
        <v>4</v>
      </c>
      <c r="I847">
        <f t="shared" si="106"/>
        <v>1</v>
      </c>
      <c r="J847">
        <f t="shared" si="107"/>
        <v>1</v>
      </c>
    </row>
    <row r="848" spans="1:10" x14ac:dyDescent="0.25">
      <c r="A848">
        <v>846</v>
      </c>
      <c r="B848" s="4" t="str">
        <f t="shared" si="102"/>
        <v>NOK</v>
      </c>
      <c r="C848" t="str">
        <f t="shared" si="99"/>
        <v>C</v>
      </c>
      <c r="D848" t="str">
        <f t="shared" si="100"/>
        <v>D</v>
      </c>
      <c r="E848" t="str">
        <f t="shared" si="101"/>
        <v>A</v>
      </c>
      <c r="F848" t="str">
        <f t="shared" si="103"/>
        <v>B</v>
      </c>
      <c r="G848" s="4">
        <f t="shared" si="104"/>
        <v>3</v>
      </c>
      <c r="H848">
        <f t="shared" si="105"/>
        <v>4</v>
      </c>
      <c r="I848">
        <f t="shared" si="106"/>
        <v>1</v>
      </c>
      <c r="J848">
        <f t="shared" si="107"/>
        <v>2</v>
      </c>
    </row>
    <row r="849" spans="1:10" x14ac:dyDescent="0.25">
      <c r="A849">
        <v>847</v>
      </c>
      <c r="B849" s="4" t="str">
        <f t="shared" si="102"/>
        <v>NOK</v>
      </c>
      <c r="C849" t="str">
        <f t="shared" si="99"/>
        <v>C</v>
      </c>
      <c r="D849" t="str">
        <f t="shared" si="100"/>
        <v>D</v>
      </c>
      <c r="E849" t="str">
        <f t="shared" si="101"/>
        <v>A</v>
      </c>
      <c r="F849" t="str">
        <f t="shared" si="103"/>
        <v>C</v>
      </c>
      <c r="G849" s="4">
        <f t="shared" si="104"/>
        <v>3</v>
      </c>
      <c r="H849">
        <f t="shared" si="105"/>
        <v>4</v>
      </c>
      <c r="I849">
        <f t="shared" si="106"/>
        <v>1</v>
      </c>
      <c r="J849">
        <f t="shared" si="107"/>
        <v>3</v>
      </c>
    </row>
    <row r="850" spans="1:10" x14ac:dyDescent="0.25">
      <c r="A850">
        <v>848</v>
      </c>
      <c r="B850" s="4" t="str">
        <f t="shared" si="102"/>
        <v>NOK</v>
      </c>
      <c r="C850" t="str">
        <f t="shared" si="99"/>
        <v>C</v>
      </c>
      <c r="D850" t="str">
        <f t="shared" si="100"/>
        <v>D</v>
      </c>
      <c r="E850" t="str">
        <f t="shared" si="101"/>
        <v>A</v>
      </c>
      <c r="F850" t="str">
        <f t="shared" si="103"/>
        <v>D</v>
      </c>
      <c r="G850" s="4">
        <f t="shared" si="104"/>
        <v>3</v>
      </c>
      <c r="H850">
        <f t="shared" si="105"/>
        <v>4</v>
      </c>
      <c r="I850">
        <f t="shared" si="106"/>
        <v>1</v>
      </c>
      <c r="J850">
        <f t="shared" si="107"/>
        <v>4</v>
      </c>
    </row>
    <row r="851" spans="1:10" x14ac:dyDescent="0.25">
      <c r="A851">
        <v>849</v>
      </c>
      <c r="B851" s="4" t="str">
        <f t="shared" si="102"/>
        <v>NOK</v>
      </c>
      <c r="C851" t="str">
        <f t="shared" si="99"/>
        <v>C</v>
      </c>
      <c r="D851" t="str">
        <f t="shared" si="100"/>
        <v>D</v>
      </c>
      <c r="E851" t="str">
        <f t="shared" si="101"/>
        <v>A</v>
      </c>
      <c r="F851" t="str">
        <f t="shared" si="103"/>
        <v>E</v>
      </c>
      <c r="G851" s="4">
        <f t="shared" si="104"/>
        <v>3</v>
      </c>
      <c r="H851">
        <f t="shared" si="105"/>
        <v>4</v>
      </c>
      <c r="I851">
        <f t="shared" si="106"/>
        <v>1</v>
      </c>
      <c r="J851">
        <f t="shared" si="107"/>
        <v>5</v>
      </c>
    </row>
    <row r="852" spans="1:10" x14ac:dyDescent="0.25">
      <c r="A852">
        <v>850</v>
      </c>
      <c r="B852" s="4" t="str">
        <f t="shared" si="102"/>
        <v>OK</v>
      </c>
      <c r="C852" t="str">
        <f t="shared" si="99"/>
        <v>C</v>
      </c>
      <c r="D852" t="str">
        <f t="shared" si="100"/>
        <v>D</v>
      </c>
      <c r="E852" t="str">
        <f t="shared" si="101"/>
        <v>A</v>
      </c>
      <c r="F852" t="str">
        <f t="shared" si="103"/>
        <v>F</v>
      </c>
      <c r="G852" s="4">
        <f t="shared" si="104"/>
        <v>3</v>
      </c>
      <c r="H852">
        <f t="shared" si="105"/>
        <v>4</v>
      </c>
      <c r="I852">
        <f t="shared" si="106"/>
        <v>1</v>
      </c>
      <c r="J852">
        <f t="shared" si="107"/>
        <v>6</v>
      </c>
    </row>
    <row r="853" spans="1:10" x14ac:dyDescent="0.25">
      <c r="A853">
        <v>851</v>
      </c>
      <c r="B853" s="4" t="str">
        <f t="shared" si="102"/>
        <v>NOK</v>
      </c>
      <c r="C853" t="str">
        <f t="shared" si="99"/>
        <v>C</v>
      </c>
      <c r="D853" t="str">
        <f t="shared" si="100"/>
        <v>D</v>
      </c>
      <c r="E853" t="str">
        <f t="shared" si="101"/>
        <v>A</v>
      </c>
      <c r="F853" t="str">
        <f t="shared" si="103"/>
        <v>G</v>
      </c>
      <c r="G853" s="4">
        <f t="shared" si="104"/>
        <v>3</v>
      </c>
      <c r="H853">
        <f t="shared" si="105"/>
        <v>4</v>
      </c>
      <c r="I853">
        <f t="shared" si="106"/>
        <v>1</v>
      </c>
      <c r="J853">
        <f t="shared" si="107"/>
        <v>7</v>
      </c>
    </row>
    <row r="854" spans="1:10" x14ac:dyDescent="0.25">
      <c r="A854">
        <v>852</v>
      </c>
      <c r="B854" s="4" t="str">
        <f t="shared" si="102"/>
        <v>NOK</v>
      </c>
      <c r="C854" t="str">
        <f t="shared" si="99"/>
        <v>C</v>
      </c>
      <c r="D854" t="str">
        <f t="shared" si="100"/>
        <v>D</v>
      </c>
      <c r="E854" t="str">
        <f t="shared" si="101"/>
        <v>A</v>
      </c>
      <c r="F854" t="str">
        <f t="shared" si="103"/>
        <v>H</v>
      </c>
      <c r="G854" s="4">
        <f t="shared" si="104"/>
        <v>3</v>
      </c>
      <c r="H854">
        <f t="shared" si="105"/>
        <v>4</v>
      </c>
      <c r="I854">
        <f t="shared" si="106"/>
        <v>1</v>
      </c>
      <c r="J854">
        <f t="shared" si="107"/>
        <v>8</v>
      </c>
    </row>
    <row r="855" spans="1:10" x14ac:dyDescent="0.25">
      <c r="A855">
        <v>853</v>
      </c>
      <c r="B855" s="4" t="str">
        <f t="shared" si="102"/>
        <v>NOK</v>
      </c>
      <c r="C855" t="str">
        <f t="shared" si="99"/>
        <v>C</v>
      </c>
      <c r="D855" t="str">
        <f t="shared" si="100"/>
        <v>D</v>
      </c>
      <c r="E855" t="str">
        <f t="shared" si="101"/>
        <v>A</v>
      </c>
      <c r="F855" t="str">
        <f t="shared" si="103"/>
        <v>I</v>
      </c>
      <c r="G855" s="4">
        <f t="shared" si="104"/>
        <v>3</v>
      </c>
      <c r="H855">
        <f t="shared" si="105"/>
        <v>4</v>
      </c>
      <c r="I855">
        <f t="shared" si="106"/>
        <v>1</v>
      </c>
      <c r="J855">
        <f t="shared" si="107"/>
        <v>9</v>
      </c>
    </row>
    <row r="856" spans="1:10" x14ac:dyDescent="0.25">
      <c r="A856">
        <v>854</v>
      </c>
      <c r="B856" s="4" t="str">
        <f t="shared" si="102"/>
        <v>NOK</v>
      </c>
      <c r="C856" t="str">
        <f t="shared" si="99"/>
        <v>C</v>
      </c>
      <c r="D856" t="str">
        <f t="shared" si="100"/>
        <v>D</v>
      </c>
      <c r="E856" t="str">
        <f t="shared" si="101"/>
        <v>A</v>
      </c>
      <c r="F856" t="str">
        <f t="shared" si="103"/>
        <v>J</v>
      </c>
      <c r="G856" s="4">
        <f t="shared" si="104"/>
        <v>3</v>
      </c>
      <c r="H856">
        <f t="shared" si="105"/>
        <v>4</v>
      </c>
      <c r="I856">
        <f t="shared" si="106"/>
        <v>1</v>
      </c>
      <c r="J856">
        <f t="shared" si="107"/>
        <v>10</v>
      </c>
    </row>
    <row r="857" spans="1:10" x14ac:dyDescent="0.25">
      <c r="A857">
        <v>855</v>
      </c>
      <c r="B857" s="4" t="str">
        <f t="shared" si="102"/>
        <v>NOK</v>
      </c>
      <c r="C857" t="str">
        <f t="shared" si="99"/>
        <v>C</v>
      </c>
      <c r="D857" t="str">
        <f t="shared" si="100"/>
        <v>D</v>
      </c>
      <c r="E857" t="str">
        <f t="shared" si="101"/>
        <v>A</v>
      </c>
      <c r="F857" t="str">
        <f t="shared" si="103"/>
        <v>K</v>
      </c>
      <c r="G857" s="4">
        <f t="shared" si="104"/>
        <v>3</v>
      </c>
      <c r="H857">
        <f t="shared" si="105"/>
        <v>4</v>
      </c>
      <c r="I857">
        <f t="shared" si="106"/>
        <v>1</v>
      </c>
      <c r="J857">
        <f t="shared" si="107"/>
        <v>11</v>
      </c>
    </row>
    <row r="858" spans="1:10" x14ac:dyDescent="0.25">
      <c r="A858">
        <v>856</v>
      </c>
      <c r="B858" s="4" t="str">
        <f t="shared" si="102"/>
        <v>NOK</v>
      </c>
      <c r="C858" t="str">
        <f t="shared" si="99"/>
        <v>C</v>
      </c>
      <c r="D858" t="str">
        <f t="shared" si="100"/>
        <v>D</v>
      </c>
      <c r="E858" t="str">
        <f t="shared" si="101"/>
        <v>A</v>
      </c>
      <c r="F858" t="str">
        <f t="shared" si="103"/>
        <v>L</v>
      </c>
      <c r="G858" s="4">
        <f t="shared" si="104"/>
        <v>3</v>
      </c>
      <c r="H858">
        <f t="shared" si="105"/>
        <v>4</v>
      </c>
      <c r="I858">
        <f t="shared" si="106"/>
        <v>1</v>
      </c>
      <c r="J858">
        <f t="shared" si="107"/>
        <v>12</v>
      </c>
    </row>
    <row r="859" spans="1:10" x14ac:dyDescent="0.25">
      <c r="A859">
        <v>857</v>
      </c>
      <c r="B859" s="4" t="str">
        <f t="shared" si="102"/>
        <v>NOK</v>
      </c>
      <c r="C859" t="str">
        <f t="shared" si="99"/>
        <v>C</v>
      </c>
      <c r="D859" t="str">
        <f t="shared" si="100"/>
        <v>D</v>
      </c>
      <c r="E859" t="str">
        <f t="shared" si="101"/>
        <v>A</v>
      </c>
      <c r="F859" t="str">
        <f t="shared" si="103"/>
        <v>M</v>
      </c>
      <c r="G859" s="4">
        <f t="shared" si="104"/>
        <v>3</v>
      </c>
      <c r="H859">
        <f t="shared" si="105"/>
        <v>4</v>
      </c>
      <c r="I859">
        <f t="shared" si="106"/>
        <v>1</v>
      </c>
      <c r="J859">
        <f t="shared" si="107"/>
        <v>13</v>
      </c>
    </row>
    <row r="860" spans="1:10" x14ac:dyDescent="0.25">
      <c r="A860">
        <v>858</v>
      </c>
      <c r="B860" s="4" t="str">
        <f t="shared" si="102"/>
        <v>NOK</v>
      </c>
      <c r="C860" t="str">
        <f t="shared" si="99"/>
        <v>C</v>
      </c>
      <c r="D860" t="str">
        <f t="shared" si="100"/>
        <v>D</v>
      </c>
      <c r="E860" t="str">
        <f t="shared" si="101"/>
        <v>B</v>
      </c>
      <c r="F860" t="str">
        <f t="shared" si="103"/>
        <v>A</v>
      </c>
      <c r="G860" s="4">
        <f t="shared" si="104"/>
        <v>3</v>
      </c>
      <c r="H860">
        <f t="shared" si="105"/>
        <v>4</v>
      </c>
      <c r="I860">
        <f t="shared" si="106"/>
        <v>2</v>
      </c>
      <c r="J860">
        <f t="shared" si="107"/>
        <v>1</v>
      </c>
    </row>
    <row r="861" spans="1:10" x14ac:dyDescent="0.25">
      <c r="A861">
        <v>859</v>
      </c>
      <c r="B861" s="4" t="str">
        <f t="shared" si="102"/>
        <v>NOK</v>
      </c>
      <c r="C861" t="str">
        <f t="shared" si="99"/>
        <v>C</v>
      </c>
      <c r="D861" t="str">
        <f t="shared" si="100"/>
        <v>D</v>
      </c>
      <c r="E861" t="str">
        <f t="shared" si="101"/>
        <v>B</v>
      </c>
      <c r="F861" t="str">
        <f t="shared" si="103"/>
        <v>B</v>
      </c>
      <c r="G861" s="4">
        <f t="shared" si="104"/>
        <v>3</v>
      </c>
      <c r="H861">
        <f t="shared" si="105"/>
        <v>4</v>
      </c>
      <c r="I861">
        <f t="shared" si="106"/>
        <v>2</v>
      </c>
      <c r="J861">
        <f t="shared" si="107"/>
        <v>2</v>
      </c>
    </row>
    <row r="862" spans="1:10" x14ac:dyDescent="0.25">
      <c r="A862">
        <v>860</v>
      </c>
      <c r="B862" s="4" t="str">
        <f t="shared" si="102"/>
        <v>NOK</v>
      </c>
      <c r="C862" t="str">
        <f t="shared" si="99"/>
        <v>C</v>
      </c>
      <c r="D862" t="str">
        <f t="shared" si="100"/>
        <v>D</v>
      </c>
      <c r="E862" t="str">
        <f t="shared" si="101"/>
        <v>B</v>
      </c>
      <c r="F862" t="str">
        <f t="shared" si="103"/>
        <v>C</v>
      </c>
      <c r="G862" s="4">
        <f t="shared" si="104"/>
        <v>3</v>
      </c>
      <c r="H862">
        <f t="shared" si="105"/>
        <v>4</v>
      </c>
      <c r="I862">
        <f t="shared" si="106"/>
        <v>2</v>
      </c>
      <c r="J862">
        <f t="shared" si="107"/>
        <v>3</v>
      </c>
    </row>
    <row r="863" spans="1:10" x14ac:dyDescent="0.25">
      <c r="A863">
        <v>861</v>
      </c>
      <c r="B863" s="4" t="str">
        <f t="shared" si="102"/>
        <v>NOK</v>
      </c>
      <c r="C863" t="str">
        <f t="shared" si="99"/>
        <v>C</v>
      </c>
      <c r="D863" t="str">
        <f t="shared" si="100"/>
        <v>D</v>
      </c>
      <c r="E863" t="str">
        <f t="shared" si="101"/>
        <v>B</v>
      </c>
      <c r="F863" t="str">
        <f t="shared" si="103"/>
        <v>D</v>
      </c>
      <c r="G863" s="4">
        <f t="shared" si="104"/>
        <v>3</v>
      </c>
      <c r="H863">
        <f t="shared" si="105"/>
        <v>4</v>
      </c>
      <c r="I863">
        <f t="shared" si="106"/>
        <v>2</v>
      </c>
      <c r="J863">
        <f t="shared" si="107"/>
        <v>4</v>
      </c>
    </row>
    <row r="864" spans="1:10" x14ac:dyDescent="0.25">
      <c r="A864">
        <v>862</v>
      </c>
      <c r="B864" s="4" t="str">
        <f t="shared" si="102"/>
        <v>NOK</v>
      </c>
      <c r="C864" t="str">
        <f t="shared" si="99"/>
        <v>C</v>
      </c>
      <c r="D864" t="str">
        <f t="shared" si="100"/>
        <v>D</v>
      </c>
      <c r="E864" t="str">
        <f t="shared" si="101"/>
        <v>B</v>
      </c>
      <c r="F864" t="str">
        <f t="shared" si="103"/>
        <v>E</v>
      </c>
      <c r="G864" s="4">
        <f t="shared" si="104"/>
        <v>3</v>
      </c>
      <c r="H864">
        <f t="shared" si="105"/>
        <v>4</v>
      </c>
      <c r="I864">
        <f t="shared" si="106"/>
        <v>2</v>
      </c>
      <c r="J864">
        <f t="shared" si="107"/>
        <v>5</v>
      </c>
    </row>
    <row r="865" spans="1:10" x14ac:dyDescent="0.25">
      <c r="A865">
        <v>863</v>
      </c>
      <c r="B865" s="4" t="str">
        <f t="shared" si="102"/>
        <v>NOK</v>
      </c>
      <c r="C865" t="str">
        <f t="shared" si="99"/>
        <v>C</v>
      </c>
      <c r="D865" t="str">
        <f t="shared" si="100"/>
        <v>D</v>
      </c>
      <c r="E865" t="str">
        <f t="shared" si="101"/>
        <v>B</v>
      </c>
      <c r="F865" t="str">
        <f t="shared" si="103"/>
        <v>F</v>
      </c>
      <c r="G865" s="4">
        <f t="shared" si="104"/>
        <v>3</v>
      </c>
      <c r="H865">
        <f t="shared" si="105"/>
        <v>4</v>
      </c>
      <c r="I865">
        <f t="shared" si="106"/>
        <v>2</v>
      </c>
      <c r="J865">
        <f t="shared" si="107"/>
        <v>6</v>
      </c>
    </row>
    <row r="866" spans="1:10" x14ac:dyDescent="0.25">
      <c r="A866">
        <v>864</v>
      </c>
      <c r="B866" s="4" t="str">
        <f t="shared" si="102"/>
        <v>OK</v>
      </c>
      <c r="C866" t="str">
        <f t="shared" si="99"/>
        <v>C</v>
      </c>
      <c r="D866" t="str">
        <f t="shared" si="100"/>
        <v>D</v>
      </c>
      <c r="E866" t="str">
        <f t="shared" si="101"/>
        <v>B</v>
      </c>
      <c r="F866" t="str">
        <f t="shared" si="103"/>
        <v>G</v>
      </c>
      <c r="G866" s="4">
        <f t="shared" si="104"/>
        <v>3</v>
      </c>
      <c r="H866">
        <f t="shared" si="105"/>
        <v>4</v>
      </c>
      <c r="I866">
        <f t="shared" si="106"/>
        <v>2</v>
      </c>
      <c r="J866">
        <f t="shared" si="107"/>
        <v>7</v>
      </c>
    </row>
    <row r="867" spans="1:10" x14ac:dyDescent="0.25">
      <c r="A867">
        <v>865</v>
      </c>
      <c r="B867" s="4" t="str">
        <f t="shared" si="102"/>
        <v>NOK</v>
      </c>
      <c r="C867" t="str">
        <f t="shared" si="99"/>
        <v>C</v>
      </c>
      <c r="D867" t="str">
        <f t="shared" si="100"/>
        <v>D</v>
      </c>
      <c r="E867" t="str">
        <f t="shared" si="101"/>
        <v>B</v>
      </c>
      <c r="F867" t="str">
        <f t="shared" si="103"/>
        <v>H</v>
      </c>
      <c r="G867" s="4">
        <f t="shared" si="104"/>
        <v>3</v>
      </c>
      <c r="H867">
        <f t="shared" si="105"/>
        <v>4</v>
      </c>
      <c r="I867">
        <f t="shared" si="106"/>
        <v>2</v>
      </c>
      <c r="J867">
        <f t="shared" si="107"/>
        <v>8</v>
      </c>
    </row>
    <row r="868" spans="1:10" x14ac:dyDescent="0.25">
      <c r="A868">
        <v>866</v>
      </c>
      <c r="B868" s="4" t="str">
        <f t="shared" si="102"/>
        <v>NOK</v>
      </c>
      <c r="C868" t="str">
        <f t="shared" si="99"/>
        <v>C</v>
      </c>
      <c r="D868" t="str">
        <f t="shared" si="100"/>
        <v>D</v>
      </c>
      <c r="E868" t="str">
        <f t="shared" si="101"/>
        <v>B</v>
      </c>
      <c r="F868" t="str">
        <f t="shared" si="103"/>
        <v>I</v>
      </c>
      <c r="G868" s="4">
        <f t="shared" si="104"/>
        <v>3</v>
      </c>
      <c r="H868">
        <f t="shared" si="105"/>
        <v>4</v>
      </c>
      <c r="I868">
        <f t="shared" si="106"/>
        <v>2</v>
      </c>
      <c r="J868">
        <f t="shared" si="107"/>
        <v>9</v>
      </c>
    </row>
    <row r="869" spans="1:10" x14ac:dyDescent="0.25">
      <c r="A869">
        <v>867</v>
      </c>
      <c r="B869" s="4" t="str">
        <f t="shared" si="102"/>
        <v>NOK</v>
      </c>
      <c r="C869" t="str">
        <f t="shared" si="99"/>
        <v>C</v>
      </c>
      <c r="D869" t="str">
        <f t="shared" si="100"/>
        <v>D</v>
      </c>
      <c r="E869" t="str">
        <f t="shared" si="101"/>
        <v>B</v>
      </c>
      <c r="F869" t="str">
        <f t="shared" si="103"/>
        <v>J</v>
      </c>
      <c r="G869" s="4">
        <f t="shared" si="104"/>
        <v>3</v>
      </c>
      <c r="H869">
        <f t="shared" si="105"/>
        <v>4</v>
      </c>
      <c r="I869">
        <f t="shared" si="106"/>
        <v>2</v>
      </c>
      <c r="J869">
        <f t="shared" si="107"/>
        <v>10</v>
      </c>
    </row>
    <row r="870" spans="1:10" x14ac:dyDescent="0.25">
      <c r="A870">
        <v>868</v>
      </c>
      <c r="B870" s="4" t="str">
        <f t="shared" si="102"/>
        <v>NOK</v>
      </c>
      <c r="C870" t="str">
        <f t="shared" si="99"/>
        <v>C</v>
      </c>
      <c r="D870" t="str">
        <f t="shared" si="100"/>
        <v>D</v>
      </c>
      <c r="E870" t="str">
        <f t="shared" si="101"/>
        <v>B</v>
      </c>
      <c r="F870" t="str">
        <f t="shared" si="103"/>
        <v>K</v>
      </c>
      <c r="G870" s="4">
        <f t="shared" si="104"/>
        <v>3</v>
      </c>
      <c r="H870">
        <f t="shared" si="105"/>
        <v>4</v>
      </c>
      <c r="I870">
        <f t="shared" si="106"/>
        <v>2</v>
      </c>
      <c r="J870">
        <f t="shared" si="107"/>
        <v>11</v>
      </c>
    </row>
    <row r="871" spans="1:10" x14ac:dyDescent="0.25">
      <c r="A871">
        <v>869</v>
      </c>
      <c r="B871" s="4" t="str">
        <f t="shared" si="102"/>
        <v>NOK</v>
      </c>
      <c r="C871" t="str">
        <f t="shared" si="99"/>
        <v>C</v>
      </c>
      <c r="D871" t="str">
        <f t="shared" si="100"/>
        <v>D</v>
      </c>
      <c r="E871" t="str">
        <f t="shared" si="101"/>
        <v>B</v>
      </c>
      <c r="F871" t="str">
        <f t="shared" si="103"/>
        <v>L</v>
      </c>
      <c r="G871" s="4">
        <f t="shared" si="104"/>
        <v>3</v>
      </c>
      <c r="H871">
        <f t="shared" si="105"/>
        <v>4</v>
      </c>
      <c r="I871">
        <f t="shared" si="106"/>
        <v>2</v>
      </c>
      <c r="J871">
        <f t="shared" si="107"/>
        <v>12</v>
      </c>
    </row>
    <row r="872" spans="1:10" x14ac:dyDescent="0.25">
      <c r="A872">
        <v>870</v>
      </c>
      <c r="B872" s="4" t="str">
        <f t="shared" si="102"/>
        <v>NOK</v>
      </c>
      <c r="C872" t="str">
        <f t="shared" si="99"/>
        <v>C</v>
      </c>
      <c r="D872" t="str">
        <f t="shared" si="100"/>
        <v>D</v>
      </c>
      <c r="E872" t="str">
        <f t="shared" si="101"/>
        <v>B</v>
      </c>
      <c r="F872" t="str">
        <f t="shared" si="103"/>
        <v>M</v>
      </c>
      <c r="G872" s="4">
        <f t="shared" si="104"/>
        <v>3</v>
      </c>
      <c r="H872">
        <f t="shared" si="105"/>
        <v>4</v>
      </c>
      <c r="I872">
        <f t="shared" si="106"/>
        <v>2</v>
      </c>
      <c r="J872">
        <f t="shared" si="107"/>
        <v>13</v>
      </c>
    </row>
    <row r="873" spans="1:10" x14ac:dyDescent="0.25">
      <c r="A873">
        <v>871</v>
      </c>
      <c r="B873" s="4" t="str">
        <f t="shared" si="102"/>
        <v>NOK</v>
      </c>
      <c r="C873" t="str">
        <f t="shared" si="99"/>
        <v>C</v>
      </c>
      <c r="D873" t="str">
        <f t="shared" si="100"/>
        <v>D</v>
      </c>
      <c r="E873" t="str">
        <f t="shared" si="101"/>
        <v>C</v>
      </c>
      <c r="F873" t="str">
        <f t="shared" si="103"/>
        <v>A</v>
      </c>
      <c r="G873" s="4">
        <f t="shared" si="104"/>
        <v>3</v>
      </c>
      <c r="H873">
        <f t="shared" si="105"/>
        <v>4</v>
      </c>
      <c r="I873">
        <f t="shared" si="106"/>
        <v>3</v>
      </c>
      <c r="J873">
        <f t="shared" si="107"/>
        <v>1</v>
      </c>
    </row>
    <row r="874" spans="1:10" x14ac:dyDescent="0.25">
      <c r="A874">
        <v>872</v>
      </c>
      <c r="B874" s="4" t="str">
        <f t="shared" si="102"/>
        <v>NOK</v>
      </c>
      <c r="C874" t="str">
        <f t="shared" si="99"/>
        <v>C</v>
      </c>
      <c r="D874" t="str">
        <f t="shared" si="100"/>
        <v>D</v>
      </c>
      <c r="E874" t="str">
        <f t="shared" si="101"/>
        <v>C</v>
      </c>
      <c r="F874" t="str">
        <f t="shared" si="103"/>
        <v>B</v>
      </c>
      <c r="G874" s="4">
        <f t="shared" si="104"/>
        <v>3</v>
      </c>
      <c r="H874">
        <f t="shared" si="105"/>
        <v>4</v>
      </c>
      <c r="I874">
        <f t="shared" si="106"/>
        <v>3</v>
      </c>
      <c r="J874">
        <f t="shared" si="107"/>
        <v>2</v>
      </c>
    </row>
    <row r="875" spans="1:10" x14ac:dyDescent="0.25">
      <c r="A875">
        <v>873</v>
      </c>
      <c r="B875" s="4" t="str">
        <f t="shared" si="102"/>
        <v>NOK</v>
      </c>
      <c r="C875" t="str">
        <f t="shared" si="99"/>
        <v>C</v>
      </c>
      <c r="D875" t="str">
        <f t="shared" si="100"/>
        <v>D</v>
      </c>
      <c r="E875" t="str">
        <f t="shared" si="101"/>
        <v>C</v>
      </c>
      <c r="F875" t="str">
        <f t="shared" si="103"/>
        <v>C</v>
      </c>
      <c r="G875" s="4">
        <f t="shared" si="104"/>
        <v>3</v>
      </c>
      <c r="H875">
        <f t="shared" si="105"/>
        <v>4</v>
      </c>
      <c r="I875">
        <f t="shared" si="106"/>
        <v>3</v>
      </c>
      <c r="J875">
        <f t="shared" si="107"/>
        <v>3</v>
      </c>
    </row>
    <row r="876" spans="1:10" x14ac:dyDescent="0.25">
      <c r="A876">
        <v>874</v>
      </c>
      <c r="B876" s="4" t="str">
        <f t="shared" si="102"/>
        <v>NOK</v>
      </c>
      <c r="C876" t="str">
        <f t="shared" si="99"/>
        <v>C</v>
      </c>
      <c r="D876" t="str">
        <f t="shared" si="100"/>
        <v>D</v>
      </c>
      <c r="E876" t="str">
        <f t="shared" si="101"/>
        <v>C</v>
      </c>
      <c r="F876" t="str">
        <f t="shared" si="103"/>
        <v>D</v>
      </c>
      <c r="G876" s="4">
        <f t="shared" si="104"/>
        <v>3</v>
      </c>
      <c r="H876">
        <f t="shared" si="105"/>
        <v>4</v>
      </c>
      <c r="I876">
        <f t="shared" si="106"/>
        <v>3</v>
      </c>
      <c r="J876">
        <f t="shared" si="107"/>
        <v>4</v>
      </c>
    </row>
    <row r="877" spans="1:10" x14ac:dyDescent="0.25">
      <c r="A877">
        <v>875</v>
      </c>
      <c r="B877" s="4" t="str">
        <f t="shared" si="102"/>
        <v>NOK</v>
      </c>
      <c r="C877" t="str">
        <f t="shared" si="99"/>
        <v>C</v>
      </c>
      <c r="D877" t="str">
        <f t="shared" si="100"/>
        <v>D</v>
      </c>
      <c r="E877" t="str">
        <f t="shared" si="101"/>
        <v>C</v>
      </c>
      <c r="F877" t="str">
        <f t="shared" si="103"/>
        <v>E</v>
      </c>
      <c r="G877" s="4">
        <f t="shared" si="104"/>
        <v>3</v>
      </c>
      <c r="H877">
        <f t="shared" si="105"/>
        <v>4</v>
      </c>
      <c r="I877">
        <f t="shared" si="106"/>
        <v>3</v>
      </c>
      <c r="J877">
        <f t="shared" si="107"/>
        <v>5</v>
      </c>
    </row>
    <row r="878" spans="1:10" x14ac:dyDescent="0.25">
      <c r="A878">
        <v>876</v>
      </c>
      <c r="B878" s="4" t="str">
        <f t="shared" si="102"/>
        <v>NOK</v>
      </c>
      <c r="C878" t="str">
        <f t="shared" si="99"/>
        <v>C</v>
      </c>
      <c r="D878" t="str">
        <f t="shared" si="100"/>
        <v>D</v>
      </c>
      <c r="E878" t="str">
        <f t="shared" si="101"/>
        <v>C</v>
      </c>
      <c r="F878" t="str">
        <f t="shared" si="103"/>
        <v>F</v>
      </c>
      <c r="G878" s="4">
        <f t="shared" si="104"/>
        <v>3</v>
      </c>
      <c r="H878">
        <f t="shared" si="105"/>
        <v>4</v>
      </c>
      <c r="I878">
        <f t="shared" si="106"/>
        <v>3</v>
      </c>
      <c r="J878">
        <f t="shared" si="107"/>
        <v>6</v>
      </c>
    </row>
    <row r="879" spans="1:10" x14ac:dyDescent="0.25">
      <c r="A879">
        <v>877</v>
      </c>
      <c r="B879" s="4" t="str">
        <f t="shared" si="102"/>
        <v>NOK</v>
      </c>
      <c r="C879" t="str">
        <f t="shared" si="99"/>
        <v>C</v>
      </c>
      <c r="D879" t="str">
        <f t="shared" si="100"/>
        <v>D</v>
      </c>
      <c r="E879" t="str">
        <f t="shared" si="101"/>
        <v>C</v>
      </c>
      <c r="F879" t="str">
        <f t="shared" si="103"/>
        <v>G</v>
      </c>
      <c r="G879" s="4">
        <f t="shared" si="104"/>
        <v>3</v>
      </c>
      <c r="H879">
        <f t="shared" si="105"/>
        <v>4</v>
      </c>
      <c r="I879">
        <f t="shared" si="106"/>
        <v>3</v>
      </c>
      <c r="J879">
        <f t="shared" si="107"/>
        <v>7</v>
      </c>
    </row>
    <row r="880" spans="1:10" x14ac:dyDescent="0.25">
      <c r="A880">
        <v>878</v>
      </c>
      <c r="B880" s="4" t="str">
        <f t="shared" si="102"/>
        <v>OK</v>
      </c>
      <c r="C880" t="str">
        <f t="shared" si="99"/>
        <v>C</v>
      </c>
      <c r="D880" t="str">
        <f t="shared" si="100"/>
        <v>D</v>
      </c>
      <c r="E880" t="str">
        <f t="shared" si="101"/>
        <v>C</v>
      </c>
      <c r="F880" t="str">
        <f t="shared" si="103"/>
        <v>H</v>
      </c>
      <c r="G880" s="4">
        <f t="shared" si="104"/>
        <v>3</v>
      </c>
      <c r="H880">
        <f t="shared" si="105"/>
        <v>4</v>
      </c>
      <c r="I880">
        <f t="shared" si="106"/>
        <v>3</v>
      </c>
      <c r="J880">
        <f t="shared" si="107"/>
        <v>8</v>
      </c>
    </row>
    <row r="881" spans="1:10" x14ac:dyDescent="0.25">
      <c r="A881">
        <v>879</v>
      </c>
      <c r="B881" s="4" t="str">
        <f t="shared" si="102"/>
        <v>NOK</v>
      </c>
      <c r="C881" t="str">
        <f t="shared" si="99"/>
        <v>C</v>
      </c>
      <c r="D881" t="str">
        <f t="shared" si="100"/>
        <v>D</v>
      </c>
      <c r="E881" t="str">
        <f t="shared" si="101"/>
        <v>C</v>
      </c>
      <c r="F881" t="str">
        <f t="shared" si="103"/>
        <v>I</v>
      </c>
      <c r="G881" s="4">
        <f t="shared" si="104"/>
        <v>3</v>
      </c>
      <c r="H881">
        <f t="shared" si="105"/>
        <v>4</v>
      </c>
      <c r="I881">
        <f t="shared" si="106"/>
        <v>3</v>
      </c>
      <c r="J881">
        <f t="shared" si="107"/>
        <v>9</v>
      </c>
    </row>
    <row r="882" spans="1:10" x14ac:dyDescent="0.25">
      <c r="A882">
        <v>880</v>
      </c>
      <c r="B882" s="4" t="str">
        <f t="shared" si="102"/>
        <v>NOK</v>
      </c>
      <c r="C882" t="str">
        <f t="shared" si="99"/>
        <v>C</v>
      </c>
      <c r="D882" t="str">
        <f t="shared" si="100"/>
        <v>D</v>
      </c>
      <c r="E882" t="str">
        <f t="shared" si="101"/>
        <v>C</v>
      </c>
      <c r="F882" t="str">
        <f t="shared" si="103"/>
        <v>J</v>
      </c>
      <c r="G882" s="4">
        <f t="shared" si="104"/>
        <v>3</v>
      </c>
      <c r="H882">
        <f t="shared" si="105"/>
        <v>4</v>
      </c>
      <c r="I882">
        <f t="shared" si="106"/>
        <v>3</v>
      </c>
      <c r="J882">
        <f t="shared" si="107"/>
        <v>10</v>
      </c>
    </row>
    <row r="883" spans="1:10" x14ac:dyDescent="0.25">
      <c r="A883">
        <v>881</v>
      </c>
      <c r="B883" s="4" t="str">
        <f t="shared" si="102"/>
        <v>NOK</v>
      </c>
      <c r="C883" t="str">
        <f t="shared" si="99"/>
        <v>C</v>
      </c>
      <c r="D883" t="str">
        <f t="shared" si="100"/>
        <v>D</v>
      </c>
      <c r="E883" t="str">
        <f t="shared" si="101"/>
        <v>C</v>
      </c>
      <c r="F883" t="str">
        <f t="shared" si="103"/>
        <v>K</v>
      </c>
      <c r="G883" s="4">
        <f t="shared" si="104"/>
        <v>3</v>
      </c>
      <c r="H883">
        <f t="shared" si="105"/>
        <v>4</v>
      </c>
      <c r="I883">
        <f t="shared" si="106"/>
        <v>3</v>
      </c>
      <c r="J883">
        <f t="shared" si="107"/>
        <v>11</v>
      </c>
    </row>
    <row r="884" spans="1:10" x14ac:dyDescent="0.25">
      <c r="A884">
        <v>882</v>
      </c>
      <c r="B884" s="4" t="str">
        <f t="shared" si="102"/>
        <v>NOK</v>
      </c>
      <c r="C884" t="str">
        <f t="shared" ref="C884:C947" si="108">IF(G884=1,"A",IF(G884=2,"B",IF(G884=3,"C",IF(G884=4,"D",IF(G884=5,"E","ERRO")))))</f>
        <v>C</v>
      </c>
      <c r="D884" t="str">
        <f t="shared" ref="D884:D947" si="109">IF(H884=1,"A",IF(H884=2,"B",IF(H884=3,"C",IF(H884=4,"D",IF(H884=5,"E","ERRO")))))</f>
        <v>D</v>
      </c>
      <c r="E884" t="str">
        <f t="shared" ref="E884:E947" si="110">IF(I884=1,"A",IF(I884=2,"B",IF(I884=3,"C",IF(I884=4,"D",IF(I884=5,"E","ERRO")))))</f>
        <v>C</v>
      </c>
      <c r="F884" t="str">
        <f t="shared" si="103"/>
        <v>L</v>
      </c>
      <c r="G884" s="4">
        <f t="shared" si="104"/>
        <v>3</v>
      </c>
      <c r="H884">
        <f t="shared" si="105"/>
        <v>4</v>
      </c>
      <c r="I884">
        <f t="shared" si="106"/>
        <v>3</v>
      </c>
      <c r="J884">
        <f t="shared" si="107"/>
        <v>12</v>
      </c>
    </row>
    <row r="885" spans="1:10" x14ac:dyDescent="0.25">
      <c r="A885">
        <v>883</v>
      </c>
      <c r="B885" s="4" t="str">
        <f t="shared" si="102"/>
        <v>NOK</v>
      </c>
      <c r="C885" t="str">
        <f t="shared" si="108"/>
        <v>C</v>
      </c>
      <c r="D885" t="str">
        <f t="shared" si="109"/>
        <v>D</v>
      </c>
      <c r="E885" t="str">
        <f t="shared" si="110"/>
        <v>C</v>
      </c>
      <c r="F885" t="str">
        <f t="shared" si="103"/>
        <v>M</v>
      </c>
      <c r="G885" s="4">
        <f t="shared" si="104"/>
        <v>3</v>
      </c>
      <c r="H885">
        <f t="shared" si="105"/>
        <v>4</v>
      </c>
      <c r="I885">
        <f t="shared" si="106"/>
        <v>3</v>
      </c>
      <c r="J885">
        <f t="shared" si="107"/>
        <v>13</v>
      </c>
    </row>
    <row r="886" spans="1:10" x14ac:dyDescent="0.25">
      <c r="A886">
        <v>884</v>
      </c>
      <c r="B886" s="4" t="str">
        <f t="shared" si="102"/>
        <v>NOK</v>
      </c>
      <c r="C886" t="str">
        <f t="shared" si="108"/>
        <v>C</v>
      </c>
      <c r="D886" t="str">
        <f t="shared" si="109"/>
        <v>D</v>
      </c>
      <c r="E886" t="str">
        <f t="shared" si="110"/>
        <v>D</v>
      </c>
      <c r="F886" t="str">
        <f t="shared" si="103"/>
        <v>A</v>
      </c>
      <c r="G886" s="4">
        <f t="shared" si="104"/>
        <v>3</v>
      </c>
      <c r="H886">
        <f t="shared" si="105"/>
        <v>4</v>
      </c>
      <c r="I886">
        <f t="shared" si="106"/>
        <v>4</v>
      </c>
      <c r="J886">
        <f t="shared" si="107"/>
        <v>1</v>
      </c>
    </row>
    <row r="887" spans="1:10" x14ac:dyDescent="0.25">
      <c r="A887">
        <v>885</v>
      </c>
      <c r="B887" s="4" t="str">
        <f t="shared" si="102"/>
        <v>NOK</v>
      </c>
      <c r="C887" t="str">
        <f t="shared" si="108"/>
        <v>C</v>
      </c>
      <c r="D887" t="str">
        <f t="shared" si="109"/>
        <v>D</v>
      </c>
      <c r="E887" t="str">
        <f t="shared" si="110"/>
        <v>D</v>
      </c>
      <c r="F887" t="str">
        <f t="shared" si="103"/>
        <v>B</v>
      </c>
      <c r="G887" s="4">
        <f t="shared" si="104"/>
        <v>3</v>
      </c>
      <c r="H887">
        <f t="shared" si="105"/>
        <v>4</v>
      </c>
      <c r="I887">
        <f t="shared" si="106"/>
        <v>4</v>
      </c>
      <c r="J887">
        <f t="shared" si="107"/>
        <v>2</v>
      </c>
    </row>
    <row r="888" spans="1:10" x14ac:dyDescent="0.25">
      <c r="A888">
        <v>886</v>
      </c>
      <c r="B888" s="4" t="str">
        <f t="shared" si="102"/>
        <v>NOK</v>
      </c>
      <c r="C888" t="str">
        <f t="shared" si="108"/>
        <v>C</v>
      </c>
      <c r="D888" t="str">
        <f t="shared" si="109"/>
        <v>D</v>
      </c>
      <c r="E888" t="str">
        <f t="shared" si="110"/>
        <v>D</v>
      </c>
      <c r="F888" t="str">
        <f t="shared" si="103"/>
        <v>C</v>
      </c>
      <c r="G888" s="4">
        <f t="shared" si="104"/>
        <v>3</v>
      </c>
      <c r="H888">
        <f t="shared" si="105"/>
        <v>4</v>
      </c>
      <c r="I888">
        <f t="shared" si="106"/>
        <v>4</v>
      </c>
      <c r="J888">
        <f t="shared" si="107"/>
        <v>3</v>
      </c>
    </row>
    <row r="889" spans="1:10" x14ac:dyDescent="0.25">
      <c r="A889">
        <v>887</v>
      </c>
      <c r="B889" s="4" t="str">
        <f t="shared" si="102"/>
        <v>NOK</v>
      </c>
      <c r="C889" t="str">
        <f t="shared" si="108"/>
        <v>C</v>
      </c>
      <c r="D889" t="str">
        <f t="shared" si="109"/>
        <v>D</v>
      </c>
      <c r="E889" t="str">
        <f t="shared" si="110"/>
        <v>D</v>
      </c>
      <c r="F889" t="str">
        <f t="shared" si="103"/>
        <v>D</v>
      </c>
      <c r="G889" s="4">
        <f t="shared" si="104"/>
        <v>3</v>
      </c>
      <c r="H889">
        <f t="shared" si="105"/>
        <v>4</v>
      </c>
      <c r="I889">
        <f t="shared" si="106"/>
        <v>4</v>
      </c>
      <c r="J889">
        <f t="shared" si="107"/>
        <v>4</v>
      </c>
    </row>
    <row r="890" spans="1:10" x14ac:dyDescent="0.25">
      <c r="A890">
        <v>888</v>
      </c>
      <c r="B890" s="4" t="str">
        <f t="shared" si="102"/>
        <v>NOK</v>
      </c>
      <c r="C890" t="str">
        <f t="shared" si="108"/>
        <v>C</v>
      </c>
      <c r="D890" t="str">
        <f t="shared" si="109"/>
        <v>D</v>
      </c>
      <c r="E890" t="str">
        <f t="shared" si="110"/>
        <v>D</v>
      </c>
      <c r="F890" t="str">
        <f t="shared" si="103"/>
        <v>E</v>
      </c>
      <c r="G890" s="4">
        <f t="shared" si="104"/>
        <v>3</v>
      </c>
      <c r="H890">
        <f t="shared" si="105"/>
        <v>4</v>
      </c>
      <c r="I890">
        <f t="shared" si="106"/>
        <v>4</v>
      </c>
      <c r="J890">
        <f t="shared" si="107"/>
        <v>5</v>
      </c>
    </row>
    <row r="891" spans="1:10" x14ac:dyDescent="0.25">
      <c r="A891">
        <v>889</v>
      </c>
      <c r="B891" s="4" t="str">
        <f t="shared" si="102"/>
        <v>NOK</v>
      </c>
      <c r="C891" t="str">
        <f t="shared" si="108"/>
        <v>C</v>
      </c>
      <c r="D891" t="str">
        <f t="shared" si="109"/>
        <v>D</v>
      </c>
      <c r="E891" t="str">
        <f t="shared" si="110"/>
        <v>D</v>
      </c>
      <c r="F891" t="str">
        <f t="shared" si="103"/>
        <v>F</v>
      </c>
      <c r="G891" s="4">
        <f t="shared" si="104"/>
        <v>3</v>
      </c>
      <c r="H891">
        <f t="shared" si="105"/>
        <v>4</v>
      </c>
      <c r="I891">
        <f t="shared" si="106"/>
        <v>4</v>
      </c>
      <c r="J891">
        <f t="shared" si="107"/>
        <v>6</v>
      </c>
    </row>
    <row r="892" spans="1:10" x14ac:dyDescent="0.25">
      <c r="A892">
        <v>890</v>
      </c>
      <c r="B892" s="4" t="str">
        <f t="shared" si="102"/>
        <v>NOK</v>
      </c>
      <c r="C892" t="str">
        <f t="shared" si="108"/>
        <v>C</v>
      </c>
      <c r="D892" t="str">
        <f t="shared" si="109"/>
        <v>D</v>
      </c>
      <c r="E892" t="str">
        <f t="shared" si="110"/>
        <v>D</v>
      </c>
      <c r="F892" t="str">
        <f t="shared" si="103"/>
        <v>G</v>
      </c>
      <c r="G892" s="4">
        <f t="shared" si="104"/>
        <v>3</v>
      </c>
      <c r="H892">
        <f t="shared" si="105"/>
        <v>4</v>
      </c>
      <c r="I892">
        <f t="shared" si="106"/>
        <v>4</v>
      </c>
      <c r="J892">
        <f t="shared" si="107"/>
        <v>7</v>
      </c>
    </row>
    <row r="893" spans="1:10" x14ac:dyDescent="0.25">
      <c r="A893">
        <v>891</v>
      </c>
      <c r="B893" s="4" t="str">
        <f t="shared" si="102"/>
        <v>NOK</v>
      </c>
      <c r="C893" t="str">
        <f t="shared" si="108"/>
        <v>C</v>
      </c>
      <c r="D893" t="str">
        <f t="shared" si="109"/>
        <v>D</v>
      </c>
      <c r="E893" t="str">
        <f t="shared" si="110"/>
        <v>D</v>
      </c>
      <c r="F893" t="str">
        <f t="shared" si="103"/>
        <v>H</v>
      </c>
      <c r="G893" s="4">
        <f t="shared" si="104"/>
        <v>3</v>
      </c>
      <c r="H893">
        <f t="shared" si="105"/>
        <v>4</v>
      </c>
      <c r="I893">
        <f t="shared" si="106"/>
        <v>4</v>
      </c>
      <c r="J893">
        <f t="shared" si="107"/>
        <v>8</v>
      </c>
    </row>
    <row r="894" spans="1:10" x14ac:dyDescent="0.25">
      <c r="A894">
        <v>892</v>
      </c>
      <c r="B894" s="4" t="str">
        <f t="shared" si="102"/>
        <v>OK</v>
      </c>
      <c r="C894" t="str">
        <f t="shared" si="108"/>
        <v>C</v>
      </c>
      <c r="D894" t="str">
        <f t="shared" si="109"/>
        <v>D</v>
      </c>
      <c r="E894" t="str">
        <f t="shared" si="110"/>
        <v>D</v>
      </c>
      <c r="F894" t="str">
        <f t="shared" si="103"/>
        <v>I</v>
      </c>
      <c r="G894" s="4">
        <f t="shared" si="104"/>
        <v>3</v>
      </c>
      <c r="H894">
        <f t="shared" si="105"/>
        <v>4</v>
      </c>
      <c r="I894">
        <f t="shared" si="106"/>
        <v>4</v>
      </c>
      <c r="J894">
        <f t="shared" si="107"/>
        <v>9</v>
      </c>
    </row>
    <row r="895" spans="1:10" x14ac:dyDescent="0.25">
      <c r="A895">
        <v>893</v>
      </c>
      <c r="B895" s="4" t="str">
        <f t="shared" si="102"/>
        <v>NOK</v>
      </c>
      <c r="C895" t="str">
        <f t="shared" si="108"/>
        <v>C</v>
      </c>
      <c r="D895" t="str">
        <f t="shared" si="109"/>
        <v>D</v>
      </c>
      <c r="E895" t="str">
        <f t="shared" si="110"/>
        <v>D</v>
      </c>
      <c r="F895" t="str">
        <f t="shared" si="103"/>
        <v>J</v>
      </c>
      <c r="G895" s="4">
        <f t="shared" si="104"/>
        <v>3</v>
      </c>
      <c r="H895">
        <f t="shared" si="105"/>
        <v>4</v>
      </c>
      <c r="I895">
        <f t="shared" si="106"/>
        <v>4</v>
      </c>
      <c r="J895">
        <f t="shared" si="107"/>
        <v>10</v>
      </c>
    </row>
    <row r="896" spans="1:10" x14ac:dyDescent="0.25">
      <c r="A896">
        <v>894</v>
      </c>
      <c r="B896" s="4" t="str">
        <f t="shared" si="102"/>
        <v>NOK</v>
      </c>
      <c r="C896" t="str">
        <f t="shared" si="108"/>
        <v>C</v>
      </c>
      <c r="D896" t="str">
        <f t="shared" si="109"/>
        <v>D</v>
      </c>
      <c r="E896" t="str">
        <f t="shared" si="110"/>
        <v>D</v>
      </c>
      <c r="F896" t="str">
        <f t="shared" si="103"/>
        <v>K</v>
      </c>
      <c r="G896" s="4">
        <f t="shared" si="104"/>
        <v>3</v>
      </c>
      <c r="H896">
        <f t="shared" si="105"/>
        <v>4</v>
      </c>
      <c r="I896">
        <f t="shared" si="106"/>
        <v>4</v>
      </c>
      <c r="J896">
        <f t="shared" si="107"/>
        <v>11</v>
      </c>
    </row>
    <row r="897" spans="1:10" x14ac:dyDescent="0.25">
      <c r="A897">
        <v>895</v>
      </c>
      <c r="B897" s="4" t="str">
        <f t="shared" si="102"/>
        <v>NOK</v>
      </c>
      <c r="C897" t="str">
        <f t="shared" si="108"/>
        <v>C</v>
      </c>
      <c r="D897" t="str">
        <f t="shared" si="109"/>
        <v>D</v>
      </c>
      <c r="E897" t="str">
        <f t="shared" si="110"/>
        <v>D</v>
      </c>
      <c r="F897" t="str">
        <f t="shared" si="103"/>
        <v>L</v>
      </c>
      <c r="G897" s="4">
        <f t="shared" si="104"/>
        <v>3</v>
      </c>
      <c r="H897">
        <f t="shared" si="105"/>
        <v>4</v>
      </c>
      <c r="I897">
        <f t="shared" si="106"/>
        <v>4</v>
      </c>
      <c r="J897">
        <f t="shared" si="107"/>
        <v>12</v>
      </c>
    </row>
    <row r="898" spans="1:10" x14ac:dyDescent="0.25">
      <c r="A898">
        <v>896</v>
      </c>
      <c r="B898" s="4" t="str">
        <f t="shared" ref="B898:B961" si="111">IF(ROUND(_xlfn.XLOOKUP(C898,$U$1:$U$5,$T$1:$T$5,,0,1)+_xlfn.XLOOKUP(D898,$W$1:$W$5,$V$1:$V$5,,0,1)+_xlfn.XLOOKUP(E898,$Y$1:$Y$5,$X$1:$X$5,,0,1)-_xlfn.XLOOKUP(F898,$AA$1:$AA$13,$Z$1:$Z$13,,0,1),3)=0.325,"OK","NOK")</f>
        <v>NOK</v>
      </c>
      <c r="C898" t="str">
        <f t="shared" si="108"/>
        <v>C</v>
      </c>
      <c r="D898" t="str">
        <f t="shared" si="109"/>
        <v>D</v>
      </c>
      <c r="E898" t="str">
        <f t="shared" si="110"/>
        <v>D</v>
      </c>
      <c r="F898" t="str">
        <f t="shared" ref="F898:F961" si="112">IF(J898=1,"A",IF(J898=2,"B",IF(J898=3,"C",IF(J898=4,"D",IF(J898=5,"E",IF(J898=6,"F",IF(J898=7,"G",IF(J898=8,"H",IF(J898=9,"I",IF(J898=10,"J",IF(J898=11,"K",IF(J898=12,"L",IF(J898=13,"M","ERRO")))))))))))))</f>
        <v>M</v>
      </c>
      <c r="G898" s="4">
        <f t="shared" ref="G898:G961" si="113">INT($A898/325)+1</f>
        <v>3</v>
      </c>
      <c r="H898">
        <f t="shared" ref="H898:H961" si="114">INT(MOD($A898,325)/65)+1</f>
        <v>4</v>
      </c>
      <c r="I898">
        <f t="shared" ref="I898:I961" si="115">INT(MOD($A898,65)/13)+1</f>
        <v>4</v>
      </c>
      <c r="J898">
        <f t="shared" ref="J898:J961" si="116">MOD($A898,13)+1</f>
        <v>13</v>
      </c>
    </row>
    <row r="899" spans="1:10" x14ac:dyDescent="0.25">
      <c r="A899">
        <v>897</v>
      </c>
      <c r="B899" s="4" t="str">
        <f t="shared" si="111"/>
        <v>NOK</v>
      </c>
      <c r="C899" t="str">
        <f t="shared" si="108"/>
        <v>C</v>
      </c>
      <c r="D899" t="str">
        <f t="shared" si="109"/>
        <v>D</v>
      </c>
      <c r="E899" t="str">
        <f t="shared" si="110"/>
        <v>E</v>
      </c>
      <c r="F899" t="str">
        <f t="shared" si="112"/>
        <v>A</v>
      </c>
      <c r="G899" s="4">
        <f t="shared" si="113"/>
        <v>3</v>
      </c>
      <c r="H899">
        <f t="shared" si="114"/>
        <v>4</v>
      </c>
      <c r="I899">
        <f t="shared" si="115"/>
        <v>5</v>
      </c>
      <c r="J899">
        <f t="shared" si="116"/>
        <v>1</v>
      </c>
    </row>
    <row r="900" spans="1:10" x14ac:dyDescent="0.25">
      <c r="A900">
        <v>898</v>
      </c>
      <c r="B900" s="4" t="str">
        <f t="shared" si="111"/>
        <v>NOK</v>
      </c>
      <c r="C900" t="str">
        <f t="shared" si="108"/>
        <v>C</v>
      </c>
      <c r="D900" t="str">
        <f t="shared" si="109"/>
        <v>D</v>
      </c>
      <c r="E900" t="str">
        <f t="shared" si="110"/>
        <v>E</v>
      </c>
      <c r="F900" t="str">
        <f t="shared" si="112"/>
        <v>B</v>
      </c>
      <c r="G900" s="4">
        <f t="shared" si="113"/>
        <v>3</v>
      </c>
      <c r="H900">
        <f t="shared" si="114"/>
        <v>4</v>
      </c>
      <c r="I900">
        <f t="shared" si="115"/>
        <v>5</v>
      </c>
      <c r="J900">
        <f t="shared" si="116"/>
        <v>2</v>
      </c>
    </row>
    <row r="901" spans="1:10" x14ac:dyDescent="0.25">
      <c r="A901">
        <v>899</v>
      </c>
      <c r="B901" s="4" t="str">
        <f t="shared" si="111"/>
        <v>NOK</v>
      </c>
      <c r="C901" t="str">
        <f t="shared" si="108"/>
        <v>C</v>
      </c>
      <c r="D901" t="str">
        <f t="shared" si="109"/>
        <v>D</v>
      </c>
      <c r="E901" t="str">
        <f t="shared" si="110"/>
        <v>E</v>
      </c>
      <c r="F901" t="str">
        <f t="shared" si="112"/>
        <v>C</v>
      </c>
      <c r="G901" s="4">
        <f t="shared" si="113"/>
        <v>3</v>
      </c>
      <c r="H901">
        <f t="shared" si="114"/>
        <v>4</v>
      </c>
      <c r="I901">
        <f t="shared" si="115"/>
        <v>5</v>
      </c>
      <c r="J901">
        <f t="shared" si="116"/>
        <v>3</v>
      </c>
    </row>
    <row r="902" spans="1:10" x14ac:dyDescent="0.25">
      <c r="A902">
        <v>900</v>
      </c>
      <c r="B902" s="4" t="str">
        <f t="shared" si="111"/>
        <v>NOK</v>
      </c>
      <c r="C902" t="str">
        <f t="shared" si="108"/>
        <v>C</v>
      </c>
      <c r="D902" t="str">
        <f t="shared" si="109"/>
        <v>D</v>
      </c>
      <c r="E902" t="str">
        <f t="shared" si="110"/>
        <v>E</v>
      </c>
      <c r="F902" t="str">
        <f t="shared" si="112"/>
        <v>D</v>
      </c>
      <c r="G902" s="4">
        <f t="shared" si="113"/>
        <v>3</v>
      </c>
      <c r="H902">
        <f t="shared" si="114"/>
        <v>4</v>
      </c>
      <c r="I902">
        <f t="shared" si="115"/>
        <v>5</v>
      </c>
      <c r="J902">
        <f t="shared" si="116"/>
        <v>4</v>
      </c>
    </row>
    <row r="903" spans="1:10" x14ac:dyDescent="0.25">
      <c r="A903">
        <v>901</v>
      </c>
      <c r="B903" s="4" t="str">
        <f t="shared" si="111"/>
        <v>NOK</v>
      </c>
      <c r="C903" t="str">
        <f t="shared" si="108"/>
        <v>C</v>
      </c>
      <c r="D903" t="str">
        <f t="shared" si="109"/>
        <v>D</v>
      </c>
      <c r="E903" t="str">
        <f t="shared" si="110"/>
        <v>E</v>
      </c>
      <c r="F903" t="str">
        <f t="shared" si="112"/>
        <v>E</v>
      </c>
      <c r="G903" s="4">
        <f t="shared" si="113"/>
        <v>3</v>
      </c>
      <c r="H903">
        <f t="shared" si="114"/>
        <v>4</v>
      </c>
      <c r="I903">
        <f t="shared" si="115"/>
        <v>5</v>
      </c>
      <c r="J903">
        <f t="shared" si="116"/>
        <v>5</v>
      </c>
    </row>
    <row r="904" spans="1:10" x14ac:dyDescent="0.25">
      <c r="A904">
        <v>902</v>
      </c>
      <c r="B904" s="4" t="str">
        <f t="shared" si="111"/>
        <v>NOK</v>
      </c>
      <c r="C904" t="str">
        <f t="shared" si="108"/>
        <v>C</v>
      </c>
      <c r="D904" t="str">
        <f t="shared" si="109"/>
        <v>D</v>
      </c>
      <c r="E904" t="str">
        <f t="shared" si="110"/>
        <v>E</v>
      </c>
      <c r="F904" t="str">
        <f t="shared" si="112"/>
        <v>F</v>
      </c>
      <c r="G904" s="4">
        <f t="shared" si="113"/>
        <v>3</v>
      </c>
      <c r="H904">
        <f t="shared" si="114"/>
        <v>4</v>
      </c>
      <c r="I904">
        <f t="shared" si="115"/>
        <v>5</v>
      </c>
      <c r="J904">
        <f t="shared" si="116"/>
        <v>6</v>
      </c>
    </row>
    <row r="905" spans="1:10" x14ac:dyDescent="0.25">
      <c r="A905">
        <v>903</v>
      </c>
      <c r="B905" s="4" t="str">
        <f t="shared" si="111"/>
        <v>NOK</v>
      </c>
      <c r="C905" t="str">
        <f t="shared" si="108"/>
        <v>C</v>
      </c>
      <c r="D905" t="str">
        <f t="shared" si="109"/>
        <v>D</v>
      </c>
      <c r="E905" t="str">
        <f t="shared" si="110"/>
        <v>E</v>
      </c>
      <c r="F905" t="str">
        <f t="shared" si="112"/>
        <v>G</v>
      </c>
      <c r="G905" s="4">
        <f t="shared" si="113"/>
        <v>3</v>
      </c>
      <c r="H905">
        <f t="shared" si="114"/>
        <v>4</v>
      </c>
      <c r="I905">
        <f t="shared" si="115"/>
        <v>5</v>
      </c>
      <c r="J905">
        <f t="shared" si="116"/>
        <v>7</v>
      </c>
    </row>
    <row r="906" spans="1:10" x14ac:dyDescent="0.25">
      <c r="A906">
        <v>904</v>
      </c>
      <c r="B906" s="4" t="str">
        <f t="shared" si="111"/>
        <v>NOK</v>
      </c>
      <c r="C906" t="str">
        <f t="shared" si="108"/>
        <v>C</v>
      </c>
      <c r="D906" t="str">
        <f t="shared" si="109"/>
        <v>D</v>
      </c>
      <c r="E906" t="str">
        <f t="shared" si="110"/>
        <v>E</v>
      </c>
      <c r="F906" t="str">
        <f t="shared" si="112"/>
        <v>H</v>
      </c>
      <c r="G906" s="4">
        <f t="shared" si="113"/>
        <v>3</v>
      </c>
      <c r="H906">
        <f t="shared" si="114"/>
        <v>4</v>
      </c>
      <c r="I906">
        <f t="shared" si="115"/>
        <v>5</v>
      </c>
      <c r="J906">
        <f t="shared" si="116"/>
        <v>8</v>
      </c>
    </row>
    <row r="907" spans="1:10" x14ac:dyDescent="0.25">
      <c r="A907">
        <v>905</v>
      </c>
      <c r="B907" s="4" t="str">
        <f t="shared" si="111"/>
        <v>NOK</v>
      </c>
      <c r="C907" t="str">
        <f t="shared" si="108"/>
        <v>C</v>
      </c>
      <c r="D907" t="str">
        <f t="shared" si="109"/>
        <v>D</v>
      </c>
      <c r="E907" t="str">
        <f t="shared" si="110"/>
        <v>E</v>
      </c>
      <c r="F907" t="str">
        <f t="shared" si="112"/>
        <v>I</v>
      </c>
      <c r="G907" s="4">
        <f t="shared" si="113"/>
        <v>3</v>
      </c>
      <c r="H907">
        <f t="shared" si="114"/>
        <v>4</v>
      </c>
      <c r="I907">
        <f t="shared" si="115"/>
        <v>5</v>
      </c>
      <c r="J907">
        <f t="shared" si="116"/>
        <v>9</v>
      </c>
    </row>
    <row r="908" spans="1:10" x14ac:dyDescent="0.25">
      <c r="A908">
        <v>906</v>
      </c>
      <c r="B908" s="4" t="str">
        <f t="shared" si="111"/>
        <v>OK</v>
      </c>
      <c r="C908" t="str">
        <f t="shared" si="108"/>
        <v>C</v>
      </c>
      <c r="D908" t="str">
        <f t="shared" si="109"/>
        <v>D</v>
      </c>
      <c r="E908" t="str">
        <f t="shared" si="110"/>
        <v>E</v>
      </c>
      <c r="F908" t="str">
        <f t="shared" si="112"/>
        <v>J</v>
      </c>
      <c r="G908" s="4">
        <f t="shared" si="113"/>
        <v>3</v>
      </c>
      <c r="H908">
        <f t="shared" si="114"/>
        <v>4</v>
      </c>
      <c r="I908">
        <f t="shared" si="115"/>
        <v>5</v>
      </c>
      <c r="J908">
        <f t="shared" si="116"/>
        <v>10</v>
      </c>
    </row>
    <row r="909" spans="1:10" x14ac:dyDescent="0.25">
      <c r="A909">
        <v>907</v>
      </c>
      <c r="B909" s="4" t="str">
        <f t="shared" si="111"/>
        <v>NOK</v>
      </c>
      <c r="C909" t="str">
        <f t="shared" si="108"/>
        <v>C</v>
      </c>
      <c r="D909" t="str">
        <f t="shared" si="109"/>
        <v>D</v>
      </c>
      <c r="E909" t="str">
        <f t="shared" si="110"/>
        <v>E</v>
      </c>
      <c r="F909" t="str">
        <f t="shared" si="112"/>
        <v>K</v>
      </c>
      <c r="G909" s="4">
        <f t="shared" si="113"/>
        <v>3</v>
      </c>
      <c r="H909">
        <f t="shared" si="114"/>
        <v>4</v>
      </c>
      <c r="I909">
        <f t="shared" si="115"/>
        <v>5</v>
      </c>
      <c r="J909">
        <f t="shared" si="116"/>
        <v>11</v>
      </c>
    </row>
    <row r="910" spans="1:10" x14ac:dyDescent="0.25">
      <c r="A910">
        <v>908</v>
      </c>
      <c r="B910" s="4" t="str">
        <f t="shared" si="111"/>
        <v>NOK</v>
      </c>
      <c r="C910" t="str">
        <f t="shared" si="108"/>
        <v>C</v>
      </c>
      <c r="D910" t="str">
        <f t="shared" si="109"/>
        <v>D</v>
      </c>
      <c r="E910" t="str">
        <f t="shared" si="110"/>
        <v>E</v>
      </c>
      <c r="F910" t="str">
        <f t="shared" si="112"/>
        <v>L</v>
      </c>
      <c r="G910" s="4">
        <f t="shared" si="113"/>
        <v>3</v>
      </c>
      <c r="H910">
        <f t="shared" si="114"/>
        <v>4</v>
      </c>
      <c r="I910">
        <f t="shared" si="115"/>
        <v>5</v>
      </c>
      <c r="J910">
        <f t="shared" si="116"/>
        <v>12</v>
      </c>
    </row>
    <row r="911" spans="1:10" x14ac:dyDescent="0.25">
      <c r="A911">
        <v>909</v>
      </c>
      <c r="B911" s="4" t="str">
        <f t="shared" si="111"/>
        <v>NOK</v>
      </c>
      <c r="C911" t="str">
        <f t="shared" si="108"/>
        <v>C</v>
      </c>
      <c r="D911" t="str">
        <f t="shared" si="109"/>
        <v>D</v>
      </c>
      <c r="E911" t="str">
        <f t="shared" si="110"/>
        <v>E</v>
      </c>
      <c r="F911" t="str">
        <f t="shared" si="112"/>
        <v>M</v>
      </c>
      <c r="G911" s="4">
        <f t="shared" si="113"/>
        <v>3</v>
      </c>
      <c r="H911">
        <f t="shared" si="114"/>
        <v>4</v>
      </c>
      <c r="I911">
        <f t="shared" si="115"/>
        <v>5</v>
      </c>
      <c r="J911">
        <f t="shared" si="116"/>
        <v>13</v>
      </c>
    </row>
    <row r="912" spans="1:10" x14ac:dyDescent="0.25">
      <c r="A912">
        <v>910</v>
      </c>
      <c r="B912" s="4" t="str">
        <f t="shared" si="111"/>
        <v>NOK</v>
      </c>
      <c r="C912" t="str">
        <f t="shared" si="108"/>
        <v>C</v>
      </c>
      <c r="D912" t="str">
        <f t="shared" si="109"/>
        <v>E</v>
      </c>
      <c r="E912" t="str">
        <f t="shared" si="110"/>
        <v>A</v>
      </c>
      <c r="F912" t="str">
        <f t="shared" si="112"/>
        <v>A</v>
      </c>
      <c r="G912" s="4">
        <f t="shared" si="113"/>
        <v>3</v>
      </c>
      <c r="H912">
        <f t="shared" si="114"/>
        <v>5</v>
      </c>
      <c r="I912">
        <f t="shared" si="115"/>
        <v>1</v>
      </c>
      <c r="J912">
        <f t="shared" si="116"/>
        <v>1</v>
      </c>
    </row>
    <row r="913" spans="1:10" x14ac:dyDescent="0.25">
      <c r="A913">
        <v>911</v>
      </c>
      <c r="B913" s="4" t="str">
        <f t="shared" si="111"/>
        <v>NOK</v>
      </c>
      <c r="C913" t="str">
        <f t="shared" si="108"/>
        <v>C</v>
      </c>
      <c r="D913" t="str">
        <f t="shared" si="109"/>
        <v>E</v>
      </c>
      <c r="E913" t="str">
        <f t="shared" si="110"/>
        <v>A</v>
      </c>
      <c r="F913" t="str">
        <f t="shared" si="112"/>
        <v>B</v>
      </c>
      <c r="G913" s="4">
        <f t="shared" si="113"/>
        <v>3</v>
      </c>
      <c r="H913">
        <f t="shared" si="114"/>
        <v>5</v>
      </c>
      <c r="I913">
        <f t="shared" si="115"/>
        <v>1</v>
      </c>
      <c r="J913">
        <f t="shared" si="116"/>
        <v>2</v>
      </c>
    </row>
    <row r="914" spans="1:10" x14ac:dyDescent="0.25">
      <c r="A914">
        <v>912</v>
      </c>
      <c r="B914" s="4" t="str">
        <f t="shared" si="111"/>
        <v>NOK</v>
      </c>
      <c r="C914" t="str">
        <f t="shared" si="108"/>
        <v>C</v>
      </c>
      <c r="D914" t="str">
        <f t="shared" si="109"/>
        <v>E</v>
      </c>
      <c r="E914" t="str">
        <f t="shared" si="110"/>
        <v>A</v>
      </c>
      <c r="F914" t="str">
        <f t="shared" si="112"/>
        <v>C</v>
      </c>
      <c r="G914" s="4">
        <f t="shared" si="113"/>
        <v>3</v>
      </c>
      <c r="H914">
        <f t="shared" si="114"/>
        <v>5</v>
      </c>
      <c r="I914">
        <f t="shared" si="115"/>
        <v>1</v>
      </c>
      <c r="J914">
        <f t="shared" si="116"/>
        <v>3</v>
      </c>
    </row>
    <row r="915" spans="1:10" x14ac:dyDescent="0.25">
      <c r="A915">
        <v>913</v>
      </c>
      <c r="B915" s="4" t="str">
        <f t="shared" si="111"/>
        <v>NOK</v>
      </c>
      <c r="C915" t="str">
        <f t="shared" si="108"/>
        <v>C</v>
      </c>
      <c r="D915" t="str">
        <f t="shared" si="109"/>
        <v>E</v>
      </c>
      <c r="E915" t="str">
        <f t="shared" si="110"/>
        <v>A</v>
      </c>
      <c r="F915" t="str">
        <f t="shared" si="112"/>
        <v>D</v>
      </c>
      <c r="G915" s="4">
        <f t="shared" si="113"/>
        <v>3</v>
      </c>
      <c r="H915">
        <f t="shared" si="114"/>
        <v>5</v>
      </c>
      <c r="I915">
        <f t="shared" si="115"/>
        <v>1</v>
      </c>
      <c r="J915">
        <f t="shared" si="116"/>
        <v>4</v>
      </c>
    </row>
    <row r="916" spans="1:10" x14ac:dyDescent="0.25">
      <c r="A916">
        <v>914</v>
      </c>
      <c r="B916" s="4" t="str">
        <f t="shared" si="111"/>
        <v>NOK</v>
      </c>
      <c r="C916" t="str">
        <f t="shared" si="108"/>
        <v>C</v>
      </c>
      <c r="D916" t="str">
        <f t="shared" si="109"/>
        <v>E</v>
      </c>
      <c r="E916" t="str">
        <f t="shared" si="110"/>
        <v>A</v>
      </c>
      <c r="F916" t="str">
        <f t="shared" si="112"/>
        <v>E</v>
      </c>
      <c r="G916" s="4">
        <f t="shared" si="113"/>
        <v>3</v>
      </c>
      <c r="H916">
        <f t="shared" si="114"/>
        <v>5</v>
      </c>
      <c r="I916">
        <f t="shared" si="115"/>
        <v>1</v>
      </c>
      <c r="J916">
        <f t="shared" si="116"/>
        <v>5</v>
      </c>
    </row>
    <row r="917" spans="1:10" x14ac:dyDescent="0.25">
      <c r="A917">
        <v>915</v>
      </c>
      <c r="B917" s="4" t="str">
        <f t="shared" si="111"/>
        <v>NOK</v>
      </c>
      <c r="C917" t="str">
        <f t="shared" si="108"/>
        <v>C</v>
      </c>
      <c r="D917" t="str">
        <f t="shared" si="109"/>
        <v>E</v>
      </c>
      <c r="E917" t="str">
        <f t="shared" si="110"/>
        <v>A</v>
      </c>
      <c r="F917" t="str">
        <f t="shared" si="112"/>
        <v>F</v>
      </c>
      <c r="G917" s="4">
        <f t="shared" si="113"/>
        <v>3</v>
      </c>
      <c r="H917">
        <f t="shared" si="114"/>
        <v>5</v>
      </c>
      <c r="I917">
        <f t="shared" si="115"/>
        <v>1</v>
      </c>
      <c r="J917">
        <f t="shared" si="116"/>
        <v>6</v>
      </c>
    </row>
    <row r="918" spans="1:10" x14ac:dyDescent="0.25">
      <c r="A918">
        <v>916</v>
      </c>
      <c r="B918" s="4" t="str">
        <f t="shared" si="111"/>
        <v>OK</v>
      </c>
      <c r="C918" t="str">
        <f t="shared" si="108"/>
        <v>C</v>
      </c>
      <c r="D918" t="str">
        <f t="shared" si="109"/>
        <v>E</v>
      </c>
      <c r="E918" t="str">
        <f t="shared" si="110"/>
        <v>A</v>
      </c>
      <c r="F918" t="str">
        <f t="shared" si="112"/>
        <v>G</v>
      </c>
      <c r="G918" s="4">
        <f t="shared" si="113"/>
        <v>3</v>
      </c>
      <c r="H918">
        <f t="shared" si="114"/>
        <v>5</v>
      </c>
      <c r="I918">
        <f t="shared" si="115"/>
        <v>1</v>
      </c>
      <c r="J918">
        <f t="shared" si="116"/>
        <v>7</v>
      </c>
    </row>
    <row r="919" spans="1:10" x14ac:dyDescent="0.25">
      <c r="A919">
        <v>917</v>
      </c>
      <c r="B919" s="4" t="str">
        <f t="shared" si="111"/>
        <v>NOK</v>
      </c>
      <c r="C919" t="str">
        <f t="shared" si="108"/>
        <v>C</v>
      </c>
      <c r="D919" t="str">
        <f t="shared" si="109"/>
        <v>E</v>
      </c>
      <c r="E919" t="str">
        <f t="shared" si="110"/>
        <v>A</v>
      </c>
      <c r="F919" t="str">
        <f t="shared" si="112"/>
        <v>H</v>
      </c>
      <c r="G919" s="4">
        <f t="shared" si="113"/>
        <v>3</v>
      </c>
      <c r="H919">
        <f t="shared" si="114"/>
        <v>5</v>
      </c>
      <c r="I919">
        <f t="shared" si="115"/>
        <v>1</v>
      </c>
      <c r="J919">
        <f t="shared" si="116"/>
        <v>8</v>
      </c>
    </row>
    <row r="920" spans="1:10" x14ac:dyDescent="0.25">
      <c r="A920">
        <v>918</v>
      </c>
      <c r="B920" s="4" t="str">
        <f t="shared" si="111"/>
        <v>NOK</v>
      </c>
      <c r="C920" t="str">
        <f t="shared" si="108"/>
        <v>C</v>
      </c>
      <c r="D920" t="str">
        <f t="shared" si="109"/>
        <v>E</v>
      </c>
      <c r="E920" t="str">
        <f t="shared" si="110"/>
        <v>A</v>
      </c>
      <c r="F920" t="str">
        <f t="shared" si="112"/>
        <v>I</v>
      </c>
      <c r="G920" s="4">
        <f t="shared" si="113"/>
        <v>3</v>
      </c>
      <c r="H920">
        <f t="shared" si="114"/>
        <v>5</v>
      </c>
      <c r="I920">
        <f t="shared" si="115"/>
        <v>1</v>
      </c>
      <c r="J920">
        <f t="shared" si="116"/>
        <v>9</v>
      </c>
    </row>
    <row r="921" spans="1:10" x14ac:dyDescent="0.25">
      <c r="A921">
        <v>919</v>
      </c>
      <c r="B921" s="4" t="str">
        <f t="shared" si="111"/>
        <v>NOK</v>
      </c>
      <c r="C921" t="str">
        <f t="shared" si="108"/>
        <v>C</v>
      </c>
      <c r="D921" t="str">
        <f t="shared" si="109"/>
        <v>E</v>
      </c>
      <c r="E921" t="str">
        <f t="shared" si="110"/>
        <v>A</v>
      </c>
      <c r="F921" t="str">
        <f t="shared" si="112"/>
        <v>J</v>
      </c>
      <c r="G921" s="4">
        <f t="shared" si="113"/>
        <v>3</v>
      </c>
      <c r="H921">
        <f t="shared" si="114"/>
        <v>5</v>
      </c>
      <c r="I921">
        <f t="shared" si="115"/>
        <v>1</v>
      </c>
      <c r="J921">
        <f t="shared" si="116"/>
        <v>10</v>
      </c>
    </row>
    <row r="922" spans="1:10" x14ac:dyDescent="0.25">
      <c r="A922">
        <v>920</v>
      </c>
      <c r="B922" s="4" t="str">
        <f t="shared" si="111"/>
        <v>NOK</v>
      </c>
      <c r="C922" t="str">
        <f t="shared" si="108"/>
        <v>C</v>
      </c>
      <c r="D922" t="str">
        <f t="shared" si="109"/>
        <v>E</v>
      </c>
      <c r="E922" t="str">
        <f t="shared" si="110"/>
        <v>A</v>
      </c>
      <c r="F922" t="str">
        <f t="shared" si="112"/>
        <v>K</v>
      </c>
      <c r="G922" s="4">
        <f t="shared" si="113"/>
        <v>3</v>
      </c>
      <c r="H922">
        <f t="shared" si="114"/>
        <v>5</v>
      </c>
      <c r="I922">
        <f t="shared" si="115"/>
        <v>1</v>
      </c>
      <c r="J922">
        <f t="shared" si="116"/>
        <v>11</v>
      </c>
    </row>
    <row r="923" spans="1:10" x14ac:dyDescent="0.25">
      <c r="A923">
        <v>921</v>
      </c>
      <c r="B923" s="4" t="str">
        <f t="shared" si="111"/>
        <v>NOK</v>
      </c>
      <c r="C923" t="str">
        <f t="shared" si="108"/>
        <v>C</v>
      </c>
      <c r="D923" t="str">
        <f t="shared" si="109"/>
        <v>E</v>
      </c>
      <c r="E923" t="str">
        <f t="shared" si="110"/>
        <v>A</v>
      </c>
      <c r="F923" t="str">
        <f t="shared" si="112"/>
        <v>L</v>
      </c>
      <c r="G923" s="4">
        <f t="shared" si="113"/>
        <v>3</v>
      </c>
      <c r="H923">
        <f t="shared" si="114"/>
        <v>5</v>
      </c>
      <c r="I923">
        <f t="shared" si="115"/>
        <v>1</v>
      </c>
      <c r="J923">
        <f t="shared" si="116"/>
        <v>12</v>
      </c>
    </row>
    <row r="924" spans="1:10" x14ac:dyDescent="0.25">
      <c r="A924">
        <v>922</v>
      </c>
      <c r="B924" s="4" t="str">
        <f t="shared" si="111"/>
        <v>NOK</v>
      </c>
      <c r="C924" t="str">
        <f t="shared" si="108"/>
        <v>C</v>
      </c>
      <c r="D924" t="str">
        <f t="shared" si="109"/>
        <v>E</v>
      </c>
      <c r="E924" t="str">
        <f t="shared" si="110"/>
        <v>A</v>
      </c>
      <c r="F924" t="str">
        <f t="shared" si="112"/>
        <v>M</v>
      </c>
      <c r="G924" s="4">
        <f t="shared" si="113"/>
        <v>3</v>
      </c>
      <c r="H924">
        <f t="shared" si="114"/>
        <v>5</v>
      </c>
      <c r="I924">
        <f t="shared" si="115"/>
        <v>1</v>
      </c>
      <c r="J924">
        <f t="shared" si="116"/>
        <v>13</v>
      </c>
    </row>
    <row r="925" spans="1:10" x14ac:dyDescent="0.25">
      <c r="A925">
        <v>923</v>
      </c>
      <c r="B925" s="4" t="str">
        <f t="shared" si="111"/>
        <v>NOK</v>
      </c>
      <c r="C925" t="str">
        <f t="shared" si="108"/>
        <v>C</v>
      </c>
      <c r="D925" t="str">
        <f t="shared" si="109"/>
        <v>E</v>
      </c>
      <c r="E925" t="str">
        <f t="shared" si="110"/>
        <v>B</v>
      </c>
      <c r="F925" t="str">
        <f t="shared" si="112"/>
        <v>A</v>
      </c>
      <c r="G925" s="4">
        <f t="shared" si="113"/>
        <v>3</v>
      </c>
      <c r="H925">
        <f t="shared" si="114"/>
        <v>5</v>
      </c>
      <c r="I925">
        <f t="shared" si="115"/>
        <v>2</v>
      </c>
      <c r="J925">
        <f t="shared" si="116"/>
        <v>1</v>
      </c>
    </row>
    <row r="926" spans="1:10" x14ac:dyDescent="0.25">
      <c r="A926">
        <v>924</v>
      </c>
      <c r="B926" s="4" t="str">
        <f t="shared" si="111"/>
        <v>NOK</v>
      </c>
      <c r="C926" t="str">
        <f t="shared" si="108"/>
        <v>C</v>
      </c>
      <c r="D926" t="str">
        <f t="shared" si="109"/>
        <v>E</v>
      </c>
      <c r="E926" t="str">
        <f t="shared" si="110"/>
        <v>B</v>
      </c>
      <c r="F926" t="str">
        <f t="shared" si="112"/>
        <v>B</v>
      </c>
      <c r="G926" s="4">
        <f t="shared" si="113"/>
        <v>3</v>
      </c>
      <c r="H926">
        <f t="shared" si="114"/>
        <v>5</v>
      </c>
      <c r="I926">
        <f t="shared" si="115"/>
        <v>2</v>
      </c>
      <c r="J926">
        <f t="shared" si="116"/>
        <v>2</v>
      </c>
    </row>
    <row r="927" spans="1:10" x14ac:dyDescent="0.25">
      <c r="A927">
        <v>925</v>
      </c>
      <c r="B927" s="4" t="str">
        <f t="shared" si="111"/>
        <v>NOK</v>
      </c>
      <c r="C927" t="str">
        <f t="shared" si="108"/>
        <v>C</v>
      </c>
      <c r="D927" t="str">
        <f t="shared" si="109"/>
        <v>E</v>
      </c>
      <c r="E927" t="str">
        <f t="shared" si="110"/>
        <v>B</v>
      </c>
      <c r="F927" t="str">
        <f t="shared" si="112"/>
        <v>C</v>
      </c>
      <c r="G927" s="4">
        <f t="shared" si="113"/>
        <v>3</v>
      </c>
      <c r="H927">
        <f t="shared" si="114"/>
        <v>5</v>
      </c>
      <c r="I927">
        <f t="shared" si="115"/>
        <v>2</v>
      </c>
      <c r="J927">
        <f t="shared" si="116"/>
        <v>3</v>
      </c>
    </row>
    <row r="928" spans="1:10" x14ac:dyDescent="0.25">
      <c r="A928">
        <v>926</v>
      </c>
      <c r="B928" s="4" t="str">
        <f t="shared" si="111"/>
        <v>NOK</v>
      </c>
      <c r="C928" t="str">
        <f t="shared" si="108"/>
        <v>C</v>
      </c>
      <c r="D928" t="str">
        <f t="shared" si="109"/>
        <v>E</v>
      </c>
      <c r="E928" t="str">
        <f t="shared" si="110"/>
        <v>B</v>
      </c>
      <c r="F928" t="str">
        <f t="shared" si="112"/>
        <v>D</v>
      </c>
      <c r="G928" s="4">
        <f t="shared" si="113"/>
        <v>3</v>
      </c>
      <c r="H928">
        <f t="shared" si="114"/>
        <v>5</v>
      </c>
      <c r="I928">
        <f t="shared" si="115"/>
        <v>2</v>
      </c>
      <c r="J928">
        <f t="shared" si="116"/>
        <v>4</v>
      </c>
    </row>
    <row r="929" spans="1:10" x14ac:dyDescent="0.25">
      <c r="A929">
        <v>927</v>
      </c>
      <c r="B929" s="4" t="str">
        <f t="shared" si="111"/>
        <v>NOK</v>
      </c>
      <c r="C929" t="str">
        <f t="shared" si="108"/>
        <v>C</v>
      </c>
      <c r="D929" t="str">
        <f t="shared" si="109"/>
        <v>E</v>
      </c>
      <c r="E929" t="str">
        <f t="shared" si="110"/>
        <v>B</v>
      </c>
      <c r="F929" t="str">
        <f t="shared" si="112"/>
        <v>E</v>
      </c>
      <c r="G929" s="4">
        <f t="shared" si="113"/>
        <v>3</v>
      </c>
      <c r="H929">
        <f t="shared" si="114"/>
        <v>5</v>
      </c>
      <c r="I929">
        <f t="shared" si="115"/>
        <v>2</v>
      </c>
      <c r="J929">
        <f t="shared" si="116"/>
        <v>5</v>
      </c>
    </row>
    <row r="930" spans="1:10" x14ac:dyDescent="0.25">
      <c r="A930">
        <v>928</v>
      </c>
      <c r="B930" s="4" t="str">
        <f t="shared" si="111"/>
        <v>NOK</v>
      </c>
      <c r="C930" t="str">
        <f t="shared" si="108"/>
        <v>C</v>
      </c>
      <c r="D930" t="str">
        <f t="shared" si="109"/>
        <v>E</v>
      </c>
      <c r="E930" t="str">
        <f t="shared" si="110"/>
        <v>B</v>
      </c>
      <c r="F930" t="str">
        <f t="shared" si="112"/>
        <v>F</v>
      </c>
      <c r="G930" s="4">
        <f t="shared" si="113"/>
        <v>3</v>
      </c>
      <c r="H930">
        <f t="shared" si="114"/>
        <v>5</v>
      </c>
      <c r="I930">
        <f t="shared" si="115"/>
        <v>2</v>
      </c>
      <c r="J930">
        <f t="shared" si="116"/>
        <v>6</v>
      </c>
    </row>
    <row r="931" spans="1:10" x14ac:dyDescent="0.25">
      <c r="A931">
        <v>929</v>
      </c>
      <c r="B931" s="4" t="str">
        <f t="shared" si="111"/>
        <v>NOK</v>
      </c>
      <c r="C931" t="str">
        <f t="shared" si="108"/>
        <v>C</v>
      </c>
      <c r="D931" t="str">
        <f t="shared" si="109"/>
        <v>E</v>
      </c>
      <c r="E931" t="str">
        <f t="shared" si="110"/>
        <v>B</v>
      </c>
      <c r="F931" t="str">
        <f t="shared" si="112"/>
        <v>G</v>
      </c>
      <c r="G931" s="4">
        <f t="shared" si="113"/>
        <v>3</v>
      </c>
      <c r="H931">
        <f t="shared" si="114"/>
        <v>5</v>
      </c>
      <c r="I931">
        <f t="shared" si="115"/>
        <v>2</v>
      </c>
      <c r="J931">
        <f t="shared" si="116"/>
        <v>7</v>
      </c>
    </row>
    <row r="932" spans="1:10" x14ac:dyDescent="0.25">
      <c r="A932">
        <v>930</v>
      </c>
      <c r="B932" s="4" t="str">
        <f t="shared" si="111"/>
        <v>OK</v>
      </c>
      <c r="C932" t="str">
        <f t="shared" si="108"/>
        <v>C</v>
      </c>
      <c r="D932" t="str">
        <f t="shared" si="109"/>
        <v>E</v>
      </c>
      <c r="E932" t="str">
        <f t="shared" si="110"/>
        <v>B</v>
      </c>
      <c r="F932" t="str">
        <f t="shared" si="112"/>
        <v>H</v>
      </c>
      <c r="G932" s="4">
        <f t="shared" si="113"/>
        <v>3</v>
      </c>
      <c r="H932">
        <f t="shared" si="114"/>
        <v>5</v>
      </c>
      <c r="I932">
        <f t="shared" si="115"/>
        <v>2</v>
      </c>
      <c r="J932">
        <f t="shared" si="116"/>
        <v>8</v>
      </c>
    </row>
    <row r="933" spans="1:10" x14ac:dyDescent="0.25">
      <c r="A933">
        <v>931</v>
      </c>
      <c r="B933" s="4" t="str">
        <f t="shared" si="111"/>
        <v>NOK</v>
      </c>
      <c r="C933" t="str">
        <f t="shared" si="108"/>
        <v>C</v>
      </c>
      <c r="D933" t="str">
        <f t="shared" si="109"/>
        <v>E</v>
      </c>
      <c r="E933" t="str">
        <f t="shared" si="110"/>
        <v>B</v>
      </c>
      <c r="F933" t="str">
        <f t="shared" si="112"/>
        <v>I</v>
      </c>
      <c r="G933" s="4">
        <f t="shared" si="113"/>
        <v>3</v>
      </c>
      <c r="H933">
        <f t="shared" si="114"/>
        <v>5</v>
      </c>
      <c r="I933">
        <f t="shared" si="115"/>
        <v>2</v>
      </c>
      <c r="J933">
        <f t="shared" si="116"/>
        <v>9</v>
      </c>
    </row>
    <row r="934" spans="1:10" x14ac:dyDescent="0.25">
      <c r="A934">
        <v>932</v>
      </c>
      <c r="B934" s="4" t="str">
        <f t="shared" si="111"/>
        <v>NOK</v>
      </c>
      <c r="C934" t="str">
        <f t="shared" si="108"/>
        <v>C</v>
      </c>
      <c r="D934" t="str">
        <f t="shared" si="109"/>
        <v>E</v>
      </c>
      <c r="E934" t="str">
        <f t="shared" si="110"/>
        <v>B</v>
      </c>
      <c r="F934" t="str">
        <f t="shared" si="112"/>
        <v>J</v>
      </c>
      <c r="G934" s="4">
        <f t="shared" si="113"/>
        <v>3</v>
      </c>
      <c r="H934">
        <f t="shared" si="114"/>
        <v>5</v>
      </c>
      <c r="I934">
        <f t="shared" si="115"/>
        <v>2</v>
      </c>
      <c r="J934">
        <f t="shared" si="116"/>
        <v>10</v>
      </c>
    </row>
    <row r="935" spans="1:10" x14ac:dyDescent="0.25">
      <c r="A935">
        <v>933</v>
      </c>
      <c r="B935" s="4" t="str">
        <f t="shared" si="111"/>
        <v>NOK</v>
      </c>
      <c r="C935" t="str">
        <f t="shared" si="108"/>
        <v>C</v>
      </c>
      <c r="D935" t="str">
        <f t="shared" si="109"/>
        <v>E</v>
      </c>
      <c r="E935" t="str">
        <f t="shared" si="110"/>
        <v>B</v>
      </c>
      <c r="F935" t="str">
        <f t="shared" si="112"/>
        <v>K</v>
      </c>
      <c r="G935" s="4">
        <f t="shared" si="113"/>
        <v>3</v>
      </c>
      <c r="H935">
        <f t="shared" si="114"/>
        <v>5</v>
      </c>
      <c r="I935">
        <f t="shared" si="115"/>
        <v>2</v>
      </c>
      <c r="J935">
        <f t="shared" si="116"/>
        <v>11</v>
      </c>
    </row>
    <row r="936" spans="1:10" x14ac:dyDescent="0.25">
      <c r="A936">
        <v>934</v>
      </c>
      <c r="B936" s="4" t="str">
        <f t="shared" si="111"/>
        <v>NOK</v>
      </c>
      <c r="C936" t="str">
        <f t="shared" si="108"/>
        <v>C</v>
      </c>
      <c r="D936" t="str">
        <f t="shared" si="109"/>
        <v>E</v>
      </c>
      <c r="E936" t="str">
        <f t="shared" si="110"/>
        <v>B</v>
      </c>
      <c r="F936" t="str">
        <f t="shared" si="112"/>
        <v>L</v>
      </c>
      <c r="G936" s="4">
        <f t="shared" si="113"/>
        <v>3</v>
      </c>
      <c r="H936">
        <f t="shared" si="114"/>
        <v>5</v>
      </c>
      <c r="I936">
        <f t="shared" si="115"/>
        <v>2</v>
      </c>
      <c r="J936">
        <f t="shared" si="116"/>
        <v>12</v>
      </c>
    </row>
    <row r="937" spans="1:10" x14ac:dyDescent="0.25">
      <c r="A937">
        <v>935</v>
      </c>
      <c r="B937" s="4" t="str">
        <f t="shared" si="111"/>
        <v>NOK</v>
      </c>
      <c r="C937" t="str">
        <f t="shared" si="108"/>
        <v>C</v>
      </c>
      <c r="D937" t="str">
        <f t="shared" si="109"/>
        <v>E</v>
      </c>
      <c r="E937" t="str">
        <f t="shared" si="110"/>
        <v>B</v>
      </c>
      <c r="F937" t="str">
        <f t="shared" si="112"/>
        <v>M</v>
      </c>
      <c r="G937" s="4">
        <f t="shared" si="113"/>
        <v>3</v>
      </c>
      <c r="H937">
        <f t="shared" si="114"/>
        <v>5</v>
      </c>
      <c r="I937">
        <f t="shared" si="115"/>
        <v>2</v>
      </c>
      <c r="J937">
        <f t="shared" si="116"/>
        <v>13</v>
      </c>
    </row>
    <row r="938" spans="1:10" x14ac:dyDescent="0.25">
      <c r="A938">
        <v>936</v>
      </c>
      <c r="B938" s="4" t="str">
        <f t="shared" si="111"/>
        <v>NOK</v>
      </c>
      <c r="C938" t="str">
        <f t="shared" si="108"/>
        <v>C</v>
      </c>
      <c r="D938" t="str">
        <f t="shared" si="109"/>
        <v>E</v>
      </c>
      <c r="E938" t="str">
        <f t="shared" si="110"/>
        <v>C</v>
      </c>
      <c r="F938" t="str">
        <f t="shared" si="112"/>
        <v>A</v>
      </c>
      <c r="G938" s="4">
        <f t="shared" si="113"/>
        <v>3</v>
      </c>
      <c r="H938">
        <f t="shared" si="114"/>
        <v>5</v>
      </c>
      <c r="I938">
        <f t="shared" si="115"/>
        <v>3</v>
      </c>
      <c r="J938">
        <f t="shared" si="116"/>
        <v>1</v>
      </c>
    </row>
    <row r="939" spans="1:10" x14ac:dyDescent="0.25">
      <c r="A939">
        <v>937</v>
      </c>
      <c r="B939" s="4" t="str">
        <f t="shared" si="111"/>
        <v>NOK</v>
      </c>
      <c r="C939" t="str">
        <f t="shared" si="108"/>
        <v>C</v>
      </c>
      <c r="D939" t="str">
        <f t="shared" si="109"/>
        <v>E</v>
      </c>
      <c r="E939" t="str">
        <f t="shared" si="110"/>
        <v>C</v>
      </c>
      <c r="F939" t="str">
        <f t="shared" si="112"/>
        <v>B</v>
      </c>
      <c r="G939" s="4">
        <f t="shared" si="113"/>
        <v>3</v>
      </c>
      <c r="H939">
        <f t="shared" si="114"/>
        <v>5</v>
      </c>
      <c r="I939">
        <f t="shared" si="115"/>
        <v>3</v>
      </c>
      <c r="J939">
        <f t="shared" si="116"/>
        <v>2</v>
      </c>
    </row>
    <row r="940" spans="1:10" x14ac:dyDescent="0.25">
      <c r="A940">
        <v>938</v>
      </c>
      <c r="B940" s="4" t="str">
        <f t="shared" si="111"/>
        <v>NOK</v>
      </c>
      <c r="C940" t="str">
        <f t="shared" si="108"/>
        <v>C</v>
      </c>
      <c r="D940" t="str">
        <f t="shared" si="109"/>
        <v>E</v>
      </c>
      <c r="E940" t="str">
        <f t="shared" si="110"/>
        <v>C</v>
      </c>
      <c r="F940" t="str">
        <f t="shared" si="112"/>
        <v>C</v>
      </c>
      <c r="G940" s="4">
        <f t="shared" si="113"/>
        <v>3</v>
      </c>
      <c r="H940">
        <f t="shared" si="114"/>
        <v>5</v>
      </c>
      <c r="I940">
        <f t="shared" si="115"/>
        <v>3</v>
      </c>
      <c r="J940">
        <f t="shared" si="116"/>
        <v>3</v>
      </c>
    </row>
    <row r="941" spans="1:10" x14ac:dyDescent="0.25">
      <c r="A941">
        <v>939</v>
      </c>
      <c r="B941" s="4" t="str">
        <f t="shared" si="111"/>
        <v>NOK</v>
      </c>
      <c r="C941" t="str">
        <f t="shared" si="108"/>
        <v>C</v>
      </c>
      <c r="D941" t="str">
        <f t="shared" si="109"/>
        <v>E</v>
      </c>
      <c r="E941" t="str">
        <f t="shared" si="110"/>
        <v>C</v>
      </c>
      <c r="F941" t="str">
        <f t="shared" si="112"/>
        <v>D</v>
      </c>
      <c r="G941" s="4">
        <f t="shared" si="113"/>
        <v>3</v>
      </c>
      <c r="H941">
        <f t="shared" si="114"/>
        <v>5</v>
      </c>
      <c r="I941">
        <f t="shared" si="115"/>
        <v>3</v>
      </c>
      <c r="J941">
        <f t="shared" si="116"/>
        <v>4</v>
      </c>
    </row>
    <row r="942" spans="1:10" x14ac:dyDescent="0.25">
      <c r="A942">
        <v>940</v>
      </c>
      <c r="B942" s="4" t="str">
        <f t="shared" si="111"/>
        <v>NOK</v>
      </c>
      <c r="C942" t="str">
        <f t="shared" si="108"/>
        <v>C</v>
      </c>
      <c r="D942" t="str">
        <f t="shared" si="109"/>
        <v>E</v>
      </c>
      <c r="E942" t="str">
        <f t="shared" si="110"/>
        <v>C</v>
      </c>
      <c r="F942" t="str">
        <f t="shared" si="112"/>
        <v>E</v>
      </c>
      <c r="G942" s="4">
        <f t="shared" si="113"/>
        <v>3</v>
      </c>
      <c r="H942">
        <f t="shared" si="114"/>
        <v>5</v>
      </c>
      <c r="I942">
        <f t="shared" si="115"/>
        <v>3</v>
      </c>
      <c r="J942">
        <f t="shared" si="116"/>
        <v>5</v>
      </c>
    </row>
    <row r="943" spans="1:10" x14ac:dyDescent="0.25">
      <c r="A943">
        <v>941</v>
      </c>
      <c r="B943" s="4" t="str">
        <f t="shared" si="111"/>
        <v>NOK</v>
      </c>
      <c r="C943" t="str">
        <f t="shared" si="108"/>
        <v>C</v>
      </c>
      <c r="D943" t="str">
        <f t="shared" si="109"/>
        <v>E</v>
      </c>
      <c r="E943" t="str">
        <f t="shared" si="110"/>
        <v>C</v>
      </c>
      <c r="F943" t="str">
        <f t="shared" si="112"/>
        <v>F</v>
      </c>
      <c r="G943" s="4">
        <f t="shared" si="113"/>
        <v>3</v>
      </c>
      <c r="H943">
        <f t="shared" si="114"/>
        <v>5</v>
      </c>
      <c r="I943">
        <f t="shared" si="115"/>
        <v>3</v>
      </c>
      <c r="J943">
        <f t="shared" si="116"/>
        <v>6</v>
      </c>
    </row>
    <row r="944" spans="1:10" x14ac:dyDescent="0.25">
      <c r="A944">
        <v>942</v>
      </c>
      <c r="B944" s="4" t="str">
        <f t="shared" si="111"/>
        <v>NOK</v>
      </c>
      <c r="C944" t="str">
        <f t="shared" si="108"/>
        <v>C</v>
      </c>
      <c r="D944" t="str">
        <f t="shared" si="109"/>
        <v>E</v>
      </c>
      <c r="E944" t="str">
        <f t="shared" si="110"/>
        <v>C</v>
      </c>
      <c r="F944" t="str">
        <f t="shared" si="112"/>
        <v>G</v>
      </c>
      <c r="G944" s="4">
        <f t="shared" si="113"/>
        <v>3</v>
      </c>
      <c r="H944">
        <f t="shared" si="114"/>
        <v>5</v>
      </c>
      <c r="I944">
        <f t="shared" si="115"/>
        <v>3</v>
      </c>
      <c r="J944">
        <f t="shared" si="116"/>
        <v>7</v>
      </c>
    </row>
    <row r="945" spans="1:10" x14ac:dyDescent="0.25">
      <c r="A945">
        <v>943</v>
      </c>
      <c r="B945" s="4" t="str">
        <f t="shared" si="111"/>
        <v>NOK</v>
      </c>
      <c r="C945" t="str">
        <f t="shared" si="108"/>
        <v>C</v>
      </c>
      <c r="D945" t="str">
        <f t="shared" si="109"/>
        <v>E</v>
      </c>
      <c r="E945" t="str">
        <f t="shared" si="110"/>
        <v>C</v>
      </c>
      <c r="F945" t="str">
        <f t="shared" si="112"/>
        <v>H</v>
      </c>
      <c r="G945" s="4">
        <f t="shared" si="113"/>
        <v>3</v>
      </c>
      <c r="H945">
        <f t="shared" si="114"/>
        <v>5</v>
      </c>
      <c r="I945">
        <f t="shared" si="115"/>
        <v>3</v>
      </c>
      <c r="J945">
        <f t="shared" si="116"/>
        <v>8</v>
      </c>
    </row>
    <row r="946" spans="1:10" x14ac:dyDescent="0.25">
      <c r="A946">
        <v>944</v>
      </c>
      <c r="B946" s="4" t="str">
        <f t="shared" si="111"/>
        <v>OK</v>
      </c>
      <c r="C946" t="str">
        <f t="shared" si="108"/>
        <v>C</v>
      </c>
      <c r="D946" t="str">
        <f t="shared" si="109"/>
        <v>E</v>
      </c>
      <c r="E946" t="str">
        <f t="shared" si="110"/>
        <v>C</v>
      </c>
      <c r="F946" t="str">
        <f t="shared" si="112"/>
        <v>I</v>
      </c>
      <c r="G946" s="4">
        <f t="shared" si="113"/>
        <v>3</v>
      </c>
      <c r="H946">
        <f t="shared" si="114"/>
        <v>5</v>
      </c>
      <c r="I946">
        <f t="shared" si="115"/>
        <v>3</v>
      </c>
      <c r="J946">
        <f t="shared" si="116"/>
        <v>9</v>
      </c>
    </row>
    <row r="947" spans="1:10" x14ac:dyDescent="0.25">
      <c r="A947">
        <v>945</v>
      </c>
      <c r="B947" s="4" t="str">
        <f t="shared" si="111"/>
        <v>NOK</v>
      </c>
      <c r="C947" t="str">
        <f t="shared" si="108"/>
        <v>C</v>
      </c>
      <c r="D947" t="str">
        <f t="shared" si="109"/>
        <v>E</v>
      </c>
      <c r="E947" t="str">
        <f t="shared" si="110"/>
        <v>C</v>
      </c>
      <c r="F947" t="str">
        <f t="shared" si="112"/>
        <v>J</v>
      </c>
      <c r="G947" s="4">
        <f t="shared" si="113"/>
        <v>3</v>
      </c>
      <c r="H947">
        <f t="shared" si="114"/>
        <v>5</v>
      </c>
      <c r="I947">
        <f t="shared" si="115"/>
        <v>3</v>
      </c>
      <c r="J947">
        <f t="shared" si="116"/>
        <v>10</v>
      </c>
    </row>
    <row r="948" spans="1:10" x14ac:dyDescent="0.25">
      <c r="A948">
        <v>946</v>
      </c>
      <c r="B948" s="4" t="str">
        <f t="shared" si="111"/>
        <v>NOK</v>
      </c>
      <c r="C948" t="str">
        <f t="shared" ref="C948:C1011" si="117">IF(G948=1,"A",IF(G948=2,"B",IF(G948=3,"C",IF(G948=4,"D",IF(G948=5,"E","ERRO")))))</f>
        <v>C</v>
      </c>
      <c r="D948" t="str">
        <f t="shared" ref="D948:D1011" si="118">IF(H948=1,"A",IF(H948=2,"B",IF(H948=3,"C",IF(H948=4,"D",IF(H948=5,"E","ERRO")))))</f>
        <v>E</v>
      </c>
      <c r="E948" t="str">
        <f t="shared" ref="E948:E1011" si="119">IF(I948=1,"A",IF(I948=2,"B",IF(I948=3,"C",IF(I948=4,"D",IF(I948=5,"E","ERRO")))))</f>
        <v>C</v>
      </c>
      <c r="F948" t="str">
        <f t="shared" si="112"/>
        <v>K</v>
      </c>
      <c r="G948" s="4">
        <f t="shared" si="113"/>
        <v>3</v>
      </c>
      <c r="H948">
        <f t="shared" si="114"/>
        <v>5</v>
      </c>
      <c r="I948">
        <f t="shared" si="115"/>
        <v>3</v>
      </c>
      <c r="J948">
        <f t="shared" si="116"/>
        <v>11</v>
      </c>
    </row>
    <row r="949" spans="1:10" x14ac:dyDescent="0.25">
      <c r="A949">
        <v>947</v>
      </c>
      <c r="B949" s="4" t="str">
        <f t="shared" si="111"/>
        <v>NOK</v>
      </c>
      <c r="C949" t="str">
        <f t="shared" si="117"/>
        <v>C</v>
      </c>
      <c r="D949" t="str">
        <f t="shared" si="118"/>
        <v>E</v>
      </c>
      <c r="E949" t="str">
        <f t="shared" si="119"/>
        <v>C</v>
      </c>
      <c r="F949" t="str">
        <f t="shared" si="112"/>
        <v>L</v>
      </c>
      <c r="G949" s="4">
        <f t="shared" si="113"/>
        <v>3</v>
      </c>
      <c r="H949">
        <f t="shared" si="114"/>
        <v>5</v>
      </c>
      <c r="I949">
        <f t="shared" si="115"/>
        <v>3</v>
      </c>
      <c r="J949">
        <f t="shared" si="116"/>
        <v>12</v>
      </c>
    </row>
    <row r="950" spans="1:10" x14ac:dyDescent="0.25">
      <c r="A950">
        <v>948</v>
      </c>
      <c r="B950" s="4" t="str">
        <f t="shared" si="111"/>
        <v>NOK</v>
      </c>
      <c r="C950" t="str">
        <f t="shared" si="117"/>
        <v>C</v>
      </c>
      <c r="D950" t="str">
        <f t="shared" si="118"/>
        <v>E</v>
      </c>
      <c r="E950" t="str">
        <f t="shared" si="119"/>
        <v>C</v>
      </c>
      <c r="F950" t="str">
        <f t="shared" si="112"/>
        <v>M</v>
      </c>
      <c r="G950" s="4">
        <f t="shared" si="113"/>
        <v>3</v>
      </c>
      <c r="H950">
        <f t="shared" si="114"/>
        <v>5</v>
      </c>
      <c r="I950">
        <f t="shared" si="115"/>
        <v>3</v>
      </c>
      <c r="J950">
        <f t="shared" si="116"/>
        <v>13</v>
      </c>
    </row>
    <row r="951" spans="1:10" x14ac:dyDescent="0.25">
      <c r="A951">
        <v>949</v>
      </c>
      <c r="B951" s="4" t="str">
        <f t="shared" si="111"/>
        <v>NOK</v>
      </c>
      <c r="C951" t="str">
        <f t="shared" si="117"/>
        <v>C</v>
      </c>
      <c r="D951" t="str">
        <f t="shared" si="118"/>
        <v>E</v>
      </c>
      <c r="E951" t="str">
        <f t="shared" si="119"/>
        <v>D</v>
      </c>
      <c r="F951" t="str">
        <f t="shared" si="112"/>
        <v>A</v>
      </c>
      <c r="G951" s="4">
        <f t="shared" si="113"/>
        <v>3</v>
      </c>
      <c r="H951">
        <f t="shared" si="114"/>
        <v>5</v>
      </c>
      <c r="I951">
        <f t="shared" si="115"/>
        <v>4</v>
      </c>
      <c r="J951">
        <f t="shared" si="116"/>
        <v>1</v>
      </c>
    </row>
    <row r="952" spans="1:10" x14ac:dyDescent="0.25">
      <c r="A952">
        <v>950</v>
      </c>
      <c r="B952" s="4" t="str">
        <f t="shared" si="111"/>
        <v>NOK</v>
      </c>
      <c r="C952" t="str">
        <f t="shared" si="117"/>
        <v>C</v>
      </c>
      <c r="D952" t="str">
        <f t="shared" si="118"/>
        <v>E</v>
      </c>
      <c r="E952" t="str">
        <f t="shared" si="119"/>
        <v>D</v>
      </c>
      <c r="F952" t="str">
        <f t="shared" si="112"/>
        <v>B</v>
      </c>
      <c r="G952" s="4">
        <f t="shared" si="113"/>
        <v>3</v>
      </c>
      <c r="H952">
        <f t="shared" si="114"/>
        <v>5</v>
      </c>
      <c r="I952">
        <f t="shared" si="115"/>
        <v>4</v>
      </c>
      <c r="J952">
        <f t="shared" si="116"/>
        <v>2</v>
      </c>
    </row>
    <row r="953" spans="1:10" x14ac:dyDescent="0.25">
      <c r="A953">
        <v>951</v>
      </c>
      <c r="B953" s="4" t="str">
        <f t="shared" si="111"/>
        <v>NOK</v>
      </c>
      <c r="C953" t="str">
        <f t="shared" si="117"/>
        <v>C</v>
      </c>
      <c r="D953" t="str">
        <f t="shared" si="118"/>
        <v>E</v>
      </c>
      <c r="E953" t="str">
        <f t="shared" si="119"/>
        <v>D</v>
      </c>
      <c r="F953" t="str">
        <f t="shared" si="112"/>
        <v>C</v>
      </c>
      <c r="G953" s="4">
        <f t="shared" si="113"/>
        <v>3</v>
      </c>
      <c r="H953">
        <f t="shared" si="114"/>
        <v>5</v>
      </c>
      <c r="I953">
        <f t="shared" si="115"/>
        <v>4</v>
      </c>
      <c r="J953">
        <f t="shared" si="116"/>
        <v>3</v>
      </c>
    </row>
    <row r="954" spans="1:10" x14ac:dyDescent="0.25">
      <c r="A954">
        <v>952</v>
      </c>
      <c r="B954" s="4" t="str">
        <f t="shared" si="111"/>
        <v>NOK</v>
      </c>
      <c r="C954" t="str">
        <f t="shared" si="117"/>
        <v>C</v>
      </c>
      <c r="D954" t="str">
        <f t="shared" si="118"/>
        <v>E</v>
      </c>
      <c r="E954" t="str">
        <f t="shared" si="119"/>
        <v>D</v>
      </c>
      <c r="F954" t="str">
        <f t="shared" si="112"/>
        <v>D</v>
      </c>
      <c r="G954" s="4">
        <f t="shared" si="113"/>
        <v>3</v>
      </c>
      <c r="H954">
        <f t="shared" si="114"/>
        <v>5</v>
      </c>
      <c r="I954">
        <f t="shared" si="115"/>
        <v>4</v>
      </c>
      <c r="J954">
        <f t="shared" si="116"/>
        <v>4</v>
      </c>
    </row>
    <row r="955" spans="1:10" x14ac:dyDescent="0.25">
      <c r="A955">
        <v>953</v>
      </c>
      <c r="B955" s="4" t="str">
        <f t="shared" si="111"/>
        <v>NOK</v>
      </c>
      <c r="C955" t="str">
        <f t="shared" si="117"/>
        <v>C</v>
      </c>
      <c r="D955" t="str">
        <f t="shared" si="118"/>
        <v>E</v>
      </c>
      <c r="E955" t="str">
        <f t="shared" si="119"/>
        <v>D</v>
      </c>
      <c r="F955" t="str">
        <f t="shared" si="112"/>
        <v>E</v>
      </c>
      <c r="G955" s="4">
        <f t="shared" si="113"/>
        <v>3</v>
      </c>
      <c r="H955">
        <f t="shared" si="114"/>
        <v>5</v>
      </c>
      <c r="I955">
        <f t="shared" si="115"/>
        <v>4</v>
      </c>
      <c r="J955">
        <f t="shared" si="116"/>
        <v>5</v>
      </c>
    </row>
    <row r="956" spans="1:10" x14ac:dyDescent="0.25">
      <c r="A956">
        <v>954</v>
      </c>
      <c r="B956" s="4" t="str">
        <f t="shared" si="111"/>
        <v>NOK</v>
      </c>
      <c r="C956" t="str">
        <f t="shared" si="117"/>
        <v>C</v>
      </c>
      <c r="D956" t="str">
        <f t="shared" si="118"/>
        <v>E</v>
      </c>
      <c r="E956" t="str">
        <f t="shared" si="119"/>
        <v>D</v>
      </c>
      <c r="F956" t="str">
        <f t="shared" si="112"/>
        <v>F</v>
      </c>
      <c r="G956" s="4">
        <f t="shared" si="113"/>
        <v>3</v>
      </c>
      <c r="H956">
        <f t="shared" si="114"/>
        <v>5</v>
      </c>
      <c r="I956">
        <f t="shared" si="115"/>
        <v>4</v>
      </c>
      <c r="J956">
        <f t="shared" si="116"/>
        <v>6</v>
      </c>
    </row>
    <row r="957" spans="1:10" x14ac:dyDescent="0.25">
      <c r="A957">
        <v>955</v>
      </c>
      <c r="B957" s="4" t="str">
        <f t="shared" si="111"/>
        <v>NOK</v>
      </c>
      <c r="C957" t="str">
        <f t="shared" si="117"/>
        <v>C</v>
      </c>
      <c r="D957" t="str">
        <f t="shared" si="118"/>
        <v>E</v>
      </c>
      <c r="E957" t="str">
        <f t="shared" si="119"/>
        <v>D</v>
      </c>
      <c r="F957" t="str">
        <f t="shared" si="112"/>
        <v>G</v>
      </c>
      <c r="G957" s="4">
        <f t="shared" si="113"/>
        <v>3</v>
      </c>
      <c r="H957">
        <f t="shared" si="114"/>
        <v>5</v>
      </c>
      <c r="I957">
        <f t="shared" si="115"/>
        <v>4</v>
      </c>
      <c r="J957">
        <f t="shared" si="116"/>
        <v>7</v>
      </c>
    </row>
    <row r="958" spans="1:10" x14ac:dyDescent="0.25">
      <c r="A958">
        <v>956</v>
      </c>
      <c r="B958" s="4" t="str">
        <f t="shared" si="111"/>
        <v>NOK</v>
      </c>
      <c r="C958" t="str">
        <f t="shared" si="117"/>
        <v>C</v>
      </c>
      <c r="D958" t="str">
        <f t="shared" si="118"/>
        <v>E</v>
      </c>
      <c r="E958" t="str">
        <f t="shared" si="119"/>
        <v>D</v>
      </c>
      <c r="F958" t="str">
        <f t="shared" si="112"/>
        <v>H</v>
      </c>
      <c r="G958" s="4">
        <f t="shared" si="113"/>
        <v>3</v>
      </c>
      <c r="H958">
        <f t="shared" si="114"/>
        <v>5</v>
      </c>
      <c r="I958">
        <f t="shared" si="115"/>
        <v>4</v>
      </c>
      <c r="J958">
        <f t="shared" si="116"/>
        <v>8</v>
      </c>
    </row>
    <row r="959" spans="1:10" x14ac:dyDescent="0.25">
      <c r="A959">
        <v>957</v>
      </c>
      <c r="B959" s="4" t="str">
        <f t="shared" si="111"/>
        <v>NOK</v>
      </c>
      <c r="C959" t="str">
        <f t="shared" si="117"/>
        <v>C</v>
      </c>
      <c r="D959" t="str">
        <f t="shared" si="118"/>
        <v>E</v>
      </c>
      <c r="E959" t="str">
        <f t="shared" si="119"/>
        <v>D</v>
      </c>
      <c r="F959" t="str">
        <f t="shared" si="112"/>
        <v>I</v>
      </c>
      <c r="G959" s="4">
        <f t="shared" si="113"/>
        <v>3</v>
      </c>
      <c r="H959">
        <f t="shared" si="114"/>
        <v>5</v>
      </c>
      <c r="I959">
        <f t="shared" si="115"/>
        <v>4</v>
      </c>
      <c r="J959">
        <f t="shared" si="116"/>
        <v>9</v>
      </c>
    </row>
    <row r="960" spans="1:10" x14ac:dyDescent="0.25">
      <c r="A960">
        <v>958</v>
      </c>
      <c r="B960" s="4" t="str">
        <f t="shared" si="111"/>
        <v>OK</v>
      </c>
      <c r="C960" t="str">
        <f t="shared" si="117"/>
        <v>C</v>
      </c>
      <c r="D960" t="str">
        <f t="shared" si="118"/>
        <v>E</v>
      </c>
      <c r="E960" t="str">
        <f t="shared" si="119"/>
        <v>D</v>
      </c>
      <c r="F960" t="str">
        <f t="shared" si="112"/>
        <v>J</v>
      </c>
      <c r="G960" s="4">
        <f t="shared" si="113"/>
        <v>3</v>
      </c>
      <c r="H960">
        <f t="shared" si="114"/>
        <v>5</v>
      </c>
      <c r="I960">
        <f t="shared" si="115"/>
        <v>4</v>
      </c>
      <c r="J960">
        <f t="shared" si="116"/>
        <v>10</v>
      </c>
    </row>
    <row r="961" spans="1:10" x14ac:dyDescent="0.25">
      <c r="A961">
        <v>959</v>
      </c>
      <c r="B961" s="4" t="str">
        <f t="shared" si="111"/>
        <v>NOK</v>
      </c>
      <c r="C961" t="str">
        <f t="shared" si="117"/>
        <v>C</v>
      </c>
      <c r="D961" t="str">
        <f t="shared" si="118"/>
        <v>E</v>
      </c>
      <c r="E961" t="str">
        <f t="shared" si="119"/>
        <v>D</v>
      </c>
      <c r="F961" t="str">
        <f t="shared" si="112"/>
        <v>K</v>
      </c>
      <c r="G961" s="4">
        <f t="shared" si="113"/>
        <v>3</v>
      </c>
      <c r="H961">
        <f t="shared" si="114"/>
        <v>5</v>
      </c>
      <c r="I961">
        <f t="shared" si="115"/>
        <v>4</v>
      </c>
      <c r="J961">
        <f t="shared" si="116"/>
        <v>11</v>
      </c>
    </row>
    <row r="962" spans="1:10" x14ac:dyDescent="0.25">
      <c r="A962">
        <v>960</v>
      </c>
      <c r="B962" s="4" t="str">
        <f t="shared" ref="B962:B1025" si="120">IF(ROUND(_xlfn.XLOOKUP(C962,$U$1:$U$5,$T$1:$T$5,,0,1)+_xlfn.XLOOKUP(D962,$W$1:$W$5,$V$1:$V$5,,0,1)+_xlfn.XLOOKUP(E962,$Y$1:$Y$5,$X$1:$X$5,,0,1)-_xlfn.XLOOKUP(F962,$AA$1:$AA$13,$Z$1:$Z$13,,0,1),3)=0.325,"OK","NOK")</f>
        <v>NOK</v>
      </c>
      <c r="C962" t="str">
        <f t="shared" si="117"/>
        <v>C</v>
      </c>
      <c r="D962" t="str">
        <f t="shared" si="118"/>
        <v>E</v>
      </c>
      <c r="E962" t="str">
        <f t="shared" si="119"/>
        <v>D</v>
      </c>
      <c r="F962" t="str">
        <f t="shared" ref="F962:F1025" si="121">IF(J962=1,"A",IF(J962=2,"B",IF(J962=3,"C",IF(J962=4,"D",IF(J962=5,"E",IF(J962=6,"F",IF(J962=7,"G",IF(J962=8,"H",IF(J962=9,"I",IF(J962=10,"J",IF(J962=11,"K",IF(J962=12,"L",IF(J962=13,"M","ERRO")))))))))))))</f>
        <v>L</v>
      </c>
      <c r="G962" s="4">
        <f t="shared" ref="G962:G1025" si="122">INT($A962/325)+1</f>
        <v>3</v>
      </c>
      <c r="H962">
        <f t="shared" ref="H962:H1025" si="123">INT(MOD($A962,325)/65)+1</f>
        <v>5</v>
      </c>
      <c r="I962">
        <f t="shared" ref="I962:I1025" si="124">INT(MOD($A962,65)/13)+1</f>
        <v>4</v>
      </c>
      <c r="J962">
        <f t="shared" ref="J962:J1025" si="125">MOD($A962,13)+1</f>
        <v>12</v>
      </c>
    </row>
    <row r="963" spans="1:10" x14ac:dyDescent="0.25">
      <c r="A963">
        <v>961</v>
      </c>
      <c r="B963" s="4" t="str">
        <f t="shared" si="120"/>
        <v>NOK</v>
      </c>
      <c r="C963" t="str">
        <f t="shared" si="117"/>
        <v>C</v>
      </c>
      <c r="D963" t="str">
        <f t="shared" si="118"/>
        <v>E</v>
      </c>
      <c r="E963" t="str">
        <f t="shared" si="119"/>
        <v>D</v>
      </c>
      <c r="F963" t="str">
        <f t="shared" si="121"/>
        <v>M</v>
      </c>
      <c r="G963" s="4">
        <f t="shared" si="122"/>
        <v>3</v>
      </c>
      <c r="H963">
        <f t="shared" si="123"/>
        <v>5</v>
      </c>
      <c r="I963">
        <f t="shared" si="124"/>
        <v>4</v>
      </c>
      <c r="J963">
        <f t="shared" si="125"/>
        <v>13</v>
      </c>
    </row>
    <row r="964" spans="1:10" x14ac:dyDescent="0.25">
      <c r="A964">
        <v>962</v>
      </c>
      <c r="B964" s="4" t="str">
        <f t="shared" si="120"/>
        <v>NOK</v>
      </c>
      <c r="C964" t="str">
        <f t="shared" si="117"/>
        <v>C</v>
      </c>
      <c r="D964" t="str">
        <f t="shared" si="118"/>
        <v>E</v>
      </c>
      <c r="E964" t="str">
        <f t="shared" si="119"/>
        <v>E</v>
      </c>
      <c r="F964" t="str">
        <f t="shared" si="121"/>
        <v>A</v>
      </c>
      <c r="G964" s="4">
        <f t="shared" si="122"/>
        <v>3</v>
      </c>
      <c r="H964">
        <f t="shared" si="123"/>
        <v>5</v>
      </c>
      <c r="I964">
        <f t="shared" si="124"/>
        <v>5</v>
      </c>
      <c r="J964">
        <f t="shared" si="125"/>
        <v>1</v>
      </c>
    </row>
    <row r="965" spans="1:10" x14ac:dyDescent="0.25">
      <c r="A965">
        <v>963</v>
      </c>
      <c r="B965" s="4" t="str">
        <f t="shared" si="120"/>
        <v>NOK</v>
      </c>
      <c r="C965" t="str">
        <f t="shared" si="117"/>
        <v>C</v>
      </c>
      <c r="D965" t="str">
        <f t="shared" si="118"/>
        <v>E</v>
      </c>
      <c r="E965" t="str">
        <f t="shared" si="119"/>
        <v>E</v>
      </c>
      <c r="F965" t="str">
        <f t="shared" si="121"/>
        <v>B</v>
      </c>
      <c r="G965" s="4">
        <f t="shared" si="122"/>
        <v>3</v>
      </c>
      <c r="H965">
        <f t="shared" si="123"/>
        <v>5</v>
      </c>
      <c r="I965">
        <f t="shared" si="124"/>
        <v>5</v>
      </c>
      <c r="J965">
        <f t="shared" si="125"/>
        <v>2</v>
      </c>
    </row>
    <row r="966" spans="1:10" x14ac:dyDescent="0.25">
      <c r="A966">
        <v>964</v>
      </c>
      <c r="B966" s="4" t="str">
        <f t="shared" si="120"/>
        <v>NOK</v>
      </c>
      <c r="C966" t="str">
        <f t="shared" si="117"/>
        <v>C</v>
      </c>
      <c r="D966" t="str">
        <f t="shared" si="118"/>
        <v>E</v>
      </c>
      <c r="E966" t="str">
        <f t="shared" si="119"/>
        <v>E</v>
      </c>
      <c r="F966" t="str">
        <f t="shared" si="121"/>
        <v>C</v>
      </c>
      <c r="G966" s="4">
        <f t="shared" si="122"/>
        <v>3</v>
      </c>
      <c r="H966">
        <f t="shared" si="123"/>
        <v>5</v>
      </c>
      <c r="I966">
        <f t="shared" si="124"/>
        <v>5</v>
      </c>
      <c r="J966">
        <f t="shared" si="125"/>
        <v>3</v>
      </c>
    </row>
    <row r="967" spans="1:10" x14ac:dyDescent="0.25">
      <c r="A967">
        <v>965</v>
      </c>
      <c r="B967" s="4" t="str">
        <f t="shared" si="120"/>
        <v>NOK</v>
      </c>
      <c r="C967" t="str">
        <f t="shared" si="117"/>
        <v>C</v>
      </c>
      <c r="D967" t="str">
        <f t="shared" si="118"/>
        <v>E</v>
      </c>
      <c r="E967" t="str">
        <f t="shared" si="119"/>
        <v>E</v>
      </c>
      <c r="F967" t="str">
        <f t="shared" si="121"/>
        <v>D</v>
      </c>
      <c r="G967" s="4">
        <f t="shared" si="122"/>
        <v>3</v>
      </c>
      <c r="H967">
        <f t="shared" si="123"/>
        <v>5</v>
      </c>
      <c r="I967">
        <f t="shared" si="124"/>
        <v>5</v>
      </c>
      <c r="J967">
        <f t="shared" si="125"/>
        <v>4</v>
      </c>
    </row>
    <row r="968" spans="1:10" x14ac:dyDescent="0.25">
      <c r="A968">
        <v>966</v>
      </c>
      <c r="B968" s="4" t="str">
        <f t="shared" si="120"/>
        <v>NOK</v>
      </c>
      <c r="C968" t="str">
        <f t="shared" si="117"/>
        <v>C</v>
      </c>
      <c r="D968" t="str">
        <f t="shared" si="118"/>
        <v>E</v>
      </c>
      <c r="E968" t="str">
        <f t="shared" si="119"/>
        <v>E</v>
      </c>
      <c r="F968" t="str">
        <f t="shared" si="121"/>
        <v>E</v>
      </c>
      <c r="G968" s="4">
        <f t="shared" si="122"/>
        <v>3</v>
      </c>
      <c r="H968">
        <f t="shared" si="123"/>
        <v>5</v>
      </c>
      <c r="I968">
        <f t="shared" si="124"/>
        <v>5</v>
      </c>
      <c r="J968">
        <f t="shared" si="125"/>
        <v>5</v>
      </c>
    </row>
    <row r="969" spans="1:10" x14ac:dyDescent="0.25">
      <c r="A969">
        <v>967</v>
      </c>
      <c r="B969" s="4" t="str">
        <f t="shared" si="120"/>
        <v>NOK</v>
      </c>
      <c r="C969" t="str">
        <f t="shared" si="117"/>
        <v>C</v>
      </c>
      <c r="D969" t="str">
        <f t="shared" si="118"/>
        <v>E</v>
      </c>
      <c r="E969" t="str">
        <f t="shared" si="119"/>
        <v>E</v>
      </c>
      <c r="F969" t="str">
        <f t="shared" si="121"/>
        <v>F</v>
      </c>
      <c r="G969" s="4">
        <f t="shared" si="122"/>
        <v>3</v>
      </c>
      <c r="H969">
        <f t="shared" si="123"/>
        <v>5</v>
      </c>
      <c r="I969">
        <f t="shared" si="124"/>
        <v>5</v>
      </c>
      <c r="J969">
        <f t="shared" si="125"/>
        <v>6</v>
      </c>
    </row>
    <row r="970" spans="1:10" x14ac:dyDescent="0.25">
      <c r="A970">
        <v>968</v>
      </c>
      <c r="B970" s="4" t="str">
        <f t="shared" si="120"/>
        <v>NOK</v>
      </c>
      <c r="C970" t="str">
        <f t="shared" si="117"/>
        <v>C</v>
      </c>
      <c r="D970" t="str">
        <f t="shared" si="118"/>
        <v>E</v>
      </c>
      <c r="E970" t="str">
        <f t="shared" si="119"/>
        <v>E</v>
      </c>
      <c r="F970" t="str">
        <f t="shared" si="121"/>
        <v>G</v>
      </c>
      <c r="G970" s="4">
        <f t="shared" si="122"/>
        <v>3</v>
      </c>
      <c r="H970">
        <f t="shared" si="123"/>
        <v>5</v>
      </c>
      <c r="I970">
        <f t="shared" si="124"/>
        <v>5</v>
      </c>
      <c r="J970">
        <f t="shared" si="125"/>
        <v>7</v>
      </c>
    </row>
    <row r="971" spans="1:10" x14ac:dyDescent="0.25">
      <c r="A971">
        <v>969</v>
      </c>
      <c r="B971" s="4" t="str">
        <f t="shared" si="120"/>
        <v>NOK</v>
      </c>
      <c r="C971" t="str">
        <f t="shared" si="117"/>
        <v>C</v>
      </c>
      <c r="D971" t="str">
        <f t="shared" si="118"/>
        <v>E</v>
      </c>
      <c r="E971" t="str">
        <f t="shared" si="119"/>
        <v>E</v>
      </c>
      <c r="F971" t="str">
        <f t="shared" si="121"/>
        <v>H</v>
      </c>
      <c r="G971" s="4">
        <f t="shared" si="122"/>
        <v>3</v>
      </c>
      <c r="H971">
        <f t="shared" si="123"/>
        <v>5</v>
      </c>
      <c r="I971">
        <f t="shared" si="124"/>
        <v>5</v>
      </c>
      <c r="J971">
        <f t="shared" si="125"/>
        <v>8</v>
      </c>
    </row>
    <row r="972" spans="1:10" x14ac:dyDescent="0.25">
      <c r="A972">
        <v>970</v>
      </c>
      <c r="B972" s="4" t="str">
        <f t="shared" si="120"/>
        <v>NOK</v>
      </c>
      <c r="C972" t="str">
        <f t="shared" si="117"/>
        <v>C</v>
      </c>
      <c r="D972" t="str">
        <f t="shared" si="118"/>
        <v>E</v>
      </c>
      <c r="E972" t="str">
        <f t="shared" si="119"/>
        <v>E</v>
      </c>
      <c r="F972" t="str">
        <f t="shared" si="121"/>
        <v>I</v>
      </c>
      <c r="G972" s="4">
        <f t="shared" si="122"/>
        <v>3</v>
      </c>
      <c r="H972">
        <f t="shared" si="123"/>
        <v>5</v>
      </c>
      <c r="I972">
        <f t="shared" si="124"/>
        <v>5</v>
      </c>
      <c r="J972">
        <f t="shared" si="125"/>
        <v>9</v>
      </c>
    </row>
    <row r="973" spans="1:10" x14ac:dyDescent="0.25">
      <c r="A973">
        <v>971</v>
      </c>
      <c r="B973" s="4" t="str">
        <f t="shared" si="120"/>
        <v>NOK</v>
      </c>
      <c r="C973" t="str">
        <f t="shared" si="117"/>
        <v>C</v>
      </c>
      <c r="D973" t="str">
        <f t="shared" si="118"/>
        <v>E</v>
      </c>
      <c r="E973" t="str">
        <f t="shared" si="119"/>
        <v>E</v>
      </c>
      <c r="F973" t="str">
        <f t="shared" si="121"/>
        <v>J</v>
      </c>
      <c r="G973" s="4">
        <f t="shared" si="122"/>
        <v>3</v>
      </c>
      <c r="H973">
        <f t="shared" si="123"/>
        <v>5</v>
      </c>
      <c r="I973">
        <f t="shared" si="124"/>
        <v>5</v>
      </c>
      <c r="J973">
        <f t="shared" si="125"/>
        <v>10</v>
      </c>
    </row>
    <row r="974" spans="1:10" x14ac:dyDescent="0.25">
      <c r="A974">
        <v>972</v>
      </c>
      <c r="B974" s="4" t="str">
        <f t="shared" si="120"/>
        <v>OK</v>
      </c>
      <c r="C974" t="str">
        <f t="shared" si="117"/>
        <v>C</v>
      </c>
      <c r="D974" t="str">
        <f t="shared" si="118"/>
        <v>E</v>
      </c>
      <c r="E974" t="str">
        <f t="shared" si="119"/>
        <v>E</v>
      </c>
      <c r="F974" t="str">
        <f t="shared" si="121"/>
        <v>K</v>
      </c>
      <c r="G974" s="4">
        <f t="shared" si="122"/>
        <v>3</v>
      </c>
      <c r="H974">
        <f t="shared" si="123"/>
        <v>5</v>
      </c>
      <c r="I974">
        <f t="shared" si="124"/>
        <v>5</v>
      </c>
      <c r="J974">
        <f t="shared" si="125"/>
        <v>11</v>
      </c>
    </row>
    <row r="975" spans="1:10" x14ac:dyDescent="0.25">
      <c r="A975">
        <v>973</v>
      </c>
      <c r="B975" s="4" t="str">
        <f t="shared" si="120"/>
        <v>NOK</v>
      </c>
      <c r="C975" t="str">
        <f t="shared" si="117"/>
        <v>C</v>
      </c>
      <c r="D975" t="str">
        <f t="shared" si="118"/>
        <v>E</v>
      </c>
      <c r="E975" t="str">
        <f t="shared" si="119"/>
        <v>E</v>
      </c>
      <c r="F975" t="str">
        <f t="shared" si="121"/>
        <v>L</v>
      </c>
      <c r="G975" s="4">
        <f t="shared" si="122"/>
        <v>3</v>
      </c>
      <c r="H975">
        <f t="shared" si="123"/>
        <v>5</v>
      </c>
      <c r="I975">
        <f t="shared" si="124"/>
        <v>5</v>
      </c>
      <c r="J975">
        <f t="shared" si="125"/>
        <v>12</v>
      </c>
    </row>
    <row r="976" spans="1:10" x14ac:dyDescent="0.25">
      <c r="A976">
        <v>974</v>
      </c>
      <c r="B976" s="4" t="str">
        <f t="shared" si="120"/>
        <v>NOK</v>
      </c>
      <c r="C976" t="str">
        <f t="shared" si="117"/>
        <v>C</v>
      </c>
      <c r="D976" t="str">
        <f t="shared" si="118"/>
        <v>E</v>
      </c>
      <c r="E976" t="str">
        <f t="shared" si="119"/>
        <v>E</v>
      </c>
      <c r="F976" t="str">
        <f t="shared" si="121"/>
        <v>M</v>
      </c>
      <c r="G976" s="4">
        <f t="shared" si="122"/>
        <v>3</v>
      </c>
      <c r="H976">
        <f t="shared" si="123"/>
        <v>5</v>
      </c>
      <c r="I976">
        <f t="shared" si="124"/>
        <v>5</v>
      </c>
      <c r="J976">
        <f t="shared" si="125"/>
        <v>13</v>
      </c>
    </row>
    <row r="977" spans="1:10" x14ac:dyDescent="0.25">
      <c r="A977">
        <v>975</v>
      </c>
      <c r="B977" s="4" t="str">
        <f t="shared" si="120"/>
        <v>NOK</v>
      </c>
      <c r="C977" t="str">
        <f t="shared" si="117"/>
        <v>D</v>
      </c>
      <c r="D977" t="str">
        <f t="shared" si="118"/>
        <v>A</v>
      </c>
      <c r="E977" t="str">
        <f t="shared" si="119"/>
        <v>A</v>
      </c>
      <c r="F977" t="str">
        <f t="shared" si="121"/>
        <v>A</v>
      </c>
      <c r="G977" s="4">
        <f t="shared" si="122"/>
        <v>4</v>
      </c>
      <c r="H977">
        <f t="shared" si="123"/>
        <v>1</v>
      </c>
      <c r="I977">
        <f t="shared" si="124"/>
        <v>1</v>
      </c>
      <c r="J977">
        <f t="shared" si="125"/>
        <v>1</v>
      </c>
    </row>
    <row r="978" spans="1:10" x14ac:dyDescent="0.25">
      <c r="A978">
        <v>976</v>
      </c>
      <c r="B978" s="4" t="str">
        <f t="shared" si="120"/>
        <v>NOK</v>
      </c>
      <c r="C978" t="str">
        <f t="shared" si="117"/>
        <v>D</v>
      </c>
      <c r="D978" t="str">
        <f t="shared" si="118"/>
        <v>A</v>
      </c>
      <c r="E978" t="str">
        <f t="shared" si="119"/>
        <v>A</v>
      </c>
      <c r="F978" t="str">
        <f t="shared" si="121"/>
        <v>B</v>
      </c>
      <c r="G978" s="4">
        <f t="shared" si="122"/>
        <v>4</v>
      </c>
      <c r="H978">
        <f t="shared" si="123"/>
        <v>1</v>
      </c>
      <c r="I978">
        <f t="shared" si="124"/>
        <v>1</v>
      </c>
      <c r="J978">
        <f t="shared" si="125"/>
        <v>2</v>
      </c>
    </row>
    <row r="979" spans="1:10" x14ac:dyDescent="0.25">
      <c r="A979">
        <v>977</v>
      </c>
      <c r="B979" s="4" t="str">
        <f t="shared" si="120"/>
        <v>NOK</v>
      </c>
      <c r="C979" t="str">
        <f t="shared" si="117"/>
        <v>D</v>
      </c>
      <c r="D979" t="str">
        <f t="shared" si="118"/>
        <v>A</v>
      </c>
      <c r="E979" t="str">
        <f t="shared" si="119"/>
        <v>A</v>
      </c>
      <c r="F979" t="str">
        <f t="shared" si="121"/>
        <v>C</v>
      </c>
      <c r="G979" s="4">
        <f t="shared" si="122"/>
        <v>4</v>
      </c>
      <c r="H979">
        <f t="shared" si="123"/>
        <v>1</v>
      </c>
      <c r="I979">
        <f t="shared" si="124"/>
        <v>1</v>
      </c>
      <c r="J979">
        <f t="shared" si="125"/>
        <v>3</v>
      </c>
    </row>
    <row r="980" spans="1:10" x14ac:dyDescent="0.25">
      <c r="A980">
        <v>978</v>
      </c>
      <c r="B980" s="4" t="str">
        <f t="shared" si="120"/>
        <v>OK</v>
      </c>
      <c r="C980" t="str">
        <f t="shared" si="117"/>
        <v>D</v>
      </c>
      <c r="D980" t="str">
        <f t="shared" si="118"/>
        <v>A</v>
      </c>
      <c r="E980" t="str">
        <f t="shared" si="119"/>
        <v>A</v>
      </c>
      <c r="F980" t="str">
        <f t="shared" si="121"/>
        <v>D</v>
      </c>
      <c r="G980" s="4">
        <f t="shared" si="122"/>
        <v>4</v>
      </c>
      <c r="H980">
        <f t="shared" si="123"/>
        <v>1</v>
      </c>
      <c r="I980">
        <f t="shared" si="124"/>
        <v>1</v>
      </c>
      <c r="J980">
        <f t="shared" si="125"/>
        <v>4</v>
      </c>
    </row>
    <row r="981" spans="1:10" x14ac:dyDescent="0.25">
      <c r="A981">
        <v>979</v>
      </c>
      <c r="B981" s="4" t="str">
        <f t="shared" si="120"/>
        <v>NOK</v>
      </c>
      <c r="C981" t="str">
        <f t="shared" si="117"/>
        <v>D</v>
      </c>
      <c r="D981" t="str">
        <f t="shared" si="118"/>
        <v>A</v>
      </c>
      <c r="E981" t="str">
        <f t="shared" si="119"/>
        <v>A</v>
      </c>
      <c r="F981" t="str">
        <f t="shared" si="121"/>
        <v>E</v>
      </c>
      <c r="G981" s="4">
        <f t="shared" si="122"/>
        <v>4</v>
      </c>
      <c r="H981">
        <f t="shared" si="123"/>
        <v>1</v>
      </c>
      <c r="I981">
        <f t="shared" si="124"/>
        <v>1</v>
      </c>
      <c r="J981">
        <f t="shared" si="125"/>
        <v>5</v>
      </c>
    </row>
    <row r="982" spans="1:10" x14ac:dyDescent="0.25">
      <c r="A982">
        <v>980</v>
      </c>
      <c r="B982" s="4" t="str">
        <f t="shared" si="120"/>
        <v>NOK</v>
      </c>
      <c r="C982" t="str">
        <f t="shared" si="117"/>
        <v>D</v>
      </c>
      <c r="D982" t="str">
        <f t="shared" si="118"/>
        <v>A</v>
      </c>
      <c r="E982" t="str">
        <f t="shared" si="119"/>
        <v>A</v>
      </c>
      <c r="F982" t="str">
        <f t="shared" si="121"/>
        <v>F</v>
      </c>
      <c r="G982" s="4">
        <f t="shared" si="122"/>
        <v>4</v>
      </c>
      <c r="H982">
        <f t="shared" si="123"/>
        <v>1</v>
      </c>
      <c r="I982">
        <f t="shared" si="124"/>
        <v>1</v>
      </c>
      <c r="J982">
        <f t="shared" si="125"/>
        <v>6</v>
      </c>
    </row>
    <row r="983" spans="1:10" x14ac:dyDescent="0.25">
      <c r="A983">
        <v>981</v>
      </c>
      <c r="B983" s="4" t="str">
        <f t="shared" si="120"/>
        <v>NOK</v>
      </c>
      <c r="C983" t="str">
        <f t="shared" si="117"/>
        <v>D</v>
      </c>
      <c r="D983" t="str">
        <f t="shared" si="118"/>
        <v>A</v>
      </c>
      <c r="E983" t="str">
        <f t="shared" si="119"/>
        <v>A</v>
      </c>
      <c r="F983" t="str">
        <f t="shared" si="121"/>
        <v>G</v>
      </c>
      <c r="G983" s="4">
        <f t="shared" si="122"/>
        <v>4</v>
      </c>
      <c r="H983">
        <f t="shared" si="123"/>
        <v>1</v>
      </c>
      <c r="I983">
        <f t="shared" si="124"/>
        <v>1</v>
      </c>
      <c r="J983">
        <f t="shared" si="125"/>
        <v>7</v>
      </c>
    </row>
    <row r="984" spans="1:10" x14ac:dyDescent="0.25">
      <c r="A984">
        <v>982</v>
      </c>
      <c r="B984" s="4" t="str">
        <f t="shared" si="120"/>
        <v>NOK</v>
      </c>
      <c r="C984" t="str">
        <f t="shared" si="117"/>
        <v>D</v>
      </c>
      <c r="D984" t="str">
        <f t="shared" si="118"/>
        <v>A</v>
      </c>
      <c r="E984" t="str">
        <f t="shared" si="119"/>
        <v>A</v>
      </c>
      <c r="F984" t="str">
        <f t="shared" si="121"/>
        <v>H</v>
      </c>
      <c r="G984" s="4">
        <f t="shared" si="122"/>
        <v>4</v>
      </c>
      <c r="H984">
        <f t="shared" si="123"/>
        <v>1</v>
      </c>
      <c r="I984">
        <f t="shared" si="124"/>
        <v>1</v>
      </c>
      <c r="J984">
        <f t="shared" si="125"/>
        <v>8</v>
      </c>
    </row>
    <row r="985" spans="1:10" x14ac:dyDescent="0.25">
      <c r="A985">
        <v>983</v>
      </c>
      <c r="B985" s="4" t="str">
        <f t="shared" si="120"/>
        <v>NOK</v>
      </c>
      <c r="C985" t="str">
        <f t="shared" si="117"/>
        <v>D</v>
      </c>
      <c r="D985" t="str">
        <f t="shared" si="118"/>
        <v>A</v>
      </c>
      <c r="E985" t="str">
        <f t="shared" si="119"/>
        <v>A</v>
      </c>
      <c r="F985" t="str">
        <f t="shared" si="121"/>
        <v>I</v>
      </c>
      <c r="G985" s="4">
        <f t="shared" si="122"/>
        <v>4</v>
      </c>
      <c r="H985">
        <f t="shared" si="123"/>
        <v>1</v>
      </c>
      <c r="I985">
        <f t="shared" si="124"/>
        <v>1</v>
      </c>
      <c r="J985">
        <f t="shared" si="125"/>
        <v>9</v>
      </c>
    </row>
    <row r="986" spans="1:10" x14ac:dyDescent="0.25">
      <c r="A986">
        <v>984</v>
      </c>
      <c r="B986" s="4" t="str">
        <f t="shared" si="120"/>
        <v>NOK</v>
      </c>
      <c r="C986" t="str">
        <f t="shared" si="117"/>
        <v>D</v>
      </c>
      <c r="D986" t="str">
        <f t="shared" si="118"/>
        <v>A</v>
      </c>
      <c r="E986" t="str">
        <f t="shared" si="119"/>
        <v>A</v>
      </c>
      <c r="F986" t="str">
        <f t="shared" si="121"/>
        <v>J</v>
      </c>
      <c r="G986" s="4">
        <f t="shared" si="122"/>
        <v>4</v>
      </c>
      <c r="H986">
        <f t="shared" si="123"/>
        <v>1</v>
      </c>
      <c r="I986">
        <f t="shared" si="124"/>
        <v>1</v>
      </c>
      <c r="J986">
        <f t="shared" si="125"/>
        <v>10</v>
      </c>
    </row>
    <row r="987" spans="1:10" x14ac:dyDescent="0.25">
      <c r="A987">
        <v>985</v>
      </c>
      <c r="B987" s="4" t="str">
        <f t="shared" si="120"/>
        <v>NOK</v>
      </c>
      <c r="C987" t="str">
        <f t="shared" si="117"/>
        <v>D</v>
      </c>
      <c r="D987" t="str">
        <f t="shared" si="118"/>
        <v>A</v>
      </c>
      <c r="E987" t="str">
        <f t="shared" si="119"/>
        <v>A</v>
      </c>
      <c r="F987" t="str">
        <f t="shared" si="121"/>
        <v>K</v>
      </c>
      <c r="G987" s="4">
        <f t="shared" si="122"/>
        <v>4</v>
      </c>
      <c r="H987">
        <f t="shared" si="123"/>
        <v>1</v>
      </c>
      <c r="I987">
        <f t="shared" si="124"/>
        <v>1</v>
      </c>
      <c r="J987">
        <f t="shared" si="125"/>
        <v>11</v>
      </c>
    </row>
    <row r="988" spans="1:10" x14ac:dyDescent="0.25">
      <c r="A988">
        <v>986</v>
      </c>
      <c r="B988" s="4" t="str">
        <f t="shared" si="120"/>
        <v>NOK</v>
      </c>
      <c r="C988" t="str">
        <f t="shared" si="117"/>
        <v>D</v>
      </c>
      <c r="D988" t="str">
        <f t="shared" si="118"/>
        <v>A</v>
      </c>
      <c r="E988" t="str">
        <f t="shared" si="119"/>
        <v>A</v>
      </c>
      <c r="F988" t="str">
        <f t="shared" si="121"/>
        <v>L</v>
      </c>
      <c r="G988" s="4">
        <f t="shared" si="122"/>
        <v>4</v>
      </c>
      <c r="H988">
        <f t="shared" si="123"/>
        <v>1</v>
      </c>
      <c r="I988">
        <f t="shared" si="124"/>
        <v>1</v>
      </c>
      <c r="J988">
        <f t="shared" si="125"/>
        <v>12</v>
      </c>
    </row>
    <row r="989" spans="1:10" x14ac:dyDescent="0.25">
      <c r="A989">
        <v>987</v>
      </c>
      <c r="B989" s="4" t="str">
        <f t="shared" si="120"/>
        <v>NOK</v>
      </c>
      <c r="C989" t="str">
        <f t="shared" si="117"/>
        <v>D</v>
      </c>
      <c r="D989" t="str">
        <f t="shared" si="118"/>
        <v>A</v>
      </c>
      <c r="E989" t="str">
        <f t="shared" si="119"/>
        <v>A</v>
      </c>
      <c r="F989" t="str">
        <f t="shared" si="121"/>
        <v>M</v>
      </c>
      <c r="G989" s="4">
        <f t="shared" si="122"/>
        <v>4</v>
      </c>
      <c r="H989">
        <f t="shared" si="123"/>
        <v>1</v>
      </c>
      <c r="I989">
        <f t="shared" si="124"/>
        <v>1</v>
      </c>
      <c r="J989">
        <f t="shared" si="125"/>
        <v>13</v>
      </c>
    </row>
    <row r="990" spans="1:10" x14ac:dyDescent="0.25">
      <c r="A990">
        <v>988</v>
      </c>
      <c r="B990" s="4" t="str">
        <f t="shared" si="120"/>
        <v>NOK</v>
      </c>
      <c r="C990" t="str">
        <f t="shared" si="117"/>
        <v>D</v>
      </c>
      <c r="D990" t="str">
        <f t="shared" si="118"/>
        <v>A</v>
      </c>
      <c r="E990" t="str">
        <f t="shared" si="119"/>
        <v>B</v>
      </c>
      <c r="F990" t="str">
        <f t="shared" si="121"/>
        <v>A</v>
      </c>
      <c r="G990" s="4">
        <f t="shared" si="122"/>
        <v>4</v>
      </c>
      <c r="H990">
        <f t="shared" si="123"/>
        <v>1</v>
      </c>
      <c r="I990">
        <f t="shared" si="124"/>
        <v>2</v>
      </c>
      <c r="J990">
        <f t="shared" si="125"/>
        <v>1</v>
      </c>
    </row>
    <row r="991" spans="1:10" x14ac:dyDescent="0.25">
      <c r="A991">
        <v>989</v>
      </c>
      <c r="B991" s="4" t="str">
        <f t="shared" si="120"/>
        <v>NOK</v>
      </c>
      <c r="C991" t="str">
        <f t="shared" si="117"/>
        <v>D</v>
      </c>
      <c r="D991" t="str">
        <f t="shared" si="118"/>
        <v>A</v>
      </c>
      <c r="E991" t="str">
        <f t="shared" si="119"/>
        <v>B</v>
      </c>
      <c r="F991" t="str">
        <f t="shared" si="121"/>
        <v>B</v>
      </c>
      <c r="G991" s="4">
        <f t="shared" si="122"/>
        <v>4</v>
      </c>
      <c r="H991">
        <f t="shared" si="123"/>
        <v>1</v>
      </c>
      <c r="I991">
        <f t="shared" si="124"/>
        <v>2</v>
      </c>
      <c r="J991">
        <f t="shared" si="125"/>
        <v>2</v>
      </c>
    </row>
    <row r="992" spans="1:10" x14ac:dyDescent="0.25">
      <c r="A992">
        <v>990</v>
      </c>
      <c r="B992" s="4" t="str">
        <f t="shared" si="120"/>
        <v>NOK</v>
      </c>
      <c r="C992" t="str">
        <f t="shared" si="117"/>
        <v>D</v>
      </c>
      <c r="D992" t="str">
        <f t="shared" si="118"/>
        <v>A</v>
      </c>
      <c r="E992" t="str">
        <f t="shared" si="119"/>
        <v>B</v>
      </c>
      <c r="F992" t="str">
        <f t="shared" si="121"/>
        <v>C</v>
      </c>
      <c r="G992" s="4">
        <f t="shared" si="122"/>
        <v>4</v>
      </c>
      <c r="H992">
        <f t="shared" si="123"/>
        <v>1</v>
      </c>
      <c r="I992">
        <f t="shared" si="124"/>
        <v>2</v>
      </c>
      <c r="J992">
        <f t="shared" si="125"/>
        <v>3</v>
      </c>
    </row>
    <row r="993" spans="1:10" x14ac:dyDescent="0.25">
      <c r="A993">
        <v>991</v>
      </c>
      <c r="B993" s="4" t="str">
        <f t="shared" si="120"/>
        <v>NOK</v>
      </c>
      <c r="C993" t="str">
        <f t="shared" si="117"/>
        <v>D</v>
      </c>
      <c r="D993" t="str">
        <f t="shared" si="118"/>
        <v>A</v>
      </c>
      <c r="E993" t="str">
        <f t="shared" si="119"/>
        <v>B</v>
      </c>
      <c r="F993" t="str">
        <f t="shared" si="121"/>
        <v>D</v>
      </c>
      <c r="G993" s="4">
        <f t="shared" si="122"/>
        <v>4</v>
      </c>
      <c r="H993">
        <f t="shared" si="123"/>
        <v>1</v>
      </c>
      <c r="I993">
        <f t="shared" si="124"/>
        <v>2</v>
      </c>
      <c r="J993">
        <f t="shared" si="125"/>
        <v>4</v>
      </c>
    </row>
    <row r="994" spans="1:10" x14ac:dyDescent="0.25">
      <c r="A994">
        <v>992</v>
      </c>
      <c r="B994" s="4" t="str">
        <f t="shared" si="120"/>
        <v>OK</v>
      </c>
      <c r="C994" t="str">
        <f t="shared" si="117"/>
        <v>D</v>
      </c>
      <c r="D994" t="str">
        <f t="shared" si="118"/>
        <v>A</v>
      </c>
      <c r="E994" t="str">
        <f t="shared" si="119"/>
        <v>B</v>
      </c>
      <c r="F994" t="str">
        <f t="shared" si="121"/>
        <v>E</v>
      </c>
      <c r="G994" s="4">
        <f t="shared" si="122"/>
        <v>4</v>
      </c>
      <c r="H994">
        <f t="shared" si="123"/>
        <v>1</v>
      </c>
      <c r="I994">
        <f t="shared" si="124"/>
        <v>2</v>
      </c>
      <c r="J994">
        <f t="shared" si="125"/>
        <v>5</v>
      </c>
    </row>
    <row r="995" spans="1:10" x14ac:dyDescent="0.25">
      <c r="A995">
        <v>993</v>
      </c>
      <c r="B995" s="4" t="str">
        <f t="shared" si="120"/>
        <v>NOK</v>
      </c>
      <c r="C995" t="str">
        <f t="shared" si="117"/>
        <v>D</v>
      </c>
      <c r="D995" t="str">
        <f t="shared" si="118"/>
        <v>A</v>
      </c>
      <c r="E995" t="str">
        <f t="shared" si="119"/>
        <v>B</v>
      </c>
      <c r="F995" t="str">
        <f t="shared" si="121"/>
        <v>F</v>
      </c>
      <c r="G995" s="4">
        <f t="shared" si="122"/>
        <v>4</v>
      </c>
      <c r="H995">
        <f t="shared" si="123"/>
        <v>1</v>
      </c>
      <c r="I995">
        <f t="shared" si="124"/>
        <v>2</v>
      </c>
      <c r="J995">
        <f t="shared" si="125"/>
        <v>6</v>
      </c>
    </row>
    <row r="996" spans="1:10" x14ac:dyDescent="0.25">
      <c r="A996">
        <v>994</v>
      </c>
      <c r="B996" s="4" t="str">
        <f t="shared" si="120"/>
        <v>NOK</v>
      </c>
      <c r="C996" t="str">
        <f t="shared" si="117"/>
        <v>D</v>
      </c>
      <c r="D996" t="str">
        <f t="shared" si="118"/>
        <v>A</v>
      </c>
      <c r="E996" t="str">
        <f t="shared" si="119"/>
        <v>B</v>
      </c>
      <c r="F996" t="str">
        <f t="shared" si="121"/>
        <v>G</v>
      </c>
      <c r="G996" s="4">
        <f t="shared" si="122"/>
        <v>4</v>
      </c>
      <c r="H996">
        <f t="shared" si="123"/>
        <v>1</v>
      </c>
      <c r="I996">
        <f t="shared" si="124"/>
        <v>2</v>
      </c>
      <c r="J996">
        <f t="shared" si="125"/>
        <v>7</v>
      </c>
    </row>
    <row r="997" spans="1:10" x14ac:dyDescent="0.25">
      <c r="A997">
        <v>995</v>
      </c>
      <c r="B997" s="4" t="str">
        <f t="shared" si="120"/>
        <v>NOK</v>
      </c>
      <c r="C997" t="str">
        <f t="shared" si="117"/>
        <v>D</v>
      </c>
      <c r="D997" t="str">
        <f t="shared" si="118"/>
        <v>A</v>
      </c>
      <c r="E997" t="str">
        <f t="shared" si="119"/>
        <v>B</v>
      </c>
      <c r="F997" t="str">
        <f t="shared" si="121"/>
        <v>H</v>
      </c>
      <c r="G997" s="4">
        <f t="shared" si="122"/>
        <v>4</v>
      </c>
      <c r="H997">
        <f t="shared" si="123"/>
        <v>1</v>
      </c>
      <c r="I997">
        <f t="shared" si="124"/>
        <v>2</v>
      </c>
      <c r="J997">
        <f t="shared" si="125"/>
        <v>8</v>
      </c>
    </row>
    <row r="998" spans="1:10" x14ac:dyDescent="0.25">
      <c r="A998">
        <v>996</v>
      </c>
      <c r="B998" s="4" t="str">
        <f t="shared" si="120"/>
        <v>NOK</v>
      </c>
      <c r="C998" t="str">
        <f t="shared" si="117"/>
        <v>D</v>
      </c>
      <c r="D998" t="str">
        <f t="shared" si="118"/>
        <v>A</v>
      </c>
      <c r="E998" t="str">
        <f t="shared" si="119"/>
        <v>B</v>
      </c>
      <c r="F998" t="str">
        <f t="shared" si="121"/>
        <v>I</v>
      </c>
      <c r="G998" s="4">
        <f t="shared" si="122"/>
        <v>4</v>
      </c>
      <c r="H998">
        <f t="shared" si="123"/>
        <v>1</v>
      </c>
      <c r="I998">
        <f t="shared" si="124"/>
        <v>2</v>
      </c>
      <c r="J998">
        <f t="shared" si="125"/>
        <v>9</v>
      </c>
    </row>
    <row r="999" spans="1:10" x14ac:dyDescent="0.25">
      <c r="A999">
        <v>997</v>
      </c>
      <c r="B999" s="4" t="str">
        <f t="shared" si="120"/>
        <v>NOK</v>
      </c>
      <c r="C999" t="str">
        <f t="shared" si="117"/>
        <v>D</v>
      </c>
      <c r="D999" t="str">
        <f t="shared" si="118"/>
        <v>A</v>
      </c>
      <c r="E999" t="str">
        <f t="shared" si="119"/>
        <v>B</v>
      </c>
      <c r="F999" t="str">
        <f t="shared" si="121"/>
        <v>J</v>
      </c>
      <c r="G999" s="4">
        <f t="shared" si="122"/>
        <v>4</v>
      </c>
      <c r="H999">
        <f t="shared" si="123"/>
        <v>1</v>
      </c>
      <c r="I999">
        <f t="shared" si="124"/>
        <v>2</v>
      </c>
      <c r="J999">
        <f t="shared" si="125"/>
        <v>10</v>
      </c>
    </row>
    <row r="1000" spans="1:10" x14ac:dyDescent="0.25">
      <c r="A1000">
        <v>998</v>
      </c>
      <c r="B1000" s="4" t="str">
        <f t="shared" si="120"/>
        <v>NOK</v>
      </c>
      <c r="C1000" t="str">
        <f t="shared" si="117"/>
        <v>D</v>
      </c>
      <c r="D1000" t="str">
        <f t="shared" si="118"/>
        <v>A</v>
      </c>
      <c r="E1000" t="str">
        <f t="shared" si="119"/>
        <v>B</v>
      </c>
      <c r="F1000" t="str">
        <f t="shared" si="121"/>
        <v>K</v>
      </c>
      <c r="G1000" s="4">
        <f t="shared" si="122"/>
        <v>4</v>
      </c>
      <c r="H1000">
        <f t="shared" si="123"/>
        <v>1</v>
      </c>
      <c r="I1000">
        <f t="shared" si="124"/>
        <v>2</v>
      </c>
      <c r="J1000">
        <f t="shared" si="125"/>
        <v>11</v>
      </c>
    </row>
    <row r="1001" spans="1:10" x14ac:dyDescent="0.25">
      <c r="A1001">
        <v>999</v>
      </c>
      <c r="B1001" s="4" t="str">
        <f t="shared" si="120"/>
        <v>NOK</v>
      </c>
      <c r="C1001" t="str">
        <f t="shared" si="117"/>
        <v>D</v>
      </c>
      <c r="D1001" t="str">
        <f t="shared" si="118"/>
        <v>A</v>
      </c>
      <c r="E1001" t="str">
        <f t="shared" si="119"/>
        <v>B</v>
      </c>
      <c r="F1001" t="str">
        <f t="shared" si="121"/>
        <v>L</v>
      </c>
      <c r="G1001" s="4">
        <f t="shared" si="122"/>
        <v>4</v>
      </c>
      <c r="H1001">
        <f t="shared" si="123"/>
        <v>1</v>
      </c>
      <c r="I1001">
        <f t="shared" si="124"/>
        <v>2</v>
      </c>
      <c r="J1001">
        <f t="shared" si="125"/>
        <v>12</v>
      </c>
    </row>
    <row r="1002" spans="1:10" x14ac:dyDescent="0.25">
      <c r="A1002">
        <v>1000</v>
      </c>
      <c r="B1002" s="4" t="str">
        <f t="shared" si="120"/>
        <v>NOK</v>
      </c>
      <c r="C1002" t="str">
        <f t="shared" si="117"/>
        <v>D</v>
      </c>
      <c r="D1002" t="str">
        <f t="shared" si="118"/>
        <v>A</v>
      </c>
      <c r="E1002" t="str">
        <f t="shared" si="119"/>
        <v>B</v>
      </c>
      <c r="F1002" t="str">
        <f t="shared" si="121"/>
        <v>M</v>
      </c>
      <c r="G1002" s="4">
        <f t="shared" si="122"/>
        <v>4</v>
      </c>
      <c r="H1002">
        <f t="shared" si="123"/>
        <v>1</v>
      </c>
      <c r="I1002">
        <f t="shared" si="124"/>
        <v>2</v>
      </c>
      <c r="J1002">
        <f t="shared" si="125"/>
        <v>13</v>
      </c>
    </row>
    <row r="1003" spans="1:10" x14ac:dyDescent="0.25">
      <c r="A1003">
        <v>1001</v>
      </c>
      <c r="B1003" s="4" t="str">
        <f t="shared" si="120"/>
        <v>NOK</v>
      </c>
      <c r="C1003" t="str">
        <f t="shared" si="117"/>
        <v>D</v>
      </c>
      <c r="D1003" t="str">
        <f t="shared" si="118"/>
        <v>A</v>
      </c>
      <c r="E1003" t="str">
        <f t="shared" si="119"/>
        <v>C</v>
      </c>
      <c r="F1003" t="str">
        <f t="shared" si="121"/>
        <v>A</v>
      </c>
      <c r="G1003" s="4">
        <f t="shared" si="122"/>
        <v>4</v>
      </c>
      <c r="H1003">
        <f t="shared" si="123"/>
        <v>1</v>
      </c>
      <c r="I1003">
        <f t="shared" si="124"/>
        <v>3</v>
      </c>
      <c r="J1003">
        <f t="shared" si="125"/>
        <v>1</v>
      </c>
    </row>
    <row r="1004" spans="1:10" x14ac:dyDescent="0.25">
      <c r="A1004">
        <v>1002</v>
      </c>
      <c r="B1004" s="4" t="str">
        <f t="shared" si="120"/>
        <v>NOK</v>
      </c>
      <c r="C1004" t="str">
        <f t="shared" si="117"/>
        <v>D</v>
      </c>
      <c r="D1004" t="str">
        <f t="shared" si="118"/>
        <v>A</v>
      </c>
      <c r="E1004" t="str">
        <f t="shared" si="119"/>
        <v>C</v>
      </c>
      <c r="F1004" t="str">
        <f t="shared" si="121"/>
        <v>B</v>
      </c>
      <c r="G1004" s="4">
        <f t="shared" si="122"/>
        <v>4</v>
      </c>
      <c r="H1004">
        <f t="shared" si="123"/>
        <v>1</v>
      </c>
      <c r="I1004">
        <f t="shared" si="124"/>
        <v>3</v>
      </c>
      <c r="J1004">
        <f t="shared" si="125"/>
        <v>2</v>
      </c>
    </row>
    <row r="1005" spans="1:10" x14ac:dyDescent="0.25">
      <c r="A1005">
        <v>1003</v>
      </c>
      <c r="B1005" s="4" t="str">
        <f t="shared" si="120"/>
        <v>NOK</v>
      </c>
      <c r="C1005" t="str">
        <f t="shared" si="117"/>
        <v>D</v>
      </c>
      <c r="D1005" t="str">
        <f t="shared" si="118"/>
        <v>A</v>
      </c>
      <c r="E1005" t="str">
        <f t="shared" si="119"/>
        <v>C</v>
      </c>
      <c r="F1005" t="str">
        <f t="shared" si="121"/>
        <v>C</v>
      </c>
      <c r="G1005" s="4">
        <f t="shared" si="122"/>
        <v>4</v>
      </c>
      <c r="H1005">
        <f t="shared" si="123"/>
        <v>1</v>
      </c>
      <c r="I1005">
        <f t="shared" si="124"/>
        <v>3</v>
      </c>
      <c r="J1005">
        <f t="shared" si="125"/>
        <v>3</v>
      </c>
    </row>
    <row r="1006" spans="1:10" x14ac:dyDescent="0.25">
      <c r="A1006">
        <v>1004</v>
      </c>
      <c r="B1006" s="4" t="str">
        <f t="shared" si="120"/>
        <v>NOK</v>
      </c>
      <c r="C1006" t="str">
        <f t="shared" si="117"/>
        <v>D</v>
      </c>
      <c r="D1006" t="str">
        <f t="shared" si="118"/>
        <v>A</v>
      </c>
      <c r="E1006" t="str">
        <f t="shared" si="119"/>
        <v>C</v>
      </c>
      <c r="F1006" t="str">
        <f t="shared" si="121"/>
        <v>D</v>
      </c>
      <c r="G1006" s="4">
        <f t="shared" si="122"/>
        <v>4</v>
      </c>
      <c r="H1006">
        <f t="shared" si="123"/>
        <v>1</v>
      </c>
      <c r="I1006">
        <f t="shared" si="124"/>
        <v>3</v>
      </c>
      <c r="J1006">
        <f t="shared" si="125"/>
        <v>4</v>
      </c>
    </row>
    <row r="1007" spans="1:10" x14ac:dyDescent="0.25">
      <c r="A1007">
        <v>1005</v>
      </c>
      <c r="B1007" s="4" t="str">
        <f t="shared" si="120"/>
        <v>NOK</v>
      </c>
      <c r="C1007" t="str">
        <f t="shared" si="117"/>
        <v>D</v>
      </c>
      <c r="D1007" t="str">
        <f t="shared" si="118"/>
        <v>A</v>
      </c>
      <c r="E1007" t="str">
        <f t="shared" si="119"/>
        <v>C</v>
      </c>
      <c r="F1007" t="str">
        <f t="shared" si="121"/>
        <v>E</v>
      </c>
      <c r="G1007" s="4">
        <f t="shared" si="122"/>
        <v>4</v>
      </c>
      <c r="H1007">
        <f t="shared" si="123"/>
        <v>1</v>
      </c>
      <c r="I1007">
        <f t="shared" si="124"/>
        <v>3</v>
      </c>
      <c r="J1007">
        <f t="shared" si="125"/>
        <v>5</v>
      </c>
    </row>
    <row r="1008" spans="1:10" x14ac:dyDescent="0.25">
      <c r="A1008">
        <v>1006</v>
      </c>
      <c r="B1008" s="4" t="str">
        <f t="shared" si="120"/>
        <v>OK</v>
      </c>
      <c r="C1008" t="str">
        <f t="shared" si="117"/>
        <v>D</v>
      </c>
      <c r="D1008" t="str">
        <f t="shared" si="118"/>
        <v>A</v>
      </c>
      <c r="E1008" t="str">
        <f t="shared" si="119"/>
        <v>C</v>
      </c>
      <c r="F1008" t="str">
        <f t="shared" si="121"/>
        <v>F</v>
      </c>
      <c r="G1008" s="4">
        <f t="shared" si="122"/>
        <v>4</v>
      </c>
      <c r="H1008">
        <f t="shared" si="123"/>
        <v>1</v>
      </c>
      <c r="I1008">
        <f t="shared" si="124"/>
        <v>3</v>
      </c>
      <c r="J1008">
        <f t="shared" si="125"/>
        <v>6</v>
      </c>
    </row>
    <row r="1009" spans="1:10" x14ac:dyDescent="0.25">
      <c r="A1009">
        <v>1007</v>
      </c>
      <c r="B1009" s="4" t="str">
        <f t="shared" si="120"/>
        <v>NOK</v>
      </c>
      <c r="C1009" t="str">
        <f t="shared" si="117"/>
        <v>D</v>
      </c>
      <c r="D1009" t="str">
        <f t="shared" si="118"/>
        <v>A</v>
      </c>
      <c r="E1009" t="str">
        <f t="shared" si="119"/>
        <v>C</v>
      </c>
      <c r="F1009" t="str">
        <f t="shared" si="121"/>
        <v>G</v>
      </c>
      <c r="G1009" s="4">
        <f t="shared" si="122"/>
        <v>4</v>
      </c>
      <c r="H1009">
        <f t="shared" si="123"/>
        <v>1</v>
      </c>
      <c r="I1009">
        <f t="shared" si="124"/>
        <v>3</v>
      </c>
      <c r="J1009">
        <f t="shared" si="125"/>
        <v>7</v>
      </c>
    </row>
    <row r="1010" spans="1:10" x14ac:dyDescent="0.25">
      <c r="A1010">
        <v>1008</v>
      </c>
      <c r="B1010" s="4" t="str">
        <f t="shared" si="120"/>
        <v>NOK</v>
      </c>
      <c r="C1010" t="str">
        <f t="shared" si="117"/>
        <v>D</v>
      </c>
      <c r="D1010" t="str">
        <f t="shared" si="118"/>
        <v>A</v>
      </c>
      <c r="E1010" t="str">
        <f t="shared" si="119"/>
        <v>C</v>
      </c>
      <c r="F1010" t="str">
        <f t="shared" si="121"/>
        <v>H</v>
      </c>
      <c r="G1010" s="4">
        <f t="shared" si="122"/>
        <v>4</v>
      </c>
      <c r="H1010">
        <f t="shared" si="123"/>
        <v>1</v>
      </c>
      <c r="I1010">
        <f t="shared" si="124"/>
        <v>3</v>
      </c>
      <c r="J1010">
        <f t="shared" si="125"/>
        <v>8</v>
      </c>
    </row>
    <row r="1011" spans="1:10" x14ac:dyDescent="0.25">
      <c r="A1011">
        <v>1009</v>
      </c>
      <c r="B1011" s="4" t="str">
        <f t="shared" si="120"/>
        <v>NOK</v>
      </c>
      <c r="C1011" t="str">
        <f t="shared" si="117"/>
        <v>D</v>
      </c>
      <c r="D1011" t="str">
        <f t="shared" si="118"/>
        <v>A</v>
      </c>
      <c r="E1011" t="str">
        <f t="shared" si="119"/>
        <v>C</v>
      </c>
      <c r="F1011" t="str">
        <f t="shared" si="121"/>
        <v>I</v>
      </c>
      <c r="G1011" s="4">
        <f t="shared" si="122"/>
        <v>4</v>
      </c>
      <c r="H1011">
        <f t="shared" si="123"/>
        <v>1</v>
      </c>
      <c r="I1011">
        <f t="shared" si="124"/>
        <v>3</v>
      </c>
      <c r="J1011">
        <f t="shared" si="125"/>
        <v>9</v>
      </c>
    </row>
    <row r="1012" spans="1:10" x14ac:dyDescent="0.25">
      <c r="A1012">
        <v>1010</v>
      </c>
      <c r="B1012" s="4" t="str">
        <f t="shared" si="120"/>
        <v>NOK</v>
      </c>
      <c r="C1012" t="str">
        <f t="shared" ref="C1012:C1075" si="126">IF(G1012=1,"A",IF(G1012=2,"B",IF(G1012=3,"C",IF(G1012=4,"D",IF(G1012=5,"E","ERRO")))))</f>
        <v>D</v>
      </c>
      <c r="D1012" t="str">
        <f t="shared" ref="D1012:D1075" si="127">IF(H1012=1,"A",IF(H1012=2,"B",IF(H1012=3,"C",IF(H1012=4,"D",IF(H1012=5,"E","ERRO")))))</f>
        <v>A</v>
      </c>
      <c r="E1012" t="str">
        <f t="shared" ref="E1012:E1075" si="128">IF(I1012=1,"A",IF(I1012=2,"B",IF(I1012=3,"C",IF(I1012=4,"D",IF(I1012=5,"E","ERRO")))))</f>
        <v>C</v>
      </c>
      <c r="F1012" t="str">
        <f t="shared" si="121"/>
        <v>J</v>
      </c>
      <c r="G1012" s="4">
        <f t="shared" si="122"/>
        <v>4</v>
      </c>
      <c r="H1012">
        <f t="shared" si="123"/>
        <v>1</v>
      </c>
      <c r="I1012">
        <f t="shared" si="124"/>
        <v>3</v>
      </c>
      <c r="J1012">
        <f t="shared" si="125"/>
        <v>10</v>
      </c>
    </row>
    <row r="1013" spans="1:10" x14ac:dyDescent="0.25">
      <c r="A1013">
        <v>1011</v>
      </c>
      <c r="B1013" s="4" t="str">
        <f t="shared" si="120"/>
        <v>NOK</v>
      </c>
      <c r="C1013" t="str">
        <f t="shared" si="126"/>
        <v>D</v>
      </c>
      <c r="D1013" t="str">
        <f t="shared" si="127"/>
        <v>A</v>
      </c>
      <c r="E1013" t="str">
        <f t="shared" si="128"/>
        <v>C</v>
      </c>
      <c r="F1013" t="str">
        <f t="shared" si="121"/>
        <v>K</v>
      </c>
      <c r="G1013" s="4">
        <f t="shared" si="122"/>
        <v>4</v>
      </c>
      <c r="H1013">
        <f t="shared" si="123"/>
        <v>1</v>
      </c>
      <c r="I1013">
        <f t="shared" si="124"/>
        <v>3</v>
      </c>
      <c r="J1013">
        <f t="shared" si="125"/>
        <v>11</v>
      </c>
    </row>
    <row r="1014" spans="1:10" x14ac:dyDescent="0.25">
      <c r="A1014">
        <v>1012</v>
      </c>
      <c r="B1014" s="4" t="str">
        <f t="shared" si="120"/>
        <v>NOK</v>
      </c>
      <c r="C1014" t="str">
        <f t="shared" si="126"/>
        <v>D</v>
      </c>
      <c r="D1014" t="str">
        <f t="shared" si="127"/>
        <v>A</v>
      </c>
      <c r="E1014" t="str">
        <f t="shared" si="128"/>
        <v>C</v>
      </c>
      <c r="F1014" t="str">
        <f t="shared" si="121"/>
        <v>L</v>
      </c>
      <c r="G1014" s="4">
        <f t="shared" si="122"/>
        <v>4</v>
      </c>
      <c r="H1014">
        <f t="shared" si="123"/>
        <v>1</v>
      </c>
      <c r="I1014">
        <f t="shared" si="124"/>
        <v>3</v>
      </c>
      <c r="J1014">
        <f t="shared" si="125"/>
        <v>12</v>
      </c>
    </row>
    <row r="1015" spans="1:10" x14ac:dyDescent="0.25">
      <c r="A1015">
        <v>1013</v>
      </c>
      <c r="B1015" s="4" t="str">
        <f t="shared" si="120"/>
        <v>NOK</v>
      </c>
      <c r="C1015" t="str">
        <f t="shared" si="126"/>
        <v>D</v>
      </c>
      <c r="D1015" t="str">
        <f t="shared" si="127"/>
        <v>A</v>
      </c>
      <c r="E1015" t="str">
        <f t="shared" si="128"/>
        <v>C</v>
      </c>
      <c r="F1015" t="str">
        <f t="shared" si="121"/>
        <v>M</v>
      </c>
      <c r="G1015" s="4">
        <f t="shared" si="122"/>
        <v>4</v>
      </c>
      <c r="H1015">
        <f t="shared" si="123"/>
        <v>1</v>
      </c>
      <c r="I1015">
        <f t="shared" si="124"/>
        <v>3</v>
      </c>
      <c r="J1015">
        <f t="shared" si="125"/>
        <v>13</v>
      </c>
    </row>
    <row r="1016" spans="1:10" x14ac:dyDescent="0.25">
      <c r="A1016">
        <v>1014</v>
      </c>
      <c r="B1016" s="4" t="str">
        <f t="shared" si="120"/>
        <v>NOK</v>
      </c>
      <c r="C1016" t="str">
        <f t="shared" si="126"/>
        <v>D</v>
      </c>
      <c r="D1016" t="str">
        <f t="shared" si="127"/>
        <v>A</v>
      </c>
      <c r="E1016" t="str">
        <f t="shared" si="128"/>
        <v>D</v>
      </c>
      <c r="F1016" t="str">
        <f t="shared" si="121"/>
        <v>A</v>
      </c>
      <c r="G1016" s="4">
        <f t="shared" si="122"/>
        <v>4</v>
      </c>
      <c r="H1016">
        <f t="shared" si="123"/>
        <v>1</v>
      </c>
      <c r="I1016">
        <f t="shared" si="124"/>
        <v>4</v>
      </c>
      <c r="J1016">
        <f t="shared" si="125"/>
        <v>1</v>
      </c>
    </row>
    <row r="1017" spans="1:10" x14ac:dyDescent="0.25">
      <c r="A1017">
        <v>1015</v>
      </c>
      <c r="B1017" s="4" t="str">
        <f t="shared" si="120"/>
        <v>NOK</v>
      </c>
      <c r="C1017" t="str">
        <f t="shared" si="126"/>
        <v>D</v>
      </c>
      <c r="D1017" t="str">
        <f t="shared" si="127"/>
        <v>A</v>
      </c>
      <c r="E1017" t="str">
        <f t="shared" si="128"/>
        <v>D</v>
      </c>
      <c r="F1017" t="str">
        <f t="shared" si="121"/>
        <v>B</v>
      </c>
      <c r="G1017" s="4">
        <f t="shared" si="122"/>
        <v>4</v>
      </c>
      <c r="H1017">
        <f t="shared" si="123"/>
        <v>1</v>
      </c>
      <c r="I1017">
        <f t="shared" si="124"/>
        <v>4</v>
      </c>
      <c r="J1017">
        <f t="shared" si="125"/>
        <v>2</v>
      </c>
    </row>
    <row r="1018" spans="1:10" x14ac:dyDescent="0.25">
      <c r="A1018">
        <v>1016</v>
      </c>
      <c r="B1018" s="4" t="str">
        <f t="shared" si="120"/>
        <v>NOK</v>
      </c>
      <c r="C1018" t="str">
        <f t="shared" si="126"/>
        <v>D</v>
      </c>
      <c r="D1018" t="str">
        <f t="shared" si="127"/>
        <v>A</v>
      </c>
      <c r="E1018" t="str">
        <f t="shared" si="128"/>
        <v>D</v>
      </c>
      <c r="F1018" t="str">
        <f t="shared" si="121"/>
        <v>C</v>
      </c>
      <c r="G1018" s="4">
        <f t="shared" si="122"/>
        <v>4</v>
      </c>
      <c r="H1018">
        <f t="shared" si="123"/>
        <v>1</v>
      </c>
      <c r="I1018">
        <f t="shared" si="124"/>
        <v>4</v>
      </c>
      <c r="J1018">
        <f t="shared" si="125"/>
        <v>3</v>
      </c>
    </row>
    <row r="1019" spans="1:10" x14ac:dyDescent="0.25">
      <c r="A1019">
        <v>1017</v>
      </c>
      <c r="B1019" s="4" t="str">
        <f t="shared" si="120"/>
        <v>NOK</v>
      </c>
      <c r="C1019" t="str">
        <f t="shared" si="126"/>
        <v>D</v>
      </c>
      <c r="D1019" t="str">
        <f t="shared" si="127"/>
        <v>A</v>
      </c>
      <c r="E1019" t="str">
        <f t="shared" si="128"/>
        <v>D</v>
      </c>
      <c r="F1019" t="str">
        <f t="shared" si="121"/>
        <v>D</v>
      </c>
      <c r="G1019" s="4">
        <f t="shared" si="122"/>
        <v>4</v>
      </c>
      <c r="H1019">
        <f t="shared" si="123"/>
        <v>1</v>
      </c>
      <c r="I1019">
        <f t="shared" si="124"/>
        <v>4</v>
      </c>
      <c r="J1019">
        <f t="shared" si="125"/>
        <v>4</v>
      </c>
    </row>
    <row r="1020" spans="1:10" x14ac:dyDescent="0.25">
      <c r="A1020">
        <v>1018</v>
      </c>
      <c r="B1020" s="4" t="str">
        <f t="shared" si="120"/>
        <v>NOK</v>
      </c>
      <c r="C1020" t="str">
        <f t="shared" si="126"/>
        <v>D</v>
      </c>
      <c r="D1020" t="str">
        <f t="shared" si="127"/>
        <v>A</v>
      </c>
      <c r="E1020" t="str">
        <f t="shared" si="128"/>
        <v>D</v>
      </c>
      <c r="F1020" t="str">
        <f t="shared" si="121"/>
        <v>E</v>
      </c>
      <c r="G1020" s="4">
        <f t="shared" si="122"/>
        <v>4</v>
      </c>
      <c r="H1020">
        <f t="shared" si="123"/>
        <v>1</v>
      </c>
      <c r="I1020">
        <f t="shared" si="124"/>
        <v>4</v>
      </c>
      <c r="J1020">
        <f t="shared" si="125"/>
        <v>5</v>
      </c>
    </row>
    <row r="1021" spans="1:10" x14ac:dyDescent="0.25">
      <c r="A1021">
        <v>1019</v>
      </c>
      <c r="B1021" s="4" t="str">
        <f t="shared" si="120"/>
        <v>NOK</v>
      </c>
      <c r="C1021" t="str">
        <f t="shared" si="126"/>
        <v>D</v>
      </c>
      <c r="D1021" t="str">
        <f t="shared" si="127"/>
        <v>A</v>
      </c>
      <c r="E1021" t="str">
        <f t="shared" si="128"/>
        <v>D</v>
      </c>
      <c r="F1021" t="str">
        <f t="shared" si="121"/>
        <v>F</v>
      </c>
      <c r="G1021" s="4">
        <f t="shared" si="122"/>
        <v>4</v>
      </c>
      <c r="H1021">
        <f t="shared" si="123"/>
        <v>1</v>
      </c>
      <c r="I1021">
        <f t="shared" si="124"/>
        <v>4</v>
      </c>
      <c r="J1021">
        <f t="shared" si="125"/>
        <v>6</v>
      </c>
    </row>
    <row r="1022" spans="1:10" x14ac:dyDescent="0.25">
      <c r="A1022">
        <v>1020</v>
      </c>
      <c r="B1022" s="4" t="str">
        <f t="shared" si="120"/>
        <v>OK</v>
      </c>
      <c r="C1022" t="str">
        <f t="shared" si="126"/>
        <v>D</v>
      </c>
      <c r="D1022" t="str">
        <f t="shared" si="127"/>
        <v>A</v>
      </c>
      <c r="E1022" t="str">
        <f t="shared" si="128"/>
        <v>D</v>
      </c>
      <c r="F1022" t="str">
        <f t="shared" si="121"/>
        <v>G</v>
      </c>
      <c r="G1022" s="4">
        <f t="shared" si="122"/>
        <v>4</v>
      </c>
      <c r="H1022">
        <f t="shared" si="123"/>
        <v>1</v>
      </c>
      <c r="I1022">
        <f t="shared" si="124"/>
        <v>4</v>
      </c>
      <c r="J1022">
        <f t="shared" si="125"/>
        <v>7</v>
      </c>
    </row>
    <row r="1023" spans="1:10" x14ac:dyDescent="0.25">
      <c r="A1023">
        <v>1021</v>
      </c>
      <c r="B1023" s="4" t="str">
        <f t="shared" si="120"/>
        <v>NOK</v>
      </c>
      <c r="C1023" t="str">
        <f t="shared" si="126"/>
        <v>D</v>
      </c>
      <c r="D1023" t="str">
        <f t="shared" si="127"/>
        <v>A</v>
      </c>
      <c r="E1023" t="str">
        <f t="shared" si="128"/>
        <v>D</v>
      </c>
      <c r="F1023" t="str">
        <f t="shared" si="121"/>
        <v>H</v>
      </c>
      <c r="G1023" s="4">
        <f t="shared" si="122"/>
        <v>4</v>
      </c>
      <c r="H1023">
        <f t="shared" si="123"/>
        <v>1</v>
      </c>
      <c r="I1023">
        <f t="shared" si="124"/>
        <v>4</v>
      </c>
      <c r="J1023">
        <f t="shared" si="125"/>
        <v>8</v>
      </c>
    </row>
    <row r="1024" spans="1:10" x14ac:dyDescent="0.25">
      <c r="A1024">
        <v>1022</v>
      </c>
      <c r="B1024" s="4" t="str">
        <f t="shared" si="120"/>
        <v>NOK</v>
      </c>
      <c r="C1024" t="str">
        <f t="shared" si="126"/>
        <v>D</v>
      </c>
      <c r="D1024" t="str">
        <f t="shared" si="127"/>
        <v>A</v>
      </c>
      <c r="E1024" t="str">
        <f t="shared" si="128"/>
        <v>D</v>
      </c>
      <c r="F1024" t="str">
        <f t="shared" si="121"/>
        <v>I</v>
      </c>
      <c r="G1024" s="4">
        <f t="shared" si="122"/>
        <v>4</v>
      </c>
      <c r="H1024">
        <f t="shared" si="123"/>
        <v>1</v>
      </c>
      <c r="I1024">
        <f t="shared" si="124"/>
        <v>4</v>
      </c>
      <c r="J1024">
        <f t="shared" si="125"/>
        <v>9</v>
      </c>
    </row>
    <row r="1025" spans="1:10" x14ac:dyDescent="0.25">
      <c r="A1025">
        <v>1023</v>
      </c>
      <c r="B1025" s="4" t="str">
        <f t="shared" si="120"/>
        <v>NOK</v>
      </c>
      <c r="C1025" t="str">
        <f t="shared" si="126"/>
        <v>D</v>
      </c>
      <c r="D1025" t="str">
        <f t="shared" si="127"/>
        <v>A</v>
      </c>
      <c r="E1025" t="str">
        <f t="shared" si="128"/>
        <v>D</v>
      </c>
      <c r="F1025" t="str">
        <f t="shared" si="121"/>
        <v>J</v>
      </c>
      <c r="G1025" s="4">
        <f t="shared" si="122"/>
        <v>4</v>
      </c>
      <c r="H1025">
        <f t="shared" si="123"/>
        <v>1</v>
      </c>
      <c r="I1025">
        <f t="shared" si="124"/>
        <v>4</v>
      </c>
      <c r="J1025">
        <f t="shared" si="125"/>
        <v>10</v>
      </c>
    </row>
    <row r="1026" spans="1:10" x14ac:dyDescent="0.25">
      <c r="A1026">
        <v>1024</v>
      </c>
      <c r="B1026" s="4" t="str">
        <f t="shared" ref="B1026:B1089" si="129">IF(ROUND(_xlfn.XLOOKUP(C1026,$U$1:$U$5,$T$1:$T$5,,0,1)+_xlfn.XLOOKUP(D1026,$W$1:$W$5,$V$1:$V$5,,0,1)+_xlfn.XLOOKUP(E1026,$Y$1:$Y$5,$X$1:$X$5,,0,1)-_xlfn.XLOOKUP(F1026,$AA$1:$AA$13,$Z$1:$Z$13,,0,1),3)=0.325,"OK","NOK")</f>
        <v>NOK</v>
      </c>
      <c r="C1026" t="str">
        <f t="shared" si="126"/>
        <v>D</v>
      </c>
      <c r="D1026" t="str">
        <f t="shared" si="127"/>
        <v>A</v>
      </c>
      <c r="E1026" t="str">
        <f t="shared" si="128"/>
        <v>D</v>
      </c>
      <c r="F1026" t="str">
        <f t="shared" ref="F1026:F1089" si="130">IF(J1026=1,"A",IF(J1026=2,"B",IF(J1026=3,"C",IF(J1026=4,"D",IF(J1026=5,"E",IF(J1026=6,"F",IF(J1026=7,"G",IF(J1026=8,"H",IF(J1026=9,"I",IF(J1026=10,"J",IF(J1026=11,"K",IF(J1026=12,"L",IF(J1026=13,"M","ERRO")))))))))))))</f>
        <v>K</v>
      </c>
      <c r="G1026" s="4">
        <f t="shared" ref="G1026:G1089" si="131">INT($A1026/325)+1</f>
        <v>4</v>
      </c>
      <c r="H1026">
        <f t="shared" ref="H1026:H1089" si="132">INT(MOD($A1026,325)/65)+1</f>
        <v>1</v>
      </c>
      <c r="I1026">
        <f t="shared" ref="I1026:I1089" si="133">INT(MOD($A1026,65)/13)+1</f>
        <v>4</v>
      </c>
      <c r="J1026">
        <f t="shared" ref="J1026:J1089" si="134">MOD($A1026,13)+1</f>
        <v>11</v>
      </c>
    </row>
    <row r="1027" spans="1:10" x14ac:dyDescent="0.25">
      <c r="A1027">
        <v>1025</v>
      </c>
      <c r="B1027" s="4" t="str">
        <f t="shared" si="129"/>
        <v>NOK</v>
      </c>
      <c r="C1027" t="str">
        <f t="shared" si="126"/>
        <v>D</v>
      </c>
      <c r="D1027" t="str">
        <f t="shared" si="127"/>
        <v>A</v>
      </c>
      <c r="E1027" t="str">
        <f t="shared" si="128"/>
        <v>D</v>
      </c>
      <c r="F1027" t="str">
        <f t="shared" si="130"/>
        <v>L</v>
      </c>
      <c r="G1027" s="4">
        <f t="shared" si="131"/>
        <v>4</v>
      </c>
      <c r="H1027">
        <f t="shared" si="132"/>
        <v>1</v>
      </c>
      <c r="I1027">
        <f t="shared" si="133"/>
        <v>4</v>
      </c>
      <c r="J1027">
        <f t="shared" si="134"/>
        <v>12</v>
      </c>
    </row>
    <row r="1028" spans="1:10" x14ac:dyDescent="0.25">
      <c r="A1028">
        <v>1026</v>
      </c>
      <c r="B1028" s="4" t="str">
        <f t="shared" si="129"/>
        <v>NOK</v>
      </c>
      <c r="C1028" t="str">
        <f t="shared" si="126"/>
        <v>D</v>
      </c>
      <c r="D1028" t="str">
        <f t="shared" si="127"/>
        <v>A</v>
      </c>
      <c r="E1028" t="str">
        <f t="shared" si="128"/>
        <v>D</v>
      </c>
      <c r="F1028" t="str">
        <f t="shared" si="130"/>
        <v>M</v>
      </c>
      <c r="G1028" s="4">
        <f t="shared" si="131"/>
        <v>4</v>
      </c>
      <c r="H1028">
        <f t="shared" si="132"/>
        <v>1</v>
      </c>
      <c r="I1028">
        <f t="shared" si="133"/>
        <v>4</v>
      </c>
      <c r="J1028">
        <f t="shared" si="134"/>
        <v>13</v>
      </c>
    </row>
    <row r="1029" spans="1:10" x14ac:dyDescent="0.25">
      <c r="A1029">
        <v>1027</v>
      </c>
      <c r="B1029" s="4" t="str">
        <f t="shared" si="129"/>
        <v>NOK</v>
      </c>
      <c r="C1029" t="str">
        <f t="shared" si="126"/>
        <v>D</v>
      </c>
      <c r="D1029" t="str">
        <f t="shared" si="127"/>
        <v>A</v>
      </c>
      <c r="E1029" t="str">
        <f t="shared" si="128"/>
        <v>E</v>
      </c>
      <c r="F1029" t="str">
        <f t="shared" si="130"/>
        <v>A</v>
      </c>
      <c r="G1029" s="4">
        <f t="shared" si="131"/>
        <v>4</v>
      </c>
      <c r="H1029">
        <f t="shared" si="132"/>
        <v>1</v>
      </c>
      <c r="I1029">
        <f t="shared" si="133"/>
        <v>5</v>
      </c>
      <c r="J1029">
        <f t="shared" si="134"/>
        <v>1</v>
      </c>
    </row>
    <row r="1030" spans="1:10" x14ac:dyDescent="0.25">
      <c r="A1030">
        <v>1028</v>
      </c>
      <c r="B1030" s="4" t="str">
        <f t="shared" si="129"/>
        <v>NOK</v>
      </c>
      <c r="C1030" t="str">
        <f t="shared" si="126"/>
        <v>D</v>
      </c>
      <c r="D1030" t="str">
        <f t="shared" si="127"/>
        <v>A</v>
      </c>
      <c r="E1030" t="str">
        <f t="shared" si="128"/>
        <v>E</v>
      </c>
      <c r="F1030" t="str">
        <f t="shared" si="130"/>
        <v>B</v>
      </c>
      <c r="G1030" s="4">
        <f t="shared" si="131"/>
        <v>4</v>
      </c>
      <c r="H1030">
        <f t="shared" si="132"/>
        <v>1</v>
      </c>
      <c r="I1030">
        <f t="shared" si="133"/>
        <v>5</v>
      </c>
      <c r="J1030">
        <f t="shared" si="134"/>
        <v>2</v>
      </c>
    </row>
    <row r="1031" spans="1:10" x14ac:dyDescent="0.25">
      <c r="A1031">
        <v>1029</v>
      </c>
      <c r="B1031" s="4" t="str">
        <f t="shared" si="129"/>
        <v>NOK</v>
      </c>
      <c r="C1031" t="str">
        <f t="shared" si="126"/>
        <v>D</v>
      </c>
      <c r="D1031" t="str">
        <f t="shared" si="127"/>
        <v>A</v>
      </c>
      <c r="E1031" t="str">
        <f t="shared" si="128"/>
        <v>E</v>
      </c>
      <c r="F1031" t="str">
        <f t="shared" si="130"/>
        <v>C</v>
      </c>
      <c r="G1031" s="4">
        <f t="shared" si="131"/>
        <v>4</v>
      </c>
      <c r="H1031">
        <f t="shared" si="132"/>
        <v>1</v>
      </c>
      <c r="I1031">
        <f t="shared" si="133"/>
        <v>5</v>
      </c>
      <c r="J1031">
        <f t="shared" si="134"/>
        <v>3</v>
      </c>
    </row>
    <row r="1032" spans="1:10" x14ac:dyDescent="0.25">
      <c r="A1032">
        <v>1030</v>
      </c>
      <c r="B1032" s="4" t="str">
        <f t="shared" si="129"/>
        <v>NOK</v>
      </c>
      <c r="C1032" t="str">
        <f t="shared" si="126"/>
        <v>D</v>
      </c>
      <c r="D1032" t="str">
        <f t="shared" si="127"/>
        <v>A</v>
      </c>
      <c r="E1032" t="str">
        <f t="shared" si="128"/>
        <v>E</v>
      </c>
      <c r="F1032" t="str">
        <f t="shared" si="130"/>
        <v>D</v>
      </c>
      <c r="G1032" s="4">
        <f t="shared" si="131"/>
        <v>4</v>
      </c>
      <c r="H1032">
        <f t="shared" si="132"/>
        <v>1</v>
      </c>
      <c r="I1032">
        <f t="shared" si="133"/>
        <v>5</v>
      </c>
      <c r="J1032">
        <f t="shared" si="134"/>
        <v>4</v>
      </c>
    </row>
    <row r="1033" spans="1:10" x14ac:dyDescent="0.25">
      <c r="A1033">
        <v>1031</v>
      </c>
      <c r="B1033" s="4" t="str">
        <f t="shared" si="129"/>
        <v>NOK</v>
      </c>
      <c r="C1033" t="str">
        <f t="shared" si="126"/>
        <v>D</v>
      </c>
      <c r="D1033" t="str">
        <f t="shared" si="127"/>
        <v>A</v>
      </c>
      <c r="E1033" t="str">
        <f t="shared" si="128"/>
        <v>E</v>
      </c>
      <c r="F1033" t="str">
        <f t="shared" si="130"/>
        <v>E</v>
      </c>
      <c r="G1033" s="4">
        <f t="shared" si="131"/>
        <v>4</v>
      </c>
      <c r="H1033">
        <f t="shared" si="132"/>
        <v>1</v>
      </c>
      <c r="I1033">
        <f t="shared" si="133"/>
        <v>5</v>
      </c>
      <c r="J1033">
        <f t="shared" si="134"/>
        <v>5</v>
      </c>
    </row>
    <row r="1034" spans="1:10" x14ac:dyDescent="0.25">
      <c r="A1034">
        <v>1032</v>
      </c>
      <c r="B1034" s="4" t="str">
        <f t="shared" si="129"/>
        <v>NOK</v>
      </c>
      <c r="C1034" t="str">
        <f t="shared" si="126"/>
        <v>D</v>
      </c>
      <c r="D1034" t="str">
        <f t="shared" si="127"/>
        <v>A</v>
      </c>
      <c r="E1034" t="str">
        <f t="shared" si="128"/>
        <v>E</v>
      </c>
      <c r="F1034" t="str">
        <f t="shared" si="130"/>
        <v>F</v>
      </c>
      <c r="G1034" s="4">
        <f t="shared" si="131"/>
        <v>4</v>
      </c>
      <c r="H1034">
        <f t="shared" si="132"/>
        <v>1</v>
      </c>
      <c r="I1034">
        <f t="shared" si="133"/>
        <v>5</v>
      </c>
      <c r="J1034">
        <f t="shared" si="134"/>
        <v>6</v>
      </c>
    </row>
    <row r="1035" spans="1:10" x14ac:dyDescent="0.25">
      <c r="A1035">
        <v>1033</v>
      </c>
      <c r="B1035" s="4" t="str">
        <f t="shared" si="129"/>
        <v>NOK</v>
      </c>
      <c r="C1035" t="str">
        <f t="shared" si="126"/>
        <v>D</v>
      </c>
      <c r="D1035" t="str">
        <f t="shared" si="127"/>
        <v>A</v>
      </c>
      <c r="E1035" t="str">
        <f t="shared" si="128"/>
        <v>E</v>
      </c>
      <c r="F1035" t="str">
        <f t="shared" si="130"/>
        <v>G</v>
      </c>
      <c r="G1035" s="4">
        <f t="shared" si="131"/>
        <v>4</v>
      </c>
      <c r="H1035">
        <f t="shared" si="132"/>
        <v>1</v>
      </c>
      <c r="I1035">
        <f t="shared" si="133"/>
        <v>5</v>
      </c>
      <c r="J1035">
        <f t="shared" si="134"/>
        <v>7</v>
      </c>
    </row>
    <row r="1036" spans="1:10" x14ac:dyDescent="0.25">
      <c r="A1036">
        <v>1034</v>
      </c>
      <c r="B1036" s="4" t="str">
        <f t="shared" si="129"/>
        <v>OK</v>
      </c>
      <c r="C1036" t="str">
        <f t="shared" si="126"/>
        <v>D</v>
      </c>
      <c r="D1036" t="str">
        <f t="shared" si="127"/>
        <v>A</v>
      </c>
      <c r="E1036" t="str">
        <f t="shared" si="128"/>
        <v>E</v>
      </c>
      <c r="F1036" t="str">
        <f t="shared" si="130"/>
        <v>H</v>
      </c>
      <c r="G1036" s="4">
        <f t="shared" si="131"/>
        <v>4</v>
      </c>
      <c r="H1036">
        <f t="shared" si="132"/>
        <v>1</v>
      </c>
      <c r="I1036">
        <f t="shared" si="133"/>
        <v>5</v>
      </c>
      <c r="J1036">
        <f t="shared" si="134"/>
        <v>8</v>
      </c>
    </row>
    <row r="1037" spans="1:10" x14ac:dyDescent="0.25">
      <c r="A1037">
        <v>1035</v>
      </c>
      <c r="B1037" s="4" t="str">
        <f t="shared" si="129"/>
        <v>NOK</v>
      </c>
      <c r="C1037" t="str">
        <f t="shared" si="126"/>
        <v>D</v>
      </c>
      <c r="D1037" t="str">
        <f t="shared" si="127"/>
        <v>A</v>
      </c>
      <c r="E1037" t="str">
        <f t="shared" si="128"/>
        <v>E</v>
      </c>
      <c r="F1037" t="str">
        <f t="shared" si="130"/>
        <v>I</v>
      </c>
      <c r="G1037" s="4">
        <f t="shared" si="131"/>
        <v>4</v>
      </c>
      <c r="H1037">
        <f t="shared" si="132"/>
        <v>1</v>
      </c>
      <c r="I1037">
        <f t="shared" si="133"/>
        <v>5</v>
      </c>
      <c r="J1037">
        <f t="shared" si="134"/>
        <v>9</v>
      </c>
    </row>
    <row r="1038" spans="1:10" x14ac:dyDescent="0.25">
      <c r="A1038">
        <v>1036</v>
      </c>
      <c r="B1038" s="4" t="str">
        <f t="shared" si="129"/>
        <v>NOK</v>
      </c>
      <c r="C1038" t="str">
        <f t="shared" si="126"/>
        <v>D</v>
      </c>
      <c r="D1038" t="str">
        <f t="shared" si="127"/>
        <v>A</v>
      </c>
      <c r="E1038" t="str">
        <f t="shared" si="128"/>
        <v>E</v>
      </c>
      <c r="F1038" t="str">
        <f t="shared" si="130"/>
        <v>J</v>
      </c>
      <c r="G1038" s="4">
        <f t="shared" si="131"/>
        <v>4</v>
      </c>
      <c r="H1038">
        <f t="shared" si="132"/>
        <v>1</v>
      </c>
      <c r="I1038">
        <f t="shared" si="133"/>
        <v>5</v>
      </c>
      <c r="J1038">
        <f t="shared" si="134"/>
        <v>10</v>
      </c>
    </row>
    <row r="1039" spans="1:10" x14ac:dyDescent="0.25">
      <c r="A1039">
        <v>1037</v>
      </c>
      <c r="B1039" s="4" t="str">
        <f t="shared" si="129"/>
        <v>NOK</v>
      </c>
      <c r="C1039" t="str">
        <f t="shared" si="126"/>
        <v>D</v>
      </c>
      <c r="D1039" t="str">
        <f t="shared" si="127"/>
        <v>A</v>
      </c>
      <c r="E1039" t="str">
        <f t="shared" si="128"/>
        <v>E</v>
      </c>
      <c r="F1039" t="str">
        <f t="shared" si="130"/>
        <v>K</v>
      </c>
      <c r="G1039" s="4">
        <f t="shared" si="131"/>
        <v>4</v>
      </c>
      <c r="H1039">
        <f t="shared" si="132"/>
        <v>1</v>
      </c>
      <c r="I1039">
        <f t="shared" si="133"/>
        <v>5</v>
      </c>
      <c r="J1039">
        <f t="shared" si="134"/>
        <v>11</v>
      </c>
    </row>
    <row r="1040" spans="1:10" x14ac:dyDescent="0.25">
      <c r="A1040">
        <v>1038</v>
      </c>
      <c r="B1040" s="4" t="str">
        <f t="shared" si="129"/>
        <v>NOK</v>
      </c>
      <c r="C1040" t="str">
        <f t="shared" si="126"/>
        <v>D</v>
      </c>
      <c r="D1040" t="str">
        <f t="shared" si="127"/>
        <v>A</v>
      </c>
      <c r="E1040" t="str">
        <f t="shared" si="128"/>
        <v>E</v>
      </c>
      <c r="F1040" t="str">
        <f t="shared" si="130"/>
        <v>L</v>
      </c>
      <c r="G1040" s="4">
        <f t="shared" si="131"/>
        <v>4</v>
      </c>
      <c r="H1040">
        <f t="shared" si="132"/>
        <v>1</v>
      </c>
      <c r="I1040">
        <f t="shared" si="133"/>
        <v>5</v>
      </c>
      <c r="J1040">
        <f t="shared" si="134"/>
        <v>12</v>
      </c>
    </row>
    <row r="1041" spans="1:10" x14ac:dyDescent="0.25">
      <c r="A1041">
        <v>1039</v>
      </c>
      <c r="B1041" s="4" t="str">
        <f t="shared" si="129"/>
        <v>NOK</v>
      </c>
      <c r="C1041" t="str">
        <f t="shared" si="126"/>
        <v>D</v>
      </c>
      <c r="D1041" t="str">
        <f t="shared" si="127"/>
        <v>A</v>
      </c>
      <c r="E1041" t="str">
        <f t="shared" si="128"/>
        <v>E</v>
      </c>
      <c r="F1041" t="str">
        <f t="shared" si="130"/>
        <v>M</v>
      </c>
      <c r="G1041" s="4">
        <f t="shared" si="131"/>
        <v>4</v>
      </c>
      <c r="H1041">
        <f t="shared" si="132"/>
        <v>1</v>
      </c>
      <c r="I1041">
        <f t="shared" si="133"/>
        <v>5</v>
      </c>
      <c r="J1041">
        <f t="shared" si="134"/>
        <v>13</v>
      </c>
    </row>
    <row r="1042" spans="1:10" x14ac:dyDescent="0.25">
      <c r="A1042">
        <v>1040</v>
      </c>
      <c r="B1042" s="4" t="str">
        <f t="shared" si="129"/>
        <v>NOK</v>
      </c>
      <c r="C1042" t="str">
        <f t="shared" si="126"/>
        <v>D</v>
      </c>
      <c r="D1042" t="str">
        <f t="shared" si="127"/>
        <v>B</v>
      </c>
      <c r="E1042" t="str">
        <f t="shared" si="128"/>
        <v>A</v>
      </c>
      <c r="F1042" t="str">
        <f t="shared" si="130"/>
        <v>A</v>
      </c>
      <c r="G1042" s="4">
        <f t="shared" si="131"/>
        <v>4</v>
      </c>
      <c r="H1042">
        <f t="shared" si="132"/>
        <v>2</v>
      </c>
      <c r="I1042">
        <f t="shared" si="133"/>
        <v>1</v>
      </c>
      <c r="J1042">
        <f t="shared" si="134"/>
        <v>1</v>
      </c>
    </row>
    <row r="1043" spans="1:10" x14ac:dyDescent="0.25">
      <c r="A1043">
        <v>1041</v>
      </c>
      <c r="B1043" s="4" t="str">
        <f t="shared" si="129"/>
        <v>NOK</v>
      </c>
      <c r="C1043" t="str">
        <f t="shared" si="126"/>
        <v>D</v>
      </c>
      <c r="D1043" t="str">
        <f t="shared" si="127"/>
        <v>B</v>
      </c>
      <c r="E1043" t="str">
        <f t="shared" si="128"/>
        <v>A</v>
      </c>
      <c r="F1043" t="str">
        <f t="shared" si="130"/>
        <v>B</v>
      </c>
      <c r="G1043" s="4">
        <f t="shared" si="131"/>
        <v>4</v>
      </c>
      <c r="H1043">
        <f t="shared" si="132"/>
        <v>2</v>
      </c>
      <c r="I1043">
        <f t="shared" si="133"/>
        <v>1</v>
      </c>
      <c r="J1043">
        <f t="shared" si="134"/>
        <v>2</v>
      </c>
    </row>
    <row r="1044" spans="1:10" x14ac:dyDescent="0.25">
      <c r="A1044">
        <v>1042</v>
      </c>
      <c r="B1044" s="4" t="str">
        <f t="shared" si="129"/>
        <v>NOK</v>
      </c>
      <c r="C1044" t="str">
        <f t="shared" si="126"/>
        <v>D</v>
      </c>
      <c r="D1044" t="str">
        <f t="shared" si="127"/>
        <v>B</v>
      </c>
      <c r="E1044" t="str">
        <f t="shared" si="128"/>
        <v>A</v>
      </c>
      <c r="F1044" t="str">
        <f t="shared" si="130"/>
        <v>C</v>
      </c>
      <c r="G1044" s="4">
        <f t="shared" si="131"/>
        <v>4</v>
      </c>
      <c r="H1044">
        <f t="shared" si="132"/>
        <v>2</v>
      </c>
      <c r="I1044">
        <f t="shared" si="133"/>
        <v>1</v>
      </c>
      <c r="J1044">
        <f t="shared" si="134"/>
        <v>3</v>
      </c>
    </row>
    <row r="1045" spans="1:10" x14ac:dyDescent="0.25">
      <c r="A1045">
        <v>1043</v>
      </c>
      <c r="B1045" s="4" t="str">
        <f t="shared" si="129"/>
        <v>NOK</v>
      </c>
      <c r="C1045" t="str">
        <f t="shared" si="126"/>
        <v>D</v>
      </c>
      <c r="D1045" t="str">
        <f t="shared" si="127"/>
        <v>B</v>
      </c>
      <c r="E1045" t="str">
        <f t="shared" si="128"/>
        <v>A</v>
      </c>
      <c r="F1045" t="str">
        <f t="shared" si="130"/>
        <v>D</v>
      </c>
      <c r="G1045" s="4">
        <f t="shared" si="131"/>
        <v>4</v>
      </c>
      <c r="H1045">
        <f t="shared" si="132"/>
        <v>2</v>
      </c>
      <c r="I1045">
        <f t="shared" si="133"/>
        <v>1</v>
      </c>
      <c r="J1045">
        <f t="shared" si="134"/>
        <v>4</v>
      </c>
    </row>
    <row r="1046" spans="1:10" x14ac:dyDescent="0.25">
      <c r="A1046">
        <v>1044</v>
      </c>
      <c r="B1046" s="4" t="str">
        <f t="shared" si="129"/>
        <v>OK</v>
      </c>
      <c r="C1046" t="str">
        <f t="shared" si="126"/>
        <v>D</v>
      </c>
      <c r="D1046" t="str">
        <f t="shared" si="127"/>
        <v>B</v>
      </c>
      <c r="E1046" t="str">
        <f t="shared" si="128"/>
        <v>A</v>
      </c>
      <c r="F1046" t="str">
        <f t="shared" si="130"/>
        <v>E</v>
      </c>
      <c r="G1046" s="4">
        <f t="shared" si="131"/>
        <v>4</v>
      </c>
      <c r="H1046">
        <f t="shared" si="132"/>
        <v>2</v>
      </c>
      <c r="I1046">
        <f t="shared" si="133"/>
        <v>1</v>
      </c>
      <c r="J1046">
        <f t="shared" si="134"/>
        <v>5</v>
      </c>
    </row>
    <row r="1047" spans="1:10" x14ac:dyDescent="0.25">
      <c r="A1047">
        <v>1045</v>
      </c>
      <c r="B1047" s="4" t="str">
        <f t="shared" si="129"/>
        <v>NOK</v>
      </c>
      <c r="C1047" t="str">
        <f t="shared" si="126"/>
        <v>D</v>
      </c>
      <c r="D1047" t="str">
        <f t="shared" si="127"/>
        <v>B</v>
      </c>
      <c r="E1047" t="str">
        <f t="shared" si="128"/>
        <v>A</v>
      </c>
      <c r="F1047" t="str">
        <f t="shared" si="130"/>
        <v>F</v>
      </c>
      <c r="G1047" s="4">
        <f t="shared" si="131"/>
        <v>4</v>
      </c>
      <c r="H1047">
        <f t="shared" si="132"/>
        <v>2</v>
      </c>
      <c r="I1047">
        <f t="shared" si="133"/>
        <v>1</v>
      </c>
      <c r="J1047">
        <f t="shared" si="134"/>
        <v>6</v>
      </c>
    </row>
    <row r="1048" spans="1:10" x14ac:dyDescent="0.25">
      <c r="A1048">
        <v>1046</v>
      </c>
      <c r="B1048" s="4" t="str">
        <f t="shared" si="129"/>
        <v>NOK</v>
      </c>
      <c r="C1048" t="str">
        <f t="shared" si="126"/>
        <v>D</v>
      </c>
      <c r="D1048" t="str">
        <f t="shared" si="127"/>
        <v>B</v>
      </c>
      <c r="E1048" t="str">
        <f t="shared" si="128"/>
        <v>A</v>
      </c>
      <c r="F1048" t="str">
        <f t="shared" si="130"/>
        <v>G</v>
      </c>
      <c r="G1048" s="4">
        <f t="shared" si="131"/>
        <v>4</v>
      </c>
      <c r="H1048">
        <f t="shared" si="132"/>
        <v>2</v>
      </c>
      <c r="I1048">
        <f t="shared" si="133"/>
        <v>1</v>
      </c>
      <c r="J1048">
        <f t="shared" si="134"/>
        <v>7</v>
      </c>
    </row>
    <row r="1049" spans="1:10" x14ac:dyDescent="0.25">
      <c r="A1049">
        <v>1047</v>
      </c>
      <c r="B1049" s="4" t="str">
        <f t="shared" si="129"/>
        <v>NOK</v>
      </c>
      <c r="C1049" t="str">
        <f t="shared" si="126"/>
        <v>D</v>
      </c>
      <c r="D1049" t="str">
        <f t="shared" si="127"/>
        <v>B</v>
      </c>
      <c r="E1049" t="str">
        <f t="shared" si="128"/>
        <v>A</v>
      </c>
      <c r="F1049" t="str">
        <f t="shared" si="130"/>
        <v>H</v>
      </c>
      <c r="G1049" s="4">
        <f t="shared" si="131"/>
        <v>4</v>
      </c>
      <c r="H1049">
        <f t="shared" si="132"/>
        <v>2</v>
      </c>
      <c r="I1049">
        <f t="shared" si="133"/>
        <v>1</v>
      </c>
      <c r="J1049">
        <f t="shared" si="134"/>
        <v>8</v>
      </c>
    </row>
    <row r="1050" spans="1:10" x14ac:dyDescent="0.25">
      <c r="A1050">
        <v>1048</v>
      </c>
      <c r="B1050" s="4" t="str">
        <f t="shared" si="129"/>
        <v>NOK</v>
      </c>
      <c r="C1050" t="str">
        <f t="shared" si="126"/>
        <v>D</v>
      </c>
      <c r="D1050" t="str">
        <f t="shared" si="127"/>
        <v>B</v>
      </c>
      <c r="E1050" t="str">
        <f t="shared" si="128"/>
        <v>A</v>
      </c>
      <c r="F1050" t="str">
        <f t="shared" si="130"/>
        <v>I</v>
      </c>
      <c r="G1050" s="4">
        <f t="shared" si="131"/>
        <v>4</v>
      </c>
      <c r="H1050">
        <f t="shared" si="132"/>
        <v>2</v>
      </c>
      <c r="I1050">
        <f t="shared" si="133"/>
        <v>1</v>
      </c>
      <c r="J1050">
        <f t="shared" si="134"/>
        <v>9</v>
      </c>
    </row>
    <row r="1051" spans="1:10" x14ac:dyDescent="0.25">
      <c r="A1051">
        <v>1049</v>
      </c>
      <c r="B1051" s="4" t="str">
        <f t="shared" si="129"/>
        <v>NOK</v>
      </c>
      <c r="C1051" t="str">
        <f t="shared" si="126"/>
        <v>D</v>
      </c>
      <c r="D1051" t="str">
        <f t="shared" si="127"/>
        <v>B</v>
      </c>
      <c r="E1051" t="str">
        <f t="shared" si="128"/>
        <v>A</v>
      </c>
      <c r="F1051" t="str">
        <f t="shared" si="130"/>
        <v>J</v>
      </c>
      <c r="G1051" s="4">
        <f t="shared" si="131"/>
        <v>4</v>
      </c>
      <c r="H1051">
        <f t="shared" si="132"/>
        <v>2</v>
      </c>
      <c r="I1051">
        <f t="shared" si="133"/>
        <v>1</v>
      </c>
      <c r="J1051">
        <f t="shared" si="134"/>
        <v>10</v>
      </c>
    </row>
    <row r="1052" spans="1:10" x14ac:dyDescent="0.25">
      <c r="A1052">
        <v>1050</v>
      </c>
      <c r="B1052" s="4" t="str">
        <f t="shared" si="129"/>
        <v>NOK</v>
      </c>
      <c r="C1052" t="str">
        <f t="shared" si="126"/>
        <v>D</v>
      </c>
      <c r="D1052" t="str">
        <f t="shared" si="127"/>
        <v>B</v>
      </c>
      <c r="E1052" t="str">
        <f t="shared" si="128"/>
        <v>A</v>
      </c>
      <c r="F1052" t="str">
        <f t="shared" si="130"/>
        <v>K</v>
      </c>
      <c r="G1052" s="4">
        <f t="shared" si="131"/>
        <v>4</v>
      </c>
      <c r="H1052">
        <f t="shared" si="132"/>
        <v>2</v>
      </c>
      <c r="I1052">
        <f t="shared" si="133"/>
        <v>1</v>
      </c>
      <c r="J1052">
        <f t="shared" si="134"/>
        <v>11</v>
      </c>
    </row>
    <row r="1053" spans="1:10" x14ac:dyDescent="0.25">
      <c r="A1053">
        <v>1051</v>
      </c>
      <c r="B1053" s="4" t="str">
        <f t="shared" si="129"/>
        <v>NOK</v>
      </c>
      <c r="C1053" t="str">
        <f t="shared" si="126"/>
        <v>D</v>
      </c>
      <c r="D1053" t="str">
        <f t="shared" si="127"/>
        <v>B</v>
      </c>
      <c r="E1053" t="str">
        <f t="shared" si="128"/>
        <v>A</v>
      </c>
      <c r="F1053" t="str">
        <f t="shared" si="130"/>
        <v>L</v>
      </c>
      <c r="G1053" s="4">
        <f t="shared" si="131"/>
        <v>4</v>
      </c>
      <c r="H1053">
        <f t="shared" si="132"/>
        <v>2</v>
      </c>
      <c r="I1053">
        <f t="shared" si="133"/>
        <v>1</v>
      </c>
      <c r="J1053">
        <f t="shared" si="134"/>
        <v>12</v>
      </c>
    </row>
    <row r="1054" spans="1:10" x14ac:dyDescent="0.25">
      <c r="A1054">
        <v>1052</v>
      </c>
      <c r="B1054" s="4" t="str">
        <f t="shared" si="129"/>
        <v>NOK</v>
      </c>
      <c r="C1054" t="str">
        <f t="shared" si="126"/>
        <v>D</v>
      </c>
      <c r="D1054" t="str">
        <f t="shared" si="127"/>
        <v>B</v>
      </c>
      <c r="E1054" t="str">
        <f t="shared" si="128"/>
        <v>A</v>
      </c>
      <c r="F1054" t="str">
        <f t="shared" si="130"/>
        <v>M</v>
      </c>
      <c r="G1054" s="4">
        <f t="shared" si="131"/>
        <v>4</v>
      </c>
      <c r="H1054">
        <f t="shared" si="132"/>
        <v>2</v>
      </c>
      <c r="I1054">
        <f t="shared" si="133"/>
        <v>1</v>
      </c>
      <c r="J1054">
        <f t="shared" si="134"/>
        <v>13</v>
      </c>
    </row>
    <row r="1055" spans="1:10" x14ac:dyDescent="0.25">
      <c r="A1055">
        <v>1053</v>
      </c>
      <c r="B1055" s="4" t="str">
        <f t="shared" si="129"/>
        <v>NOK</v>
      </c>
      <c r="C1055" t="str">
        <f t="shared" si="126"/>
        <v>D</v>
      </c>
      <c r="D1055" t="str">
        <f t="shared" si="127"/>
        <v>B</v>
      </c>
      <c r="E1055" t="str">
        <f t="shared" si="128"/>
        <v>B</v>
      </c>
      <c r="F1055" t="str">
        <f t="shared" si="130"/>
        <v>A</v>
      </c>
      <c r="G1055" s="4">
        <f t="shared" si="131"/>
        <v>4</v>
      </c>
      <c r="H1055">
        <f t="shared" si="132"/>
        <v>2</v>
      </c>
      <c r="I1055">
        <f t="shared" si="133"/>
        <v>2</v>
      </c>
      <c r="J1055">
        <f t="shared" si="134"/>
        <v>1</v>
      </c>
    </row>
    <row r="1056" spans="1:10" x14ac:dyDescent="0.25">
      <c r="A1056">
        <v>1054</v>
      </c>
      <c r="B1056" s="4" t="str">
        <f t="shared" si="129"/>
        <v>NOK</v>
      </c>
      <c r="C1056" t="str">
        <f t="shared" si="126"/>
        <v>D</v>
      </c>
      <c r="D1056" t="str">
        <f t="shared" si="127"/>
        <v>B</v>
      </c>
      <c r="E1056" t="str">
        <f t="shared" si="128"/>
        <v>B</v>
      </c>
      <c r="F1056" t="str">
        <f t="shared" si="130"/>
        <v>B</v>
      </c>
      <c r="G1056" s="4">
        <f t="shared" si="131"/>
        <v>4</v>
      </c>
      <c r="H1056">
        <f t="shared" si="132"/>
        <v>2</v>
      </c>
      <c r="I1056">
        <f t="shared" si="133"/>
        <v>2</v>
      </c>
      <c r="J1056">
        <f t="shared" si="134"/>
        <v>2</v>
      </c>
    </row>
    <row r="1057" spans="1:10" x14ac:dyDescent="0.25">
      <c r="A1057">
        <v>1055</v>
      </c>
      <c r="B1057" s="4" t="str">
        <f t="shared" si="129"/>
        <v>NOK</v>
      </c>
      <c r="C1057" t="str">
        <f t="shared" si="126"/>
        <v>D</v>
      </c>
      <c r="D1057" t="str">
        <f t="shared" si="127"/>
        <v>B</v>
      </c>
      <c r="E1057" t="str">
        <f t="shared" si="128"/>
        <v>B</v>
      </c>
      <c r="F1057" t="str">
        <f t="shared" si="130"/>
        <v>C</v>
      </c>
      <c r="G1057" s="4">
        <f t="shared" si="131"/>
        <v>4</v>
      </c>
      <c r="H1057">
        <f t="shared" si="132"/>
        <v>2</v>
      </c>
      <c r="I1057">
        <f t="shared" si="133"/>
        <v>2</v>
      </c>
      <c r="J1057">
        <f t="shared" si="134"/>
        <v>3</v>
      </c>
    </row>
    <row r="1058" spans="1:10" x14ac:dyDescent="0.25">
      <c r="A1058">
        <v>1056</v>
      </c>
      <c r="B1058" s="4" t="str">
        <f t="shared" si="129"/>
        <v>NOK</v>
      </c>
      <c r="C1058" t="str">
        <f t="shared" si="126"/>
        <v>D</v>
      </c>
      <c r="D1058" t="str">
        <f t="shared" si="127"/>
        <v>B</v>
      </c>
      <c r="E1058" t="str">
        <f t="shared" si="128"/>
        <v>B</v>
      </c>
      <c r="F1058" t="str">
        <f t="shared" si="130"/>
        <v>D</v>
      </c>
      <c r="G1058" s="4">
        <f t="shared" si="131"/>
        <v>4</v>
      </c>
      <c r="H1058">
        <f t="shared" si="132"/>
        <v>2</v>
      </c>
      <c r="I1058">
        <f t="shared" si="133"/>
        <v>2</v>
      </c>
      <c r="J1058">
        <f t="shared" si="134"/>
        <v>4</v>
      </c>
    </row>
    <row r="1059" spans="1:10" x14ac:dyDescent="0.25">
      <c r="A1059">
        <v>1057</v>
      </c>
      <c r="B1059" s="4" t="str">
        <f t="shared" si="129"/>
        <v>NOK</v>
      </c>
      <c r="C1059" t="str">
        <f t="shared" si="126"/>
        <v>D</v>
      </c>
      <c r="D1059" t="str">
        <f t="shared" si="127"/>
        <v>B</v>
      </c>
      <c r="E1059" t="str">
        <f t="shared" si="128"/>
        <v>B</v>
      </c>
      <c r="F1059" t="str">
        <f t="shared" si="130"/>
        <v>E</v>
      </c>
      <c r="G1059" s="4">
        <f t="shared" si="131"/>
        <v>4</v>
      </c>
      <c r="H1059">
        <f t="shared" si="132"/>
        <v>2</v>
      </c>
      <c r="I1059">
        <f t="shared" si="133"/>
        <v>2</v>
      </c>
      <c r="J1059">
        <f t="shared" si="134"/>
        <v>5</v>
      </c>
    </row>
    <row r="1060" spans="1:10" x14ac:dyDescent="0.25">
      <c r="A1060">
        <v>1058</v>
      </c>
      <c r="B1060" s="4" t="str">
        <f t="shared" si="129"/>
        <v>OK</v>
      </c>
      <c r="C1060" t="str">
        <f t="shared" si="126"/>
        <v>D</v>
      </c>
      <c r="D1060" t="str">
        <f t="shared" si="127"/>
        <v>B</v>
      </c>
      <c r="E1060" t="str">
        <f t="shared" si="128"/>
        <v>B</v>
      </c>
      <c r="F1060" t="str">
        <f t="shared" si="130"/>
        <v>F</v>
      </c>
      <c r="G1060" s="4">
        <f t="shared" si="131"/>
        <v>4</v>
      </c>
      <c r="H1060">
        <f t="shared" si="132"/>
        <v>2</v>
      </c>
      <c r="I1060">
        <f t="shared" si="133"/>
        <v>2</v>
      </c>
      <c r="J1060">
        <f t="shared" si="134"/>
        <v>6</v>
      </c>
    </row>
    <row r="1061" spans="1:10" x14ac:dyDescent="0.25">
      <c r="A1061">
        <v>1059</v>
      </c>
      <c r="B1061" s="4" t="str">
        <f t="shared" si="129"/>
        <v>NOK</v>
      </c>
      <c r="C1061" t="str">
        <f t="shared" si="126"/>
        <v>D</v>
      </c>
      <c r="D1061" t="str">
        <f t="shared" si="127"/>
        <v>B</v>
      </c>
      <c r="E1061" t="str">
        <f t="shared" si="128"/>
        <v>B</v>
      </c>
      <c r="F1061" t="str">
        <f t="shared" si="130"/>
        <v>G</v>
      </c>
      <c r="G1061" s="4">
        <f t="shared" si="131"/>
        <v>4</v>
      </c>
      <c r="H1061">
        <f t="shared" si="132"/>
        <v>2</v>
      </c>
      <c r="I1061">
        <f t="shared" si="133"/>
        <v>2</v>
      </c>
      <c r="J1061">
        <f t="shared" si="134"/>
        <v>7</v>
      </c>
    </row>
    <row r="1062" spans="1:10" x14ac:dyDescent="0.25">
      <c r="A1062">
        <v>1060</v>
      </c>
      <c r="B1062" s="4" t="str">
        <f t="shared" si="129"/>
        <v>NOK</v>
      </c>
      <c r="C1062" t="str">
        <f t="shared" si="126"/>
        <v>D</v>
      </c>
      <c r="D1062" t="str">
        <f t="shared" si="127"/>
        <v>B</v>
      </c>
      <c r="E1062" t="str">
        <f t="shared" si="128"/>
        <v>B</v>
      </c>
      <c r="F1062" t="str">
        <f t="shared" si="130"/>
        <v>H</v>
      </c>
      <c r="G1062" s="4">
        <f t="shared" si="131"/>
        <v>4</v>
      </c>
      <c r="H1062">
        <f t="shared" si="132"/>
        <v>2</v>
      </c>
      <c r="I1062">
        <f t="shared" si="133"/>
        <v>2</v>
      </c>
      <c r="J1062">
        <f t="shared" si="134"/>
        <v>8</v>
      </c>
    </row>
    <row r="1063" spans="1:10" x14ac:dyDescent="0.25">
      <c r="A1063">
        <v>1061</v>
      </c>
      <c r="B1063" s="4" t="str">
        <f t="shared" si="129"/>
        <v>NOK</v>
      </c>
      <c r="C1063" t="str">
        <f t="shared" si="126"/>
        <v>D</v>
      </c>
      <c r="D1063" t="str">
        <f t="shared" si="127"/>
        <v>B</v>
      </c>
      <c r="E1063" t="str">
        <f t="shared" si="128"/>
        <v>B</v>
      </c>
      <c r="F1063" t="str">
        <f t="shared" si="130"/>
        <v>I</v>
      </c>
      <c r="G1063" s="4">
        <f t="shared" si="131"/>
        <v>4</v>
      </c>
      <c r="H1063">
        <f t="shared" si="132"/>
        <v>2</v>
      </c>
      <c r="I1063">
        <f t="shared" si="133"/>
        <v>2</v>
      </c>
      <c r="J1063">
        <f t="shared" si="134"/>
        <v>9</v>
      </c>
    </row>
    <row r="1064" spans="1:10" x14ac:dyDescent="0.25">
      <c r="A1064">
        <v>1062</v>
      </c>
      <c r="B1064" s="4" t="str">
        <f t="shared" si="129"/>
        <v>NOK</v>
      </c>
      <c r="C1064" t="str">
        <f t="shared" si="126"/>
        <v>D</v>
      </c>
      <c r="D1064" t="str">
        <f t="shared" si="127"/>
        <v>B</v>
      </c>
      <c r="E1064" t="str">
        <f t="shared" si="128"/>
        <v>B</v>
      </c>
      <c r="F1064" t="str">
        <f t="shared" si="130"/>
        <v>J</v>
      </c>
      <c r="G1064" s="4">
        <f t="shared" si="131"/>
        <v>4</v>
      </c>
      <c r="H1064">
        <f t="shared" si="132"/>
        <v>2</v>
      </c>
      <c r="I1064">
        <f t="shared" si="133"/>
        <v>2</v>
      </c>
      <c r="J1064">
        <f t="shared" si="134"/>
        <v>10</v>
      </c>
    </row>
    <row r="1065" spans="1:10" x14ac:dyDescent="0.25">
      <c r="A1065">
        <v>1063</v>
      </c>
      <c r="B1065" s="4" t="str">
        <f t="shared" si="129"/>
        <v>NOK</v>
      </c>
      <c r="C1065" t="str">
        <f t="shared" si="126"/>
        <v>D</v>
      </c>
      <c r="D1065" t="str">
        <f t="shared" si="127"/>
        <v>B</v>
      </c>
      <c r="E1065" t="str">
        <f t="shared" si="128"/>
        <v>B</v>
      </c>
      <c r="F1065" t="str">
        <f t="shared" si="130"/>
        <v>K</v>
      </c>
      <c r="G1065" s="4">
        <f t="shared" si="131"/>
        <v>4</v>
      </c>
      <c r="H1065">
        <f t="shared" si="132"/>
        <v>2</v>
      </c>
      <c r="I1065">
        <f t="shared" si="133"/>
        <v>2</v>
      </c>
      <c r="J1065">
        <f t="shared" si="134"/>
        <v>11</v>
      </c>
    </row>
    <row r="1066" spans="1:10" x14ac:dyDescent="0.25">
      <c r="A1066">
        <v>1064</v>
      </c>
      <c r="B1066" s="4" t="str">
        <f t="shared" si="129"/>
        <v>NOK</v>
      </c>
      <c r="C1066" t="str">
        <f t="shared" si="126"/>
        <v>D</v>
      </c>
      <c r="D1066" t="str">
        <f t="shared" si="127"/>
        <v>B</v>
      </c>
      <c r="E1066" t="str">
        <f t="shared" si="128"/>
        <v>B</v>
      </c>
      <c r="F1066" t="str">
        <f t="shared" si="130"/>
        <v>L</v>
      </c>
      <c r="G1066" s="4">
        <f t="shared" si="131"/>
        <v>4</v>
      </c>
      <c r="H1066">
        <f t="shared" si="132"/>
        <v>2</v>
      </c>
      <c r="I1066">
        <f t="shared" si="133"/>
        <v>2</v>
      </c>
      <c r="J1066">
        <f t="shared" si="134"/>
        <v>12</v>
      </c>
    </row>
    <row r="1067" spans="1:10" x14ac:dyDescent="0.25">
      <c r="A1067">
        <v>1065</v>
      </c>
      <c r="B1067" s="4" t="str">
        <f t="shared" si="129"/>
        <v>NOK</v>
      </c>
      <c r="C1067" t="str">
        <f t="shared" si="126"/>
        <v>D</v>
      </c>
      <c r="D1067" t="str">
        <f t="shared" si="127"/>
        <v>B</v>
      </c>
      <c r="E1067" t="str">
        <f t="shared" si="128"/>
        <v>B</v>
      </c>
      <c r="F1067" t="str">
        <f t="shared" si="130"/>
        <v>M</v>
      </c>
      <c r="G1067" s="4">
        <f t="shared" si="131"/>
        <v>4</v>
      </c>
      <c r="H1067">
        <f t="shared" si="132"/>
        <v>2</v>
      </c>
      <c r="I1067">
        <f t="shared" si="133"/>
        <v>2</v>
      </c>
      <c r="J1067">
        <f t="shared" si="134"/>
        <v>13</v>
      </c>
    </row>
    <row r="1068" spans="1:10" x14ac:dyDescent="0.25">
      <c r="A1068">
        <v>1066</v>
      </c>
      <c r="B1068" s="4" t="str">
        <f t="shared" si="129"/>
        <v>NOK</v>
      </c>
      <c r="C1068" t="str">
        <f t="shared" si="126"/>
        <v>D</v>
      </c>
      <c r="D1068" t="str">
        <f t="shared" si="127"/>
        <v>B</v>
      </c>
      <c r="E1068" t="str">
        <f t="shared" si="128"/>
        <v>C</v>
      </c>
      <c r="F1068" t="str">
        <f t="shared" si="130"/>
        <v>A</v>
      </c>
      <c r="G1068" s="4">
        <f t="shared" si="131"/>
        <v>4</v>
      </c>
      <c r="H1068">
        <f t="shared" si="132"/>
        <v>2</v>
      </c>
      <c r="I1068">
        <f t="shared" si="133"/>
        <v>3</v>
      </c>
      <c r="J1068">
        <f t="shared" si="134"/>
        <v>1</v>
      </c>
    </row>
    <row r="1069" spans="1:10" x14ac:dyDescent="0.25">
      <c r="A1069">
        <v>1067</v>
      </c>
      <c r="B1069" s="4" t="str">
        <f t="shared" si="129"/>
        <v>NOK</v>
      </c>
      <c r="C1069" t="str">
        <f t="shared" si="126"/>
        <v>D</v>
      </c>
      <c r="D1069" t="str">
        <f t="shared" si="127"/>
        <v>B</v>
      </c>
      <c r="E1069" t="str">
        <f t="shared" si="128"/>
        <v>C</v>
      </c>
      <c r="F1069" t="str">
        <f t="shared" si="130"/>
        <v>B</v>
      </c>
      <c r="G1069" s="4">
        <f t="shared" si="131"/>
        <v>4</v>
      </c>
      <c r="H1069">
        <f t="shared" si="132"/>
        <v>2</v>
      </c>
      <c r="I1069">
        <f t="shared" si="133"/>
        <v>3</v>
      </c>
      <c r="J1069">
        <f t="shared" si="134"/>
        <v>2</v>
      </c>
    </row>
    <row r="1070" spans="1:10" x14ac:dyDescent="0.25">
      <c r="A1070">
        <v>1068</v>
      </c>
      <c r="B1070" s="4" t="str">
        <f t="shared" si="129"/>
        <v>NOK</v>
      </c>
      <c r="C1070" t="str">
        <f t="shared" si="126"/>
        <v>D</v>
      </c>
      <c r="D1070" t="str">
        <f t="shared" si="127"/>
        <v>B</v>
      </c>
      <c r="E1070" t="str">
        <f t="shared" si="128"/>
        <v>C</v>
      </c>
      <c r="F1070" t="str">
        <f t="shared" si="130"/>
        <v>C</v>
      </c>
      <c r="G1070" s="4">
        <f t="shared" si="131"/>
        <v>4</v>
      </c>
      <c r="H1070">
        <f t="shared" si="132"/>
        <v>2</v>
      </c>
      <c r="I1070">
        <f t="shared" si="133"/>
        <v>3</v>
      </c>
      <c r="J1070">
        <f t="shared" si="134"/>
        <v>3</v>
      </c>
    </row>
    <row r="1071" spans="1:10" x14ac:dyDescent="0.25">
      <c r="A1071">
        <v>1069</v>
      </c>
      <c r="B1071" s="4" t="str">
        <f t="shared" si="129"/>
        <v>NOK</v>
      </c>
      <c r="C1071" t="str">
        <f t="shared" si="126"/>
        <v>D</v>
      </c>
      <c r="D1071" t="str">
        <f t="shared" si="127"/>
        <v>B</v>
      </c>
      <c r="E1071" t="str">
        <f t="shared" si="128"/>
        <v>C</v>
      </c>
      <c r="F1071" t="str">
        <f t="shared" si="130"/>
        <v>D</v>
      </c>
      <c r="G1071" s="4">
        <f t="shared" si="131"/>
        <v>4</v>
      </c>
      <c r="H1071">
        <f t="shared" si="132"/>
        <v>2</v>
      </c>
      <c r="I1071">
        <f t="shared" si="133"/>
        <v>3</v>
      </c>
      <c r="J1071">
        <f t="shared" si="134"/>
        <v>4</v>
      </c>
    </row>
    <row r="1072" spans="1:10" x14ac:dyDescent="0.25">
      <c r="A1072">
        <v>1070</v>
      </c>
      <c r="B1072" s="4" t="str">
        <f t="shared" si="129"/>
        <v>NOK</v>
      </c>
      <c r="C1072" t="str">
        <f t="shared" si="126"/>
        <v>D</v>
      </c>
      <c r="D1072" t="str">
        <f t="shared" si="127"/>
        <v>B</v>
      </c>
      <c r="E1072" t="str">
        <f t="shared" si="128"/>
        <v>C</v>
      </c>
      <c r="F1072" t="str">
        <f t="shared" si="130"/>
        <v>E</v>
      </c>
      <c r="G1072" s="4">
        <f t="shared" si="131"/>
        <v>4</v>
      </c>
      <c r="H1072">
        <f t="shared" si="132"/>
        <v>2</v>
      </c>
      <c r="I1072">
        <f t="shared" si="133"/>
        <v>3</v>
      </c>
      <c r="J1072">
        <f t="shared" si="134"/>
        <v>5</v>
      </c>
    </row>
    <row r="1073" spans="1:10" x14ac:dyDescent="0.25">
      <c r="A1073">
        <v>1071</v>
      </c>
      <c r="B1073" s="4" t="str">
        <f t="shared" si="129"/>
        <v>NOK</v>
      </c>
      <c r="C1073" t="str">
        <f t="shared" si="126"/>
        <v>D</v>
      </c>
      <c r="D1073" t="str">
        <f t="shared" si="127"/>
        <v>B</v>
      </c>
      <c r="E1073" t="str">
        <f t="shared" si="128"/>
        <v>C</v>
      </c>
      <c r="F1073" t="str">
        <f t="shared" si="130"/>
        <v>F</v>
      </c>
      <c r="G1073" s="4">
        <f t="shared" si="131"/>
        <v>4</v>
      </c>
      <c r="H1073">
        <f t="shared" si="132"/>
        <v>2</v>
      </c>
      <c r="I1073">
        <f t="shared" si="133"/>
        <v>3</v>
      </c>
      <c r="J1073">
        <f t="shared" si="134"/>
        <v>6</v>
      </c>
    </row>
    <row r="1074" spans="1:10" x14ac:dyDescent="0.25">
      <c r="A1074">
        <v>1072</v>
      </c>
      <c r="B1074" s="4" t="str">
        <f t="shared" si="129"/>
        <v>OK</v>
      </c>
      <c r="C1074" t="str">
        <f t="shared" si="126"/>
        <v>D</v>
      </c>
      <c r="D1074" t="str">
        <f t="shared" si="127"/>
        <v>B</v>
      </c>
      <c r="E1074" t="str">
        <f t="shared" si="128"/>
        <v>C</v>
      </c>
      <c r="F1074" t="str">
        <f t="shared" si="130"/>
        <v>G</v>
      </c>
      <c r="G1074" s="4">
        <f t="shared" si="131"/>
        <v>4</v>
      </c>
      <c r="H1074">
        <f t="shared" si="132"/>
        <v>2</v>
      </c>
      <c r="I1074">
        <f t="shared" si="133"/>
        <v>3</v>
      </c>
      <c r="J1074">
        <f t="shared" si="134"/>
        <v>7</v>
      </c>
    </row>
    <row r="1075" spans="1:10" x14ac:dyDescent="0.25">
      <c r="A1075">
        <v>1073</v>
      </c>
      <c r="B1075" s="4" t="str">
        <f t="shared" si="129"/>
        <v>NOK</v>
      </c>
      <c r="C1075" t="str">
        <f t="shared" si="126"/>
        <v>D</v>
      </c>
      <c r="D1075" t="str">
        <f t="shared" si="127"/>
        <v>B</v>
      </c>
      <c r="E1075" t="str">
        <f t="shared" si="128"/>
        <v>C</v>
      </c>
      <c r="F1075" t="str">
        <f t="shared" si="130"/>
        <v>H</v>
      </c>
      <c r="G1075" s="4">
        <f t="shared" si="131"/>
        <v>4</v>
      </c>
      <c r="H1075">
        <f t="shared" si="132"/>
        <v>2</v>
      </c>
      <c r="I1075">
        <f t="shared" si="133"/>
        <v>3</v>
      </c>
      <c r="J1075">
        <f t="shared" si="134"/>
        <v>8</v>
      </c>
    </row>
    <row r="1076" spans="1:10" x14ac:dyDescent="0.25">
      <c r="A1076">
        <v>1074</v>
      </c>
      <c r="B1076" s="4" t="str">
        <f t="shared" si="129"/>
        <v>NOK</v>
      </c>
      <c r="C1076" t="str">
        <f t="shared" ref="C1076:C1126" si="135">IF(G1076=1,"A",IF(G1076=2,"B",IF(G1076=3,"C",IF(G1076=4,"D",IF(G1076=5,"E","ERRO")))))</f>
        <v>D</v>
      </c>
      <c r="D1076" t="str">
        <f t="shared" ref="D1076:D1126" si="136">IF(H1076=1,"A",IF(H1076=2,"B",IF(H1076=3,"C",IF(H1076=4,"D",IF(H1076=5,"E","ERRO")))))</f>
        <v>B</v>
      </c>
      <c r="E1076" t="str">
        <f t="shared" ref="E1076:E1126" si="137">IF(I1076=1,"A",IF(I1076=2,"B",IF(I1076=3,"C",IF(I1076=4,"D",IF(I1076=5,"E","ERRO")))))</f>
        <v>C</v>
      </c>
      <c r="F1076" t="str">
        <f t="shared" si="130"/>
        <v>I</v>
      </c>
      <c r="G1076" s="4">
        <f t="shared" si="131"/>
        <v>4</v>
      </c>
      <c r="H1076">
        <f t="shared" si="132"/>
        <v>2</v>
      </c>
      <c r="I1076">
        <f t="shared" si="133"/>
        <v>3</v>
      </c>
      <c r="J1076">
        <f t="shared" si="134"/>
        <v>9</v>
      </c>
    </row>
    <row r="1077" spans="1:10" x14ac:dyDescent="0.25">
      <c r="A1077">
        <v>1075</v>
      </c>
      <c r="B1077" s="4" t="str">
        <f t="shared" si="129"/>
        <v>NOK</v>
      </c>
      <c r="C1077" t="str">
        <f t="shared" si="135"/>
        <v>D</v>
      </c>
      <c r="D1077" t="str">
        <f t="shared" si="136"/>
        <v>B</v>
      </c>
      <c r="E1077" t="str">
        <f t="shared" si="137"/>
        <v>C</v>
      </c>
      <c r="F1077" t="str">
        <f t="shared" si="130"/>
        <v>J</v>
      </c>
      <c r="G1077" s="4">
        <f t="shared" si="131"/>
        <v>4</v>
      </c>
      <c r="H1077">
        <f t="shared" si="132"/>
        <v>2</v>
      </c>
      <c r="I1077">
        <f t="shared" si="133"/>
        <v>3</v>
      </c>
      <c r="J1077">
        <f t="shared" si="134"/>
        <v>10</v>
      </c>
    </row>
    <row r="1078" spans="1:10" x14ac:dyDescent="0.25">
      <c r="A1078">
        <v>1076</v>
      </c>
      <c r="B1078" s="4" t="str">
        <f t="shared" si="129"/>
        <v>NOK</v>
      </c>
      <c r="C1078" t="str">
        <f t="shared" si="135"/>
        <v>D</v>
      </c>
      <c r="D1078" t="str">
        <f t="shared" si="136"/>
        <v>B</v>
      </c>
      <c r="E1078" t="str">
        <f t="shared" si="137"/>
        <v>C</v>
      </c>
      <c r="F1078" t="str">
        <f t="shared" si="130"/>
        <v>K</v>
      </c>
      <c r="G1078" s="4">
        <f t="shared" si="131"/>
        <v>4</v>
      </c>
      <c r="H1078">
        <f t="shared" si="132"/>
        <v>2</v>
      </c>
      <c r="I1078">
        <f t="shared" si="133"/>
        <v>3</v>
      </c>
      <c r="J1078">
        <f t="shared" si="134"/>
        <v>11</v>
      </c>
    </row>
    <row r="1079" spans="1:10" x14ac:dyDescent="0.25">
      <c r="A1079">
        <v>1077</v>
      </c>
      <c r="B1079" s="4" t="str">
        <f t="shared" si="129"/>
        <v>NOK</v>
      </c>
      <c r="C1079" t="str">
        <f t="shared" si="135"/>
        <v>D</v>
      </c>
      <c r="D1079" t="str">
        <f t="shared" si="136"/>
        <v>B</v>
      </c>
      <c r="E1079" t="str">
        <f t="shared" si="137"/>
        <v>C</v>
      </c>
      <c r="F1079" t="str">
        <f t="shared" si="130"/>
        <v>L</v>
      </c>
      <c r="G1079" s="4">
        <f t="shared" si="131"/>
        <v>4</v>
      </c>
      <c r="H1079">
        <f t="shared" si="132"/>
        <v>2</v>
      </c>
      <c r="I1079">
        <f t="shared" si="133"/>
        <v>3</v>
      </c>
      <c r="J1079">
        <f t="shared" si="134"/>
        <v>12</v>
      </c>
    </row>
    <row r="1080" spans="1:10" x14ac:dyDescent="0.25">
      <c r="A1080">
        <v>1078</v>
      </c>
      <c r="B1080" s="4" t="str">
        <f t="shared" si="129"/>
        <v>NOK</v>
      </c>
      <c r="C1080" t="str">
        <f t="shared" si="135"/>
        <v>D</v>
      </c>
      <c r="D1080" t="str">
        <f t="shared" si="136"/>
        <v>B</v>
      </c>
      <c r="E1080" t="str">
        <f t="shared" si="137"/>
        <v>C</v>
      </c>
      <c r="F1080" t="str">
        <f t="shared" si="130"/>
        <v>M</v>
      </c>
      <c r="G1080" s="4">
        <f t="shared" si="131"/>
        <v>4</v>
      </c>
      <c r="H1080">
        <f t="shared" si="132"/>
        <v>2</v>
      </c>
      <c r="I1080">
        <f t="shared" si="133"/>
        <v>3</v>
      </c>
      <c r="J1080">
        <f t="shared" si="134"/>
        <v>13</v>
      </c>
    </row>
    <row r="1081" spans="1:10" x14ac:dyDescent="0.25">
      <c r="A1081">
        <v>1079</v>
      </c>
      <c r="B1081" s="4" t="str">
        <f t="shared" si="129"/>
        <v>NOK</v>
      </c>
      <c r="C1081" t="str">
        <f t="shared" si="135"/>
        <v>D</v>
      </c>
      <c r="D1081" t="str">
        <f t="shared" si="136"/>
        <v>B</v>
      </c>
      <c r="E1081" t="str">
        <f t="shared" si="137"/>
        <v>D</v>
      </c>
      <c r="F1081" t="str">
        <f t="shared" si="130"/>
        <v>A</v>
      </c>
      <c r="G1081" s="4">
        <f t="shared" si="131"/>
        <v>4</v>
      </c>
      <c r="H1081">
        <f t="shared" si="132"/>
        <v>2</v>
      </c>
      <c r="I1081">
        <f t="shared" si="133"/>
        <v>4</v>
      </c>
      <c r="J1081">
        <f t="shared" si="134"/>
        <v>1</v>
      </c>
    </row>
    <row r="1082" spans="1:10" x14ac:dyDescent="0.25">
      <c r="A1082">
        <v>1080</v>
      </c>
      <c r="B1082" s="4" t="str">
        <f t="shared" si="129"/>
        <v>NOK</v>
      </c>
      <c r="C1082" t="str">
        <f t="shared" si="135"/>
        <v>D</v>
      </c>
      <c r="D1082" t="str">
        <f t="shared" si="136"/>
        <v>B</v>
      </c>
      <c r="E1082" t="str">
        <f t="shared" si="137"/>
        <v>D</v>
      </c>
      <c r="F1082" t="str">
        <f t="shared" si="130"/>
        <v>B</v>
      </c>
      <c r="G1082" s="4">
        <f t="shared" si="131"/>
        <v>4</v>
      </c>
      <c r="H1082">
        <f t="shared" si="132"/>
        <v>2</v>
      </c>
      <c r="I1082">
        <f t="shared" si="133"/>
        <v>4</v>
      </c>
      <c r="J1082">
        <f t="shared" si="134"/>
        <v>2</v>
      </c>
    </row>
    <row r="1083" spans="1:10" x14ac:dyDescent="0.25">
      <c r="A1083">
        <v>1081</v>
      </c>
      <c r="B1083" s="4" t="str">
        <f t="shared" si="129"/>
        <v>NOK</v>
      </c>
      <c r="C1083" t="str">
        <f t="shared" si="135"/>
        <v>D</v>
      </c>
      <c r="D1083" t="str">
        <f t="shared" si="136"/>
        <v>B</v>
      </c>
      <c r="E1083" t="str">
        <f t="shared" si="137"/>
        <v>D</v>
      </c>
      <c r="F1083" t="str">
        <f t="shared" si="130"/>
        <v>C</v>
      </c>
      <c r="G1083" s="4">
        <f t="shared" si="131"/>
        <v>4</v>
      </c>
      <c r="H1083">
        <f t="shared" si="132"/>
        <v>2</v>
      </c>
      <c r="I1083">
        <f t="shared" si="133"/>
        <v>4</v>
      </c>
      <c r="J1083">
        <f t="shared" si="134"/>
        <v>3</v>
      </c>
    </row>
    <row r="1084" spans="1:10" x14ac:dyDescent="0.25">
      <c r="A1084">
        <v>1082</v>
      </c>
      <c r="B1084" s="4" t="str">
        <f t="shared" si="129"/>
        <v>NOK</v>
      </c>
      <c r="C1084" t="str">
        <f t="shared" si="135"/>
        <v>D</v>
      </c>
      <c r="D1084" t="str">
        <f t="shared" si="136"/>
        <v>B</v>
      </c>
      <c r="E1084" t="str">
        <f t="shared" si="137"/>
        <v>D</v>
      </c>
      <c r="F1084" t="str">
        <f t="shared" si="130"/>
        <v>D</v>
      </c>
      <c r="G1084" s="4">
        <f t="shared" si="131"/>
        <v>4</v>
      </c>
      <c r="H1084">
        <f t="shared" si="132"/>
        <v>2</v>
      </c>
      <c r="I1084">
        <f t="shared" si="133"/>
        <v>4</v>
      </c>
      <c r="J1084">
        <f t="shared" si="134"/>
        <v>4</v>
      </c>
    </row>
    <row r="1085" spans="1:10" x14ac:dyDescent="0.25">
      <c r="A1085">
        <v>1083</v>
      </c>
      <c r="B1085" s="4" t="str">
        <f t="shared" si="129"/>
        <v>NOK</v>
      </c>
      <c r="C1085" t="str">
        <f t="shared" si="135"/>
        <v>D</v>
      </c>
      <c r="D1085" t="str">
        <f t="shared" si="136"/>
        <v>B</v>
      </c>
      <c r="E1085" t="str">
        <f t="shared" si="137"/>
        <v>D</v>
      </c>
      <c r="F1085" t="str">
        <f t="shared" si="130"/>
        <v>E</v>
      </c>
      <c r="G1085" s="4">
        <f t="shared" si="131"/>
        <v>4</v>
      </c>
      <c r="H1085">
        <f t="shared" si="132"/>
        <v>2</v>
      </c>
      <c r="I1085">
        <f t="shared" si="133"/>
        <v>4</v>
      </c>
      <c r="J1085">
        <f t="shared" si="134"/>
        <v>5</v>
      </c>
    </row>
    <row r="1086" spans="1:10" x14ac:dyDescent="0.25">
      <c r="A1086">
        <v>1084</v>
      </c>
      <c r="B1086" s="4" t="str">
        <f t="shared" si="129"/>
        <v>NOK</v>
      </c>
      <c r="C1086" t="str">
        <f t="shared" si="135"/>
        <v>D</v>
      </c>
      <c r="D1086" t="str">
        <f t="shared" si="136"/>
        <v>B</v>
      </c>
      <c r="E1086" t="str">
        <f t="shared" si="137"/>
        <v>D</v>
      </c>
      <c r="F1086" t="str">
        <f t="shared" si="130"/>
        <v>F</v>
      </c>
      <c r="G1086" s="4">
        <f t="shared" si="131"/>
        <v>4</v>
      </c>
      <c r="H1086">
        <f t="shared" si="132"/>
        <v>2</v>
      </c>
      <c r="I1086">
        <f t="shared" si="133"/>
        <v>4</v>
      </c>
      <c r="J1086">
        <f t="shared" si="134"/>
        <v>6</v>
      </c>
    </row>
    <row r="1087" spans="1:10" x14ac:dyDescent="0.25">
      <c r="A1087">
        <v>1085</v>
      </c>
      <c r="B1087" s="4" t="str">
        <f t="shared" si="129"/>
        <v>NOK</v>
      </c>
      <c r="C1087" t="str">
        <f t="shared" si="135"/>
        <v>D</v>
      </c>
      <c r="D1087" t="str">
        <f t="shared" si="136"/>
        <v>B</v>
      </c>
      <c r="E1087" t="str">
        <f t="shared" si="137"/>
        <v>D</v>
      </c>
      <c r="F1087" t="str">
        <f t="shared" si="130"/>
        <v>G</v>
      </c>
      <c r="G1087" s="4">
        <f t="shared" si="131"/>
        <v>4</v>
      </c>
      <c r="H1087">
        <f t="shared" si="132"/>
        <v>2</v>
      </c>
      <c r="I1087">
        <f t="shared" si="133"/>
        <v>4</v>
      </c>
      <c r="J1087">
        <f t="shared" si="134"/>
        <v>7</v>
      </c>
    </row>
    <row r="1088" spans="1:10" x14ac:dyDescent="0.25">
      <c r="A1088">
        <v>1086</v>
      </c>
      <c r="B1088" s="4" t="str">
        <f t="shared" si="129"/>
        <v>OK</v>
      </c>
      <c r="C1088" t="str">
        <f t="shared" si="135"/>
        <v>D</v>
      </c>
      <c r="D1088" t="str">
        <f t="shared" si="136"/>
        <v>B</v>
      </c>
      <c r="E1088" t="str">
        <f t="shared" si="137"/>
        <v>D</v>
      </c>
      <c r="F1088" t="str">
        <f t="shared" si="130"/>
        <v>H</v>
      </c>
      <c r="G1088" s="4">
        <f t="shared" si="131"/>
        <v>4</v>
      </c>
      <c r="H1088">
        <f t="shared" si="132"/>
        <v>2</v>
      </c>
      <c r="I1088">
        <f t="shared" si="133"/>
        <v>4</v>
      </c>
      <c r="J1088">
        <f t="shared" si="134"/>
        <v>8</v>
      </c>
    </row>
    <row r="1089" spans="1:10" x14ac:dyDescent="0.25">
      <c r="A1089">
        <v>1087</v>
      </c>
      <c r="B1089" s="4" t="str">
        <f t="shared" si="129"/>
        <v>NOK</v>
      </c>
      <c r="C1089" t="str">
        <f t="shared" si="135"/>
        <v>D</v>
      </c>
      <c r="D1089" t="str">
        <f t="shared" si="136"/>
        <v>B</v>
      </c>
      <c r="E1089" t="str">
        <f t="shared" si="137"/>
        <v>D</v>
      </c>
      <c r="F1089" t="str">
        <f t="shared" si="130"/>
        <v>I</v>
      </c>
      <c r="G1089" s="4">
        <f t="shared" si="131"/>
        <v>4</v>
      </c>
      <c r="H1089">
        <f t="shared" si="132"/>
        <v>2</v>
      </c>
      <c r="I1089">
        <f t="shared" si="133"/>
        <v>4</v>
      </c>
      <c r="J1089">
        <f t="shared" si="134"/>
        <v>9</v>
      </c>
    </row>
    <row r="1090" spans="1:10" x14ac:dyDescent="0.25">
      <c r="A1090">
        <v>1088</v>
      </c>
      <c r="B1090" s="4" t="str">
        <f t="shared" ref="B1090:B1153" si="138">IF(ROUND(_xlfn.XLOOKUP(C1090,$U$1:$U$5,$T$1:$T$5,,0,1)+_xlfn.XLOOKUP(D1090,$W$1:$W$5,$V$1:$V$5,,0,1)+_xlfn.XLOOKUP(E1090,$Y$1:$Y$5,$X$1:$X$5,,0,1)-_xlfn.XLOOKUP(F1090,$AA$1:$AA$13,$Z$1:$Z$13,,0,1),3)=0.325,"OK","NOK")</f>
        <v>NOK</v>
      </c>
      <c r="C1090" t="str">
        <f t="shared" si="135"/>
        <v>D</v>
      </c>
      <c r="D1090" t="str">
        <f t="shared" si="136"/>
        <v>B</v>
      </c>
      <c r="E1090" t="str">
        <f t="shared" si="137"/>
        <v>D</v>
      </c>
      <c r="F1090" t="str">
        <f t="shared" ref="F1090:F1153" si="139">IF(J1090=1,"A",IF(J1090=2,"B",IF(J1090=3,"C",IF(J1090=4,"D",IF(J1090=5,"E",IF(J1090=6,"F",IF(J1090=7,"G",IF(J1090=8,"H",IF(J1090=9,"I",IF(J1090=10,"J",IF(J1090=11,"K",IF(J1090=12,"L",IF(J1090=13,"M","ERRO")))))))))))))</f>
        <v>J</v>
      </c>
      <c r="G1090" s="4">
        <f t="shared" ref="G1090:G1153" si="140">INT($A1090/325)+1</f>
        <v>4</v>
      </c>
      <c r="H1090">
        <f t="shared" ref="H1090:H1153" si="141">INT(MOD($A1090,325)/65)+1</f>
        <v>2</v>
      </c>
      <c r="I1090">
        <f t="shared" ref="I1090:I1153" si="142">INT(MOD($A1090,65)/13)+1</f>
        <v>4</v>
      </c>
      <c r="J1090">
        <f t="shared" ref="J1090:J1153" si="143">MOD($A1090,13)+1</f>
        <v>10</v>
      </c>
    </row>
    <row r="1091" spans="1:10" x14ac:dyDescent="0.25">
      <c r="A1091">
        <v>1089</v>
      </c>
      <c r="B1091" s="4" t="str">
        <f t="shared" si="138"/>
        <v>NOK</v>
      </c>
      <c r="C1091" t="str">
        <f t="shared" si="135"/>
        <v>D</v>
      </c>
      <c r="D1091" t="str">
        <f t="shared" si="136"/>
        <v>B</v>
      </c>
      <c r="E1091" t="str">
        <f t="shared" si="137"/>
        <v>D</v>
      </c>
      <c r="F1091" t="str">
        <f t="shared" si="139"/>
        <v>K</v>
      </c>
      <c r="G1091" s="4">
        <f t="shared" si="140"/>
        <v>4</v>
      </c>
      <c r="H1091">
        <f t="shared" si="141"/>
        <v>2</v>
      </c>
      <c r="I1091">
        <f t="shared" si="142"/>
        <v>4</v>
      </c>
      <c r="J1091">
        <f t="shared" si="143"/>
        <v>11</v>
      </c>
    </row>
    <row r="1092" spans="1:10" x14ac:dyDescent="0.25">
      <c r="A1092">
        <v>1090</v>
      </c>
      <c r="B1092" s="4" t="str">
        <f t="shared" si="138"/>
        <v>NOK</v>
      </c>
      <c r="C1092" t="str">
        <f t="shared" si="135"/>
        <v>D</v>
      </c>
      <c r="D1092" t="str">
        <f t="shared" si="136"/>
        <v>B</v>
      </c>
      <c r="E1092" t="str">
        <f t="shared" si="137"/>
        <v>D</v>
      </c>
      <c r="F1092" t="str">
        <f t="shared" si="139"/>
        <v>L</v>
      </c>
      <c r="G1092" s="4">
        <f t="shared" si="140"/>
        <v>4</v>
      </c>
      <c r="H1092">
        <f t="shared" si="141"/>
        <v>2</v>
      </c>
      <c r="I1092">
        <f t="shared" si="142"/>
        <v>4</v>
      </c>
      <c r="J1092">
        <f t="shared" si="143"/>
        <v>12</v>
      </c>
    </row>
    <row r="1093" spans="1:10" x14ac:dyDescent="0.25">
      <c r="A1093">
        <v>1091</v>
      </c>
      <c r="B1093" s="4" t="str">
        <f t="shared" si="138"/>
        <v>NOK</v>
      </c>
      <c r="C1093" t="str">
        <f t="shared" si="135"/>
        <v>D</v>
      </c>
      <c r="D1093" t="str">
        <f t="shared" si="136"/>
        <v>B</v>
      </c>
      <c r="E1093" t="str">
        <f t="shared" si="137"/>
        <v>D</v>
      </c>
      <c r="F1093" t="str">
        <f t="shared" si="139"/>
        <v>M</v>
      </c>
      <c r="G1093" s="4">
        <f t="shared" si="140"/>
        <v>4</v>
      </c>
      <c r="H1093">
        <f t="shared" si="141"/>
        <v>2</v>
      </c>
      <c r="I1093">
        <f t="shared" si="142"/>
        <v>4</v>
      </c>
      <c r="J1093">
        <f t="shared" si="143"/>
        <v>13</v>
      </c>
    </row>
    <row r="1094" spans="1:10" x14ac:dyDescent="0.25">
      <c r="A1094">
        <v>1092</v>
      </c>
      <c r="B1094" s="4" t="str">
        <f t="shared" si="138"/>
        <v>NOK</v>
      </c>
      <c r="C1094" t="str">
        <f t="shared" si="135"/>
        <v>D</v>
      </c>
      <c r="D1094" t="str">
        <f t="shared" si="136"/>
        <v>B</v>
      </c>
      <c r="E1094" t="str">
        <f t="shared" si="137"/>
        <v>E</v>
      </c>
      <c r="F1094" t="str">
        <f t="shared" si="139"/>
        <v>A</v>
      </c>
      <c r="G1094" s="4">
        <f t="shared" si="140"/>
        <v>4</v>
      </c>
      <c r="H1094">
        <f t="shared" si="141"/>
        <v>2</v>
      </c>
      <c r="I1094">
        <f t="shared" si="142"/>
        <v>5</v>
      </c>
      <c r="J1094">
        <f t="shared" si="143"/>
        <v>1</v>
      </c>
    </row>
    <row r="1095" spans="1:10" x14ac:dyDescent="0.25">
      <c r="A1095">
        <v>1093</v>
      </c>
      <c r="B1095" s="4" t="str">
        <f t="shared" si="138"/>
        <v>NOK</v>
      </c>
      <c r="C1095" t="str">
        <f t="shared" si="135"/>
        <v>D</v>
      </c>
      <c r="D1095" t="str">
        <f t="shared" si="136"/>
        <v>B</v>
      </c>
      <c r="E1095" t="str">
        <f t="shared" si="137"/>
        <v>E</v>
      </c>
      <c r="F1095" t="str">
        <f t="shared" si="139"/>
        <v>B</v>
      </c>
      <c r="G1095" s="4">
        <f t="shared" si="140"/>
        <v>4</v>
      </c>
      <c r="H1095">
        <f t="shared" si="141"/>
        <v>2</v>
      </c>
      <c r="I1095">
        <f t="shared" si="142"/>
        <v>5</v>
      </c>
      <c r="J1095">
        <f t="shared" si="143"/>
        <v>2</v>
      </c>
    </row>
    <row r="1096" spans="1:10" x14ac:dyDescent="0.25">
      <c r="A1096">
        <v>1094</v>
      </c>
      <c r="B1096" s="4" t="str">
        <f t="shared" si="138"/>
        <v>NOK</v>
      </c>
      <c r="C1096" t="str">
        <f t="shared" si="135"/>
        <v>D</v>
      </c>
      <c r="D1096" t="str">
        <f t="shared" si="136"/>
        <v>B</v>
      </c>
      <c r="E1096" t="str">
        <f t="shared" si="137"/>
        <v>E</v>
      </c>
      <c r="F1096" t="str">
        <f t="shared" si="139"/>
        <v>C</v>
      </c>
      <c r="G1096" s="4">
        <f t="shared" si="140"/>
        <v>4</v>
      </c>
      <c r="H1096">
        <f t="shared" si="141"/>
        <v>2</v>
      </c>
      <c r="I1096">
        <f t="shared" si="142"/>
        <v>5</v>
      </c>
      <c r="J1096">
        <f t="shared" si="143"/>
        <v>3</v>
      </c>
    </row>
    <row r="1097" spans="1:10" x14ac:dyDescent="0.25">
      <c r="A1097">
        <v>1095</v>
      </c>
      <c r="B1097" s="4" t="str">
        <f t="shared" si="138"/>
        <v>NOK</v>
      </c>
      <c r="C1097" t="str">
        <f t="shared" si="135"/>
        <v>D</v>
      </c>
      <c r="D1097" t="str">
        <f t="shared" si="136"/>
        <v>B</v>
      </c>
      <c r="E1097" t="str">
        <f t="shared" si="137"/>
        <v>E</v>
      </c>
      <c r="F1097" t="str">
        <f t="shared" si="139"/>
        <v>D</v>
      </c>
      <c r="G1097" s="4">
        <f t="shared" si="140"/>
        <v>4</v>
      </c>
      <c r="H1097">
        <f t="shared" si="141"/>
        <v>2</v>
      </c>
      <c r="I1097">
        <f t="shared" si="142"/>
        <v>5</v>
      </c>
      <c r="J1097">
        <f t="shared" si="143"/>
        <v>4</v>
      </c>
    </row>
    <row r="1098" spans="1:10" x14ac:dyDescent="0.25">
      <c r="A1098">
        <v>1096</v>
      </c>
      <c r="B1098" s="4" t="str">
        <f t="shared" si="138"/>
        <v>NOK</v>
      </c>
      <c r="C1098" t="str">
        <f t="shared" si="135"/>
        <v>D</v>
      </c>
      <c r="D1098" t="str">
        <f t="shared" si="136"/>
        <v>B</v>
      </c>
      <c r="E1098" t="str">
        <f t="shared" si="137"/>
        <v>E</v>
      </c>
      <c r="F1098" t="str">
        <f t="shared" si="139"/>
        <v>E</v>
      </c>
      <c r="G1098" s="4">
        <f t="shared" si="140"/>
        <v>4</v>
      </c>
      <c r="H1098">
        <f t="shared" si="141"/>
        <v>2</v>
      </c>
      <c r="I1098">
        <f t="shared" si="142"/>
        <v>5</v>
      </c>
      <c r="J1098">
        <f t="shared" si="143"/>
        <v>5</v>
      </c>
    </row>
    <row r="1099" spans="1:10" x14ac:dyDescent="0.25">
      <c r="A1099">
        <v>1097</v>
      </c>
      <c r="B1099" s="4" t="str">
        <f t="shared" si="138"/>
        <v>NOK</v>
      </c>
      <c r="C1099" t="str">
        <f t="shared" si="135"/>
        <v>D</v>
      </c>
      <c r="D1099" t="str">
        <f t="shared" si="136"/>
        <v>B</v>
      </c>
      <c r="E1099" t="str">
        <f t="shared" si="137"/>
        <v>E</v>
      </c>
      <c r="F1099" t="str">
        <f t="shared" si="139"/>
        <v>F</v>
      </c>
      <c r="G1099" s="4">
        <f t="shared" si="140"/>
        <v>4</v>
      </c>
      <c r="H1099">
        <f t="shared" si="141"/>
        <v>2</v>
      </c>
      <c r="I1099">
        <f t="shared" si="142"/>
        <v>5</v>
      </c>
      <c r="J1099">
        <f t="shared" si="143"/>
        <v>6</v>
      </c>
    </row>
    <row r="1100" spans="1:10" x14ac:dyDescent="0.25">
      <c r="A1100">
        <v>1098</v>
      </c>
      <c r="B1100" s="4" t="str">
        <f t="shared" si="138"/>
        <v>NOK</v>
      </c>
      <c r="C1100" t="str">
        <f t="shared" si="135"/>
        <v>D</v>
      </c>
      <c r="D1100" t="str">
        <f t="shared" si="136"/>
        <v>B</v>
      </c>
      <c r="E1100" t="str">
        <f t="shared" si="137"/>
        <v>E</v>
      </c>
      <c r="F1100" t="str">
        <f t="shared" si="139"/>
        <v>G</v>
      </c>
      <c r="G1100" s="4">
        <f t="shared" si="140"/>
        <v>4</v>
      </c>
      <c r="H1100">
        <f t="shared" si="141"/>
        <v>2</v>
      </c>
      <c r="I1100">
        <f t="shared" si="142"/>
        <v>5</v>
      </c>
      <c r="J1100">
        <f t="shared" si="143"/>
        <v>7</v>
      </c>
    </row>
    <row r="1101" spans="1:10" x14ac:dyDescent="0.25">
      <c r="A1101">
        <v>1099</v>
      </c>
      <c r="B1101" s="4" t="str">
        <f t="shared" si="138"/>
        <v>NOK</v>
      </c>
      <c r="C1101" t="str">
        <f t="shared" si="135"/>
        <v>D</v>
      </c>
      <c r="D1101" t="str">
        <f t="shared" si="136"/>
        <v>B</v>
      </c>
      <c r="E1101" t="str">
        <f t="shared" si="137"/>
        <v>E</v>
      </c>
      <c r="F1101" t="str">
        <f t="shared" si="139"/>
        <v>H</v>
      </c>
      <c r="G1101" s="4">
        <f t="shared" si="140"/>
        <v>4</v>
      </c>
      <c r="H1101">
        <f t="shared" si="141"/>
        <v>2</v>
      </c>
      <c r="I1101">
        <f t="shared" si="142"/>
        <v>5</v>
      </c>
      <c r="J1101">
        <f t="shared" si="143"/>
        <v>8</v>
      </c>
    </row>
    <row r="1102" spans="1:10" x14ac:dyDescent="0.25">
      <c r="A1102">
        <v>1100</v>
      </c>
      <c r="B1102" s="4" t="str">
        <f t="shared" si="138"/>
        <v>OK</v>
      </c>
      <c r="C1102" t="str">
        <f t="shared" si="135"/>
        <v>D</v>
      </c>
      <c r="D1102" t="str">
        <f t="shared" si="136"/>
        <v>B</v>
      </c>
      <c r="E1102" t="str">
        <f t="shared" si="137"/>
        <v>E</v>
      </c>
      <c r="F1102" t="str">
        <f t="shared" si="139"/>
        <v>I</v>
      </c>
      <c r="G1102" s="4">
        <f t="shared" si="140"/>
        <v>4</v>
      </c>
      <c r="H1102">
        <f t="shared" si="141"/>
        <v>2</v>
      </c>
      <c r="I1102">
        <f t="shared" si="142"/>
        <v>5</v>
      </c>
      <c r="J1102">
        <f t="shared" si="143"/>
        <v>9</v>
      </c>
    </row>
    <row r="1103" spans="1:10" x14ac:dyDescent="0.25">
      <c r="A1103">
        <v>1101</v>
      </c>
      <c r="B1103" s="4" t="str">
        <f t="shared" si="138"/>
        <v>NOK</v>
      </c>
      <c r="C1103" t="str">
        <f t="shared" si="135"/>
        <v>D</v>
      </c>
      <c r="D1103" t="str">
        <f t="shared" si="136"/>
        <v>B</v>
      </c>
      <c r="E1103" t="str">
        <f t="shared" si="137"/>
        <v>E</v>
      </c>
      <c r="F1103" t="str">
        <f t="shared" si="139"/>
        <v>J</v>
      </c>
      <c r="G1103" s="4">
        <f t="shared" si="140"/>
        <v>4</v>
      </c>
      <c r="H1103">
        <f t="shared" si="141"/>
        <v>2</v>
      </c>
      <c r="I1103">
        <f t="shared" si="142"/>
        <v>5</v>
      </c>
      <c r="J1103">
        <f t="shared" si="143"/>
        <v>10</v>
      </c>
    </row>
    <row r="1104" spans="1:10" x14ac:dyDescent="0.25">
      <c r="A1104">
        <v>1102</v>
      </c>
      <c r="B1104" s="4" t="str">
        <f t="shared" si="138"/>
        <v>NOK</v>
      </c>
      <c r="C1104" t="str">
        <f t="shared" si="135"/>
        <v>D</v>
      </c>
      <c r="D1104" t="str">
        <f t="shared" si="136"/>
        <v>B</v>
      </c>
      <c r="E1104" t="str">
        <f t="shared" si="137"/>
        <v>E</v>
      </c>
      <c r="F1104" t="str">
        <f t="shared" si="139"/>
        <v>K</v>
      </c>
      <c r="G1104" s="4">
        <f t="shared" si="140"/>
        <v>4</v>
      </c>
      <c r="H1104">
        <f t="shared" si="141"/>
        <v>2</v>
      </c>
      <c r="I1104">
        <f t="shared" si="142"/>
        <v>5</v>
      </c>
      <c r="J1104">
        <f t="shared" si="143"/>
        <v>11</v>
      </c>
    </row>
    <row r="1105" spans="1:10" x14ac:dyDescent="0.25">
      <c r="A1105">
        <v>1103</v>
      </c>
      <c r="B1105" s="4" t="str">
        <f t="shared" si="138"/>
        <v>NOK</v>
      </c>
      <c r="C1105" t="str">
        <f t="shared" si="135"/>
        <v>D</v>
      </c>
      <c r="D1105" t="str">
        <f t="shared" si="136"/>
        <v>B</v>
      </c>
      <c r="E1105" t="str">
        <f t="shared" si="137"/>
        <v>E</v>
      </c>
      <c r="F1105" t="str">
        <f t="shared" si="139"/>
        <v>L</v>
      </c>
      <c r="G1105" s="4">
        <f t="shared" si="140"/>
        <v>4</v>
      </c>
      <c r="H1105">
        <f t="shared" si="141"/>
        <v>2</v>
      </c>
      <c r="I1105">
        <f t="shared" si="142"/>
        <v>5</v>
      </c>
      <c r="J1105">
        <f t="shared" si="143"/>
        <v>12</v>
      </c>
    </row>
    <row r="1106" spans="1:10" x14ac:dyDescent="0.25">
      <c r="A1106">
        <v>1104</v>
      </c>
      <c r="B1106" s="4" t="str">
        <f t="shared" si="138"/>
        <v>NOK</v>
      </c>
      <c r="C1106" t="str">
        <f t="shared" si="135"/>
        <v>D</v>
      </c>
      <c r="D1106" t="str">
        <f t="shared" si="136"/>
        <v>B</v>
      </c>
      <c r="E1106" t="str">
        <f t="shared" si="137"/>
        <v>E</v>
      </c>
      <c r="F1106" t="str">
        <f t="shared" si="139"/>
        <v>M</v>
      </c>
      <c r="G1106" s="4">
        <f t="shared" si="140"/>
        <v>4</v>
      </c>
      <c r="H1106">
        <f t="shared" si="141"/>
        <v>2</v>
      </c>
      <c r="I1106">
        <f t="shared" si="142"/>
        <v>5</v>
      </c>
      <c r="J1106">
        <f t="shared" si="143"/>
        <v>13</v>
      </c>
    </row>
    <row r="1107" spans="1:10" x14ac:dyDescent="0.25">
      <c r="A1107">
        <v>1105</v>
      </c>
      <c r="B1107" s="4" t="str">
        <f t="shared" si="138"/>
        <v>NOK</v>
      </c>
      <c r="C1107" t="str">
        <f t="shared" si="135"/>
        <v>D</v>
      </c>
      <c r="D1107" t="str">
        <f t="shared" si="136"/>
        <v>C</v>
      </c>
      <c r="E1107" t="str">
        <f t="shared" si="137"/>
        <v>A</v>
      </c>
      <c r="F1107" t="str">
        <f t="shared" si="139"/>
        <v>A</v>
      </c>
      <c r="G1107" s="4">
        <f t="shared" si="140"/>
        <v>4</v>
      </c>
      <c r="H1107">
        <f t="shared" si="141"/>
        <v>3</v>
      </c>
      <c r="I1107">
        <f t="shared" si="142"/>
        <v>1</v>
      </c>
      <c r="J1107">
        <f t="shared" si="143"/>
        <v>1</v>
      </c>
    </row>
    <row r="1108" spans="1:10" x14ac:dyDescent="0.25">
      <c r="A1108">
        <v>1106</v>
      </c>
      <c r="B1108" s="4" t="str">
        <f t="shared" si="138"/>
        <v>NOK</v>
      </c>
      <c r="C1108" t="str">
        <f t="shared" si="135"/>
        <v>D</v>
      </c>
      <c r="D1108" t="str">
        <f t="shared" si="136"/>
        <v>C</v>
      </c>
      <c r="E1108" t="str">
        <f t="shared" si="137"/>
        <v>A</v>
      </c>
      <c r="F1108" t="str">
        <f t="shared" si="139"/>
        <v>B</v>
      </c>
      <c r="G1108" s="4">
        <f t="shared" si="140"/>
        <v>4</v>
      </c>
      <c r="H1108">
        <f t="shared" si="141"/>
        <v>3</v>
      </c>
      <c r="I1108">
        <f t="shared" si="142"/>
        <v>1</v>
      </c>
      <c r="J1108">
        <f t="shared" si="143"/>
        <v>2</v>
      </c>
    </row>
    <row r="1109" spans="1:10" x14ac:dyDescent="0.25">
      <c r="A1109">
        <v>1107</v>
      </c>
      <c r="B1109" s="4" t="str">
        <f t="shared" si="138"/>
        <v>NOK</v>
      </c>
      <c r="C1109" t="str">
        <f t="shared" si="135"/>
        <v>D</v>
      </c>
      <c r="D1109" t="str">
        <f t="shared" si="136"/>
        <v>C</v>
      </c>
      <c r="E1109" t="str">
        <f t="shared" si="137"/>
        <v>A</v>
      </c>
      <c r="F1109" t="str">
        <f t="shared" si="139"/>
        <v>C</v>
      </c>
      <c r="G1109" s="4">
        <f t="shared" si="140"/>
        <v>4</v>
      </c>
      <c r="H1109">
        <f t="shared" si="141"/>
        <v>3</v>
      </c>
      <c r="I1109">
        <f t="shared" si="142"/>
        <v>1</v>
      </c>
      <c r="J1109">
        <f t="shared" si="143"/>
        <v>3</v>
      </c>
    </row>
    <row r="1110" spans="1:10" x14ac:dyDescent="0.25">
      <c r="A1110">
        <v>1108</v>
      </c>
      <c r="B1110" s="4" t="str">
        <f t="shared" si="138"/>
        <v>NOK</v>
      </c>
      <c r="C1110" t="str">
        <f t="shared" si="135"/>
        <v>D</v>
      </c>
      <c r="D1110" t="str">
        <f t="shared" si="136"/>
        <v>C</v>
      </c>
      <c r="E1110" t="str">
        <f t="shared" si="137"/>
        <v>A</v>
      </c>
      <c r="F1110" t="str">
        <f t="shared" si="139"/>
        <v>D</v>
      </c>
      <c r="G1110" s="4">
        <f t="shared" si="140"/>
        <v>4</v>
      </c>
      <c r="H1110">
        <f t="shared" si="141"/>
        <v>3</v>
      </c>
      <c r="I1110">
        <f t="shared" si="142"/>
        <v>1</v>
      </c>
      <c r="J1110">
        <f t="shared" si="143"/>
        <v>4</v>
      </c>
    </row>
    <row r="1111" spans="1:10" x14ac:dyDescent="0.25">
      <c r="A1111">
        <v>1109</v>
      </c>
      <c r="B1111" s="4" t="str">
        <f t="shared" si="138"/>
        <v>NOK</v>
      </c>
      <c r="C1111" t="str">
        <f t="shared" si="135"/>
        <v>D</v>
      </c>
      <c r="D1111" t="str">
        <f t="shared" si="136"/>
        <v>C</v>
      </c>
      <c r="E1111" t="str">
        <f t="shared" si="137"/>
        <v>A</v>
      </c>
      <c r="F1111" t="str">
        <f t="shared" si="139"/>
        <v>E</v>
      </c>
      <c r="G1111" s="4">
        <f t="shared" si="140"/>
        <v>4</v>
      </c>
      <c r="H1111">
        <f t="shared" si="141"/>
        <v>3</v>
      </c>
      <c r="I1111">
        <f t="shared" si="142"/>
        <v>1</v>
      </c>
      <c r="J1111">
        <f t="shared" si="143"/>
        <v>5</v>
      </c>
    </row>
    <row r="1112" spans="1:10" x14ac:dyDescent="0.25">
      <c r="A1112">
        <v>1110</v>
      </c>
      <c r="B1112" s="4" t="str">
        <f t="shared" si="138"/>
        <v>OK</v>
      </c>
      <c r="C1112" t="str">
        <f t="shared" si="135"/>
        <v>D</v>
      </c>
      <c r="D1112" t="str">
        <f t="shared" si="136"/>
        <v>C</v>
      </c>
      <c r="E1112" t="str">
        <f t="shared" si="137"/>
        <v>A</v>
      </c>
      <c r="F1112" t="str">
        <f t="shared" si="139"/>
        <v>F</v>
      </c>
      <c r="G1112" s="4">
        <f t="shared" si="140"/>
        <v>4</v>
      </c>
      <c r="H1112">
        <f t="shared" si="141"/>
        <v>3</v>
      </c>
      <c r="I1112">
        <f t="shared" si="142"/>
        <v>1</v>
      </c>
      <c r="J1112">
        <f t="shared" si="143"/>
        <v>6</v>
      </c>
    </row>
    <row r="1113" spans="1:10" x14ac:dyDescent="0.25">
      <c r="A1113">
        <v>1111</v>
      </c>
      <c r="B1113" s="4" t="str">
        <f t="shared" si="138"/>
        <v>NOK</v>
      </c>
      <c r="C1113" t="str">
        <f t="shared" si="135"/>
        <v>D</v>
      </c>
      <c r="D1113" t="str">
        <f t="shared" si="136"/>
        <v>C</v>
      </c>
      <c r="E1113" t="str">
        <f t="shared" si="137"/>
        <v>A</v>
      </c>
      <c r="F1113" t="str">
        <f t="shared" si="139"/>
        <v>G</v>
      </c>
      <c r="G1113" s="4">
        <f t="shared" si="140"/>
        <v>4</v>
      </c>
      <c r="H1113">
        <f t="shared" si="141"/>
        <v>3</v>
      </c>
      <c r="I1113">
        <f t="shared" si="142"/>
        <v>1</v>
      </c>
      <c r="J1113">
        <f t="shared" si="143"/>
        <v>7</v>
      </c>
    </row>
    <row r="1114" spans="1:10" x14ac:dyDescent="0.25">
      <c r="A1114">
        <v>1112</v>
      </c>
      <c r="B1114" s="4" t="str">
        <f t="shared" si="138"/>
        <v>NOK</v>
      </c>
      <c r="C1114" t="str">
        <f t="shared" si="135"/>
        <v>D</v>
      </c>
      <c r="D1114" t="str">
        <f t="shared" si="136"/>
        <v>C</v>
      </c>
      <c r="E1114" t="str">
        <f t="shared" si="137"/>
        <v>A</v>
      </c>
      <c r="F1114" t="str">
        <f t="shared" si="139"/>
        <v>H</v>
      </c>
      <c r="G1114" s="4">
        <f t="shared" si="140"/>
        <v>4</v>
      </c>
      <c r="H1114">
        <f t="shared" si="141"/>
        <v>3</v>
      </c>
      <c r="I1114">
        <f t="shared" si="142"/>
        <v>1</v>
      </c>
      <c r="J1114">
        <f t="shared" si="143"/>
        <v>8</v>
      </c>
    </row>
    <row r="1115" spans="1:10" x14ac:dyDescent="0.25">
      <c r="A1115">
        <v>1113</v>
      </c>
      <c r="B1115" s="4" t="str">
        <f t="shared" si="138"/>
        <v>NOK</v>
      </c>
      <c r="C1115" t="str">
        <f t="shared" si="135"/>
        <v>D</v>
      </c>
      <c r="D1115" t="str">
        <f t="shared" si="136"/>
        <v>C</v>
      </c>
      <c r="E1115" t="str">
        <f t="shared" si="137"/>
        <v>A</v>
      </c>
      <c r="F1115" t="str">
        <f t="shared" si="139"/>
        <v>I</v>
      </c>
      <c r="G1115" s="4">
        <f t="shared" si="140"/>
        <v>4</v>
      </c>
      <c r="H1115">
        <f t="shared" si="141"/>
        <v>3</v>
      </c>
      <c r="I1115">
        <f t="shared" si="142"/>
        <v>1</v>
      </c>
      <c r="J1115">
        <f t="shared" si="143"/>
        <v>9</v>
      </c>
    </row>
    <row r="1116" spans="1:10" x14ac:dyDescent="0.25">
      <c r="A1116">
        <v>1114</v>
      </c>
      <c r="B1116" s="4" t="str">
        <f t="shared" si="138"/>
        <v>NOK</v>
      </c>
      <c r="C1116" t="str">
        <f t="shared" si="135"/>
        <v>D</v>
      </c>
      <c r="D1116" t="str">
        <f t="shared" si="136"/>
        <v>C</v>
      </c>
      <c r="E1116" t="str">
        <f t="shared" si="137"/>
        <v>A</v>
      </c>
      <c r="F1116" t="str">
        <f t="shared" si="139"/>
        <v>J</v>
      </c>
      <c r="G1116" s="4">
        <f t="shared" si="140"/>
        <v>4</v>
      </c>
      <c r="H1116">
        <f t="shared" si="141"/>
        <v>3</v>
      </c>
      <c r="I1116">
        <f t="shared" si="142"/>
        <v>1</v>
      </c>
      <c r="J1116">
        <f t="shared" si="143"/>
        <v>10</v>
      </c>
    </row>
    <row r="1117" spans="1:10" x14ac:dyDescent="0.25">
      <c r="A1117">
        <v>1115</v>
      </c>
      <c r="B1117" s="4" t="str">
        <f t="shared" si="138"/>
        <v>NOK</v>
      </c>
      <c r="C1117" t="str">
        <f t="shared" si="135"/>
        <v>D</v>
      </c>
      <c r="D1117" t="str">
        <f t="shared" si="136"/>
        <v>C</v>
      </c>
      <c r="E1117" t="str">
        <f t="shared" si="137"/>
        <v>A</v>
      </c>
      <c r="F1117" t="str">
        <f t="shared" si="139"/>
        <v>K</v>
      </c>
      <c r="G1117" s="4">
        <f t="shared" si="140"/>
        <v>4</v>
      </c>
      <c r="H1117">
        <f t="shared" si="141"/>
        <v>3</v>
      </c>
      <c r="I1117">
        <f t="shared" si="142"/>
        <v>1</v>
      </c>
      <c r="J1117">
        <f t="shared" si="143"/>
        <v>11</v>
      </c>
    </row>
    <row r="1118" spans="1:10" x14ac:dyDescent="0.25">
      <c r="A1118">
        <v>1116</v>
      </c>
      <c r="B1118" s="4" t="str">
        <f t="shared" si="138"/>
        <v>NOK</v>
      </c>
      <c r="C1118" t="str">
        <f t="shared" si="135"/>
        <v>D</v>
      </c>
      <c r="D1118" t="str">
        <f t="shared" si="136"/>
        <v>C</v>
      </c>
      <c r="E1118" t="str">
        <f t="shared" si="137"/>
        <v>A</v>
      </c>
      <c r="F1118" t="str">
        <f t="shared" si="139"/>
        <v>L</v>
      </c>
      <c r="G1118" s="4">
        <f t="shared" si="140"/>
        <v>4</v>
      </c>
      <c r="H1118">
        <f t="shared" si="141"/>
        <v>3</v>
      </c>
      <c r="I1118">
        <f t="shared" si="142"/>
        <v>1</v>
      </c>
      <c r="J1118">
        <f t="shared" si="143"/>
        <v>12</v>
      </c>
    </row>
    <row r="1119" spans="1:10" x14ac:dyDescent="0.25">
      <c r="A1119">
        <v>1117</v>
      </c>
      <c r="B1119" s="4" t="str">
        <f t="shared" si="138"/>
        <v>NOK</v>
      </c>
      <c r="C1119" t="str">
        <f t="shared" si="135"/>
        <v>D</v>
      </c>
      <c r="D1119" t="str">
        <f t="shared" si="136"/>
        <v>C</v>
      </c>
      <c r="E1119" t="str">
        <f t="shared" si="137"/>
        <v>A</v>
      </c>
      <c r="F1119" t="str">
        <f t="shared" si="139"/>
        <v>M</v>
      </c>
      <c r="G1119" s="4">
        <f t="shared" si="140"/>
        <v>4</v>
      </c>
      <c r="H1119">
        <f t="shared" si="141"/>
        <v>3</v>
      </c>
      <c r="I1119">
        <f t="shared" si="142"/>
        <v>1</v>
      </c>
      <c r="J1119">
        <f t="shared" si="143"/>
        <v>13</v>
      </c>
    </row>
    <row r="1120" spans="1:10" x14ac:dyDescent="0.25">
      <c r="A1120">
        <v>1118</v>
      </c>
      <c r="B1120" s="4" t="str">
        <f t="shared" si="138"/>
        <v>NOK</v>
      </c>
      <c r="C1120" t="str">
        <f t="shared" si="135"/>
        <v>D</v>
      </c>
      <c r="D1120" t="str">
        <f t="shared" si="136"/>
        <v>C</v>
      </c>
      <c r="E1120" t="str">
        <f t="shared" si="137"/>
        <v>B</v>
      </c>
      <c r="F1120" t="str">
        <f t="shared" si="139"/>
        <v>A</v>
      </c>
      <c r="G1120" s="4">
        <f t="shared" si="140"/>
        <v>4</v>
      </c>
      <c r="H1120">
        <f t="shared" si="141"/>
        <v>3</v>
      </c>
      <c r="I1120">
        <f t="shared" si="142"/>
        <v>2</v>
      </c>
      <c r="J1120">
        <f t="shared" si="143"/>
        <v>1</v>
      </c>
    </row>
    <row r="1121" spans="1:10" x14ac:dyDescent="0.25">
      <c r="A1121">
        <v>1119</v>
      </c>
      <c r="B1121" s="4" t="str">
        <f t="shared" si="138"/>
        <v>NOK</v>
      </c>
      <c r="C1121" t="str">
        <f t="shared" si="135"/>
        <v>D</v>
      </c>
      <c r="D1121" t="str">
        <f t="shared" si="136"/>
        <v>C</v>
      </c>
      <c r="E1121" t="str">
        <f t="shared" si="137"/>
        <v>B</v>
      </c>
      <c r="F1121" t="str">
        <f t="shared" si="139"/>
        <v>B</v>
      </c>
      <c r="G1121" s="4">
        <f t="shared" si="140"/>
        <v>4</v>
      </c>
      <c r="H1121">
        <f t="shared" si="141"/>
        <v>3</v>
      </c>
      <c r="I1121">
        <f t="shared" si="142"/>
        <v>2</v>
      </c>
      <c r="J1121">
        <f t="shared" si="143"/>
        <v>2</v>
      </c>
    </row>
    <row r="1122" spans="1:10" x14ac:dyDescent="0.25">
      <c r="A1122">
        <v>1120</v>
      </c>
      <c r="B1122" s="4" t="str">
        <f t="shared" si="138"/>
        <v>NOK</v>
      </c>
      <c r="C1122" t="str">
        <f t="shared" si="135"/>
        <v>D</v>
      </c>
      <c r="D1122" t="str">
        <f t="shared" si="136"/>
        <v>C</v>
      </c>
      <c r="E1122" t="str">
        <f t="shared" si="137"/>
        <v>B</v>
      </c>
      <c r="F1122" t="str">
        <f t="shared" si="139"/>
        <v>C</v>
      </c>
      <c r="G1122" s="4">
        <f t="shared" si="140"/>
        <v>4</v>
      </c>
      <c r="H1122">
        <f t="shared" si="141"/>
        <v>3</v>
      </c>
      <c r="I1122">
        <f t="shared" si="142"/>
        <v>2</v>
      </c>
      <c r="J1122">
        <f t="shared" si="143"/>
        <v>3</v>
      </c>
    </row>
    <row r="1123" spans="1:10" x14ac:dyDescent="0.25">
      <c r="A1123">
        <v>1121</v>
      </c>
      <c r="B1123" s="4" t="str">
        <f t="shared" si="138"/>
        <v>NOK</v>
      </c>
      <c r="C1123" t="str">
        <f t="shared" si="135"/>
        <v>D</v>
      </c>
      <c r="D1123" t="str">
        <f t="shared" si="136"/>
        <v>C</v>
      </c>
      <c r="E1123" t="str">
        <f t="shared" si="137"/>
        <v>B</v>
      </c>
      <c r="F1123" t="str">
        <f t="shared" si="139"/>
        <v>D</v>
      </c>
      <c r="G1123" s="4">
        <f t="shared" si="140"/>
        <v>4</v>
      </c>
      <c r="H1123">
        <f t="shared" si="141"/>
        <v>3</v>
      </c>
      <c r="I1123">
        <f t="shared" si="142"/>
        <v>2</v>
      </c>
      <c r="J1123">
        <f t="shared" si="143"/>
        <v>4</v>
      </c>
    </row>
    <row r="1124" spans="1:10" x14ac:dyDescent="0.25">
      <c r="A1124">
        <v>1122</v>
      </c>
      <c r="B1124" s="4" t="str">
        <f t="shared" si="138"/>
        <v>NOK</v>
      </c>
      <c r="C1124" t="str">
        <f t="shared" si="135"/>
        <v>D</v>
      </c>
      <c r="D1124" t="str">
        <f t="shared" si="136"/>
        <v>C</v>
      </c>
      <c r="E1124" t="str">
        <f t="shared" si="137"/>
        <v>B</v>
      </c>
      <c r="F1124" t="str">
        <f t="shared" si="139"/>
        <v>E</v>
      </c>
      <c r="G1124" s="4">
        <f t="shared" si="140"/>
        <v>4</v>
      </c>
      <c r="H1124">
        <f t="shared" si="141"/>
        <v>3</v>
      </c>
      <c r="I1124">
        <f t="shared" si="142"/>
        <v>2</v>
      </c>
      <c r="J1124">
        <f t="shared" si="143"/>
        <v>5</v>
      </c>
    </row>
    <row r="1125" spans="1:10" x14ac:dyDescent="0.25">
      <c r="A1125">
        <v>1123</v>
      </c>
      <c r="B1125" s="4" t="str">
        <f t="shared" si="138"/>
        <v>NOK</v>
      </c>
      <c r="C1125" t="str">
        <f t="shared" si="135"/>
        <v>D</v>
      </c>
      <c r="D1125" t="str">
        <f t="shared" si="136"/>
        <v>C</v>
      </c>
      <c r="E1125" t="str">
        <f t="shared" si="137"/>
        <v>B</v>
      </c>
      <c r="F1125" t="str">
        <f t="shared" si="139"/>
        <v>F</v>
      </c>
      <c r="G1125" s="4">
        <f t="shared" si="140"/>
        <v>4</v>
      </c>
      <c r="H1125">
        <f t="shared" si="141"/>
        <v>3</v>
      </c>
      <c r="I1125">
        <f t="shared" si="142"/>
        <v>2</v>
      </c>
      <c r="J1125">
        <f t="shared" si="143"/>
        <v>6</v>
      </c>
    </row>
    <row r="1126" spans="1:10" x14ac:dyDescent="0.25">
      <c r="A1126">
        <v>1124</v>
      </c>
      <c r="B1126" s="4" t="str">
        <f t="shared" si="138"/>
        <v>OK</v>
      </c>
      <c r="C1126" t="str">
        <f t="shared" si="135"/>
        <v>D</v>
      </c>
      <c r="D1126" t="str">
        <f t="shared" si="136"/>
        <v>C</v>
      </c>
      <c r="E1126" t="str">
        <f t="shared" si="137"/>
        <v>B</v>
      </c>
      <c r="F1126" t="str">
        <f t="shared" si="139"/>
        <v>G</v>
      </c>
      <c r="G1126" s="4">
        <f t="shared" si="140"/>
        <v>4</v>
      </c>
      <c r="H1126">
        <f t="shared" si="141"/>
        <v>3</v>
      </c>
      <c r="I1126">
        <f t="shared" si="142"/>
        <v>2</v>
      </c>
      <c r="J1126">
        <f t="shared" si="143"/>
        <v>7</v>
      </c>
    </row>
    <row r="1127" spans="1:10" x14ac:dyDescent="0.25">
      <c r="A1127">
        <v>1125</v>
      </c>
      <c r="B1127" s="4" t="str">
        <f t="shared" si="138"/>
        <v>NOK</v>
      </c>
      <c r="C1127" t="str">
        <f t="shared" ref="C1127:C1190" si="144">IF(G1127=1,"A",IF(G1127=2,"B",IF(G1127=3,"C",IF(G1127=4,"D",IF(G1127=5,"E","ERRO")))))</f>
        <v>D</v>
      </c>
      <c r="D1127" t="str">
        <f t="shared" ref="D1127:D1190" si="145">IF(H1127=1,"A",IF(H1127=2,"B",IF(H1127=3,"C",IF(H1127=4,"D",IF(H1127=5,"E","ERRO")))))</f>
        <v>C</v>
      </c>
      <c r="E1127" t="str">
        <f t="shared" ref="E1127:E1190" si="146">IF(I1127=1,"A",IF(I1127=2,"B",IF(I1127=3,"C",IF(I1127=4,"D",IF(I1127=5,"E","ERRO")))))</f>
        <v>B</v>
      </c>
      <c r="F1127" s="4" t="str">
        <f t="shared" si="139"/>
        <v>H</v>
      </c>
      <c r="G1127" s="4">
        <f t="shared" si="140"/>
        <v>4</v>
      </c>
      <c r="H1127" s="4">
        <f t="shared" si="141"/>
        <v>3</v>
      </c>
      <c r="I1127" s="4">
        <f t="shared" si="142"/>
        <v>2</v>
      </c>
      <c r="J1127" s="4">
        <f t="shared" si="143"/>
        <v>8</v>
      </c>
    </row>
    <row r="1128" spans="1:10" x14ac:dyDescent="0.25">
      <c r="A1128">
        <v>1126</v>
      </c>
      <c r="B1128" s="4" t="str">
        <f t="shared" si="138"/>
        <v>NOK</v>
      </c>
      <c r="C1128" t="str">
        <f t="shared" si="144"/>
        <v>D</v>
      </c>
      <c r="D1128" t="str">
        <f t="shared" si="145"/>
        <v>C</v>
      </c>
      <c r="E1128" t="str">
        <f t="shared" si="146"/>
        <v>B</v>
      </c>
      <c r="F1128" s="4" t="str">
        <f t="shared" si="139"/>
        <v>I</v>
      </c>
      <c r="G1128" s="4">
        <f t="shared" si="140"/>
        <v>4</v>
      </c>
      <c r="H1128" s="4">
        <f t="shared" si="141"/>
        <v>3</v>
      </c>
      <c r="I1128" s="4">
        <f t="shared" si="142"/>
        <v>2</v>
      </c>
      <c r="J1128" s="4">
        <f t="shared" si="143"/>
        <v>9</v>
      </c>
    </row>
    <row r="1129" spans="1:10" x14ac:dyDescent="0.25">
      <c r="A1129">
        <v>1127</v>
      </c>
      <c r="B1129" s="4" t="str">
        <f t="shared" si="138"/>
        <v>NOK</v>
      </c>
      <c r="C1129" t="str">
        <f t="shared" si="144"/>
        <v>D</v>
      </c>
      <c r="D1129" t="str">
        <f t="shared" si="145"/>
        <v>C</v>
      </c>
      <c r="E1129" t="str">
        <f t="shared" si="146"/>
        <v>B</v>
      </c>
      <c r="F1129" s="4" t="str">
        <f t="shared" si="139"/>
        <v>J</v>
      </c>
      <c r="G1129" s="4">
        <f t="shared" si="140"/>
        <v>4</v>
      </c>
      <c r="H1129" s="4">
        <f t="shared" si="141"/>
        <v>3</v>
      </c>
      <c r="I1129" s="4">
        <f t="shared" si="142"/>
        <v>2</v>
      </c>
      <c r="J1129" s="4">
        <f t="shared" si="143"/>
        <v>10</v>
      </c>
    </row>
    <row r="1130" spans="1:10" x14ac:dyDescent="0.25">
      <c r="A1130">
        <v>1128</v>
      </c>
      <c r="B1130" s="4" t="str">
        <f t="shared" si="138"/>
        <v>NOK</v>
      </c>
      <c r="C1130" t="str">
        <f t="shared" si="144"/>
        <v>D</v>
      </c>
      <c r="D1130" t="str">
        <f t="shared" si="145"/>
        <v>C</v>
      </c>
      <c r="E1130" t="str">
        <f t="shared" si="146"/>
        <v>B</v>
      </c>
      <c r="F1130" s="4" t="str">
        <f t="shared" si="139"/>
        <v>K</v>
      </c>
      <c r="G1130" s="4">
        <f t="shared" si="140"/>
        <v>4</v>
      </c>
      <c r="H1130" s="4">
        <f t="shared" si="141"/>
        <v>3</v>
      </c>
      <c r="I1130" s="4">
        <f t="shared" si="142"/>
        <v>2</v>
      </c>
      <c r="J1130" s="4">
        <f t="shared" si="143"/>
        <v>11</v>
      </c>
    </row>
    <row r="1131" spans="1:10" x14ac:dyDescent="0.25">
      <c r="A1131">
        <v>1129</v>
      </c>
      <c r="B1131" s="4" t="str">
        <f t="shared" si="138"/>
        <v>NOK</v>
      </c>
      <c r="C1131" t="str">
        <f t="shared" si="144"/>
        <v>D</v>
      </c>
      <c r="D1131" t="str">
        <f t="shared" si="145"/>
        <v>C</v>
      </c>
      <c r="E1131" t="str">
        <f t="shared" si="146"/>
        <v>B</v>
      </c>
      <c r="F1131" s="4" t="str">
        <f t="shared" si="139"/>
        <v>L</v>
      </c>
      <c r="G1131" s="4">
        <f t="shared" si="140"/>
        <v>4</v>
      </c>
      <c r="H1131" s="4">
        <f t="shared" si="141"/>
        <v>3</v>
      </c>
      <c r="I1131" s="4">
        <f t="shared" si="142"/>
        <v>2</v>
      </c>
      <c r="J1131" s="4">
        <f t="shared" si="143"/>
        <v>12</v>
      </c>
    </row>
    <row r="1132" spans="1:10" x14ac:dyDescent="0.25">
      <c r="A1132">
        <v>1130</v>
      </c>
      <c r="B1132" s="4" t="str">
        <f t="shared" si="138"/>
        <v>NOK</v>
      </c>
      <c r="C1132" t="str">
        <f t="shared" si="144"/>
        <v>D</v>
      </c>
      <c r="D1132" t="str">
        <f t="shared" si="145"/>
        <v>C</v>
      </c>
      <c r="E1132" t="str">
        <f t="shared" si="146"/>
        <v>B</v>
      </c>
      <c r="F1132" s="4" t="str">
        <f t="shared" si="139"/>
        <v>M</v>
      </c>
      <c r="G1132" s="4">
        <f t="shared" si="140"/>
        <v>4</v>
      </c>
      <c r="H1132" s="4">
        <f t="shared" si="141"/>
        <v>3</v>
      </c>
      <c r="I1132" s="4">
        <f t="shared" si="142"/>
        <v>2</v>
      </c>
      <c r="J1132" s="4">
        <f t="shared" si="143"/>
        <v>13</v>
      </c>
    </row>
    <row r="1133" spans="1:10" x14ac:dyDescent="0.25">
      <c r="A1133">
        <v>1131</v>
      </c>
      <c r="B1133" s="4" t="str">
        <f t="shared" si="138"/>
        <v>NOK</v>
      </c>
      <c r="C1133" t="str">
        <f t="shared" si="144"/>
        <v>D</v>
      </c>
      <c r="D1133" t="str">
        <f t="shared" si="145"/>
        <v>C</v>
      </c>
      <c r="E1133" t="str">
        <f t="shared" si="146"/>
        <v>C</v>
      </c>
      <c r="F1133" s="4" t="str">
        <f t="shared" si="139"/>
        <v>A</v>
      </c>
      <c r="G1133" s="4">
        <f t="shared" si="140"/>
        <v>4</v>
      </c>
      <c r="H1133" s="4">
        <f t="shared" si="141"/>
        <v>3</v>
      </c>
      <c r="I1133" s="4">
        <f t="shared" si="142"/>
        <v>3</v>
      </c>
      <c r="J1133" s="4">
        <f t="shared" si="143"/>
        <v>1</v>
      </c>
    </row>
    <row r="1134" spans="1:10" x14ac:dyDescent="0.25">
      <c r="A1134">
        <v>1132</v>
      </c>
      <c r="B1134" s="4" t="str">
        <f t="shared" si="138"/>
        <v>NOK</v>
      </c>
      <c r="C1134" t="str">
        <f t="shared" si="144"/>
        <v>D</v>
      </c>
      <c r="D1134" t="str">
        <f t="shared" si="145"/>
        <v>C</v>
      </c>
      <c r="E1134" t="str">
        <f t="shared" si="146"/>
        <v>C</v>
      </c>
      <c r="F1134" s="4" t="str">
        <f t="shared" si="139"/>
        <v>B</v>
      </c>
      <c r="G1134" s="4">
        <f t="shared" si="140"/>
        <v>4</v>
      </c>
      <c r="H1134" s="4">
        <f t="shared" si="141"/>
        <v>3</v>
      </c>
      <c r="I1134" s="4">
        <f t="shared" si="142"/>
        <v>3</v>
      </c>
      <c r="J1134" s="4">
        <f t="shared" si="143"/>
        <v>2</v>
      </c>
    </row>
    <row r="1135" spans="1:10" x14ac:dyDescent="0.25">
      <c r="A1135">
        <v>1133</v>
      </c>
      <c r="B1135" s="4" t="str">
        <f t="shared" si="138"/>
        <v>NOK</v>
      </c>
      <c r="C1135" t="str">
        <f t="shared" si="144"/>
        <v>D</v>
      </c>
      <c r="D1135" t="str">
        <f t="shared" si="145"/>
        <v>C</v>
      </c>
      <c r="E1135" t="str">
        <f t="shared" si="146"/>
        <v>C</v>
      </c>
      <c r="F1135" s="4" t="str">
        <f t="shared" si="139"/>
        <v>C</v>
      </c>
      <c r="G1135" s="4">
        <f t="shared" si="140"/>
        <v>4</v>
      </c>
      <c r="H1135" s="4">
        <f t="shared" si="141"/>
        <v>3</v>
      </c>
      <c r="I1135" s="4">
        <f t="shared" si="142"/>
        <v>3</v>
      </c>
      <c r="J1135" s="4">
        <f t="shared" si="143"/>
        <v>3</v>
      </c>
    </row>
    <row r="1136" spans="1:10" x14ac:dyDescent="0.25">
      <c r="A1136">
        <v>1134</v>
      </c>
      <c r="B1136" s="4" t="str">
        <f t="shared" si="138"/>
        <v>NOK</v>
      </c>
      <c r="C1136" t="str">
        <f t="shared" si="144"/>
        <v>D</v>
      </c>
      <c r="D1136" t="str">
        <f t="shared" si="145"/>
        <v>C</v>
      </c>
      <c r="E1136" t="str">
        <f t="shared" si="146"/>
        <v>C</v>
      </c>
      <c r="F1136" s="4" t="str">
        <f t="shared" si="139"/>
        <v>D</v>
      </c>
      <c r="G1136" s="4">
        <f t="shared" si="140"/>
        <v>4</v>
      </c>
      <c r="H1136" s="4">
        <f t="shared" si="141"/>
        <v>3</v>
      </c>
      <c r="I1136" s="4">
        <f t="shared" si="142"/>
        <v>3</v>
      </c>
      <c r="J1136" s="4">
        <f t="shared" si="143"/>
        <v>4</v>
      </c>
    </row>
    <row r="1137" spans="1:10" x14ac:dyDescent="0.25">
      <c r="A1137">
        <v>1135</v>
      </c>
      <c r="B1137" s="4" t="str">
        <f t="shared" si="138"/>
        <v>NOK</v>
      </c>
      <c r="C1137" t="str">
        <f t="shared" si="144"/>
        <v>D</v>
      </c>
      <c r="D1137" t="str">
        <f t="shared" si="145"/>
        <v>C</v>
      </c>
      <c r="E1137" t="str">
        <f t="shared" si="146"/>
        <v>C</v>
      </c>
      <c r="F1137" s="4" t="str">
        <f t="shared" si="139"/>
        <v>E</v>
      </c>
      <c r="G1137" s="4">
        <f t="shared" si="140"/>
        <v>4</v>
      </c>
      <c r="H1137" s="4">
        <f t="shared" si="141"/>
        <v>3</v>
      </c>
      <c r="I1137" s="4">
        <f t="shared" si="142"/>
        <v>3</v>
      </c>
      <c r="J1137" s="4">
        <f t="shared" si="143"/>
        <v>5</v>
      </c>
    </row>
    <row r="1138" spans="1:10" x14ac:dyDescent="0.25">
      <c r="A1138">
        <v>1136</v>
      </c>
      <c r="B1138" s="4" t="str">
        <f t="shared" si="138"/>
        <v>NOK</v>
      </c>
      <c r="C1138" t="str">
        <f t="shared" si="144"/>
        <v>D</v>
      </c>
      <c r="D1138" t="str">
        <f t="shared" si="145"/>
        <v>C</v>
      </c>
      <c r="E1138" t="str">
        <f t="shared" si="146"/>
        <v>C</v>
      </c>
      <c r="F1138" s="4" t="str">
        <f t="shared" si="139"/>
        <v>F</v>
      </c>
      <c r="G1138" s="4">
        <f t="shared" si="140"/>
        <v>4</v>
      </c>
      <c r="H1138" s="4">
        <f t="shared" si="141"/>
        <v>3</v>
      </c>
      <c r="I1138" s="4">
        <f t="shared" si="142"/>
        <v>3</v>
      </c>
      <c r="J1138" s="4">
        <f t="shared" si="143"/>
        <v>6</v>
      </c>
    </row>
    <row r="1139" spans="1:10" x14ac:dyDescent="0.25">
      <c r="A1139">
        <v>1137</v>
      </c>
      <c r="B1139" s="4" t="str">
        <f t="shared" si="138"/>
        <v>NOK</v>
      </c>
      <c r="C1139" t="str">
        <f t="shared" si="144"/>
        <v>D</v>
      </c>
      <c r="D1139" t="str">
        <f t="shared" si="145"/>
        <v>C</v>
      </c>
      <c r="E1139" t="str">
        <f t="shared" si="146"/>
        <v>C</v>
      </c>
      <c r="F1139" s="4" t="str">
        <f t="shared" si="139"/>
        <v>G</v>
      </c>
      <c r="G1139" s="4">
        <f t="shared" si="140"/>
        <v>4</v>
      </c>
      <c r="H1139" s="4">
        <f t="shared" si="141"/>
        <v>3</v>
      </c>
      <c r="I1139" s="4">
        <f t="shared" si="142"/>
        <v>3</v>
      </c>
      <c r="J1139" s="4">
        <f t="shared" si="143"/>
        <v>7</v>
      </c>
    </row>
    <row r="1140" spans="1:10" x14ac:dyDescent="0.25">
      <c r="A1140">
        <v>1138</v>
      </c>
      <c r="B1140" s="4" t="str">
        <f t="shared" si="138"/>
        <v>OK</v>
      </c>
      <c r="C1140" t="str">
        <f t="shared" si="144"/>
        <v>D</v>
      </c>
      <c r="D1140" t="str">
        <f t="shared" si="145"/>
        <v>C</v>
      </c>
      <c r="E1140" t="str">
        <f t="shared" si="146"/>
        <v>C</v>
      </c>
      <c r="F1140" s="4" t="str">
        <f t="shared" si="139"/>
        <v>H</v>
      </c>
      <c r="G1140" s="4">
        <f t="shared" si="140"/>
        <v>4</v>
      </c>
      <c r="H1140" s="4">
        <f t="shared" si="141"/>
        <v>3</v>
      </c>
      <c r="I1140" s="4">
        <f t="shared" si="142"/>
        <v>3</v>
      </c>
      <c r="J1140" s="4">
        <f t="shared" si="143"/>
        <v>8</v>
      </c>
    </row>
    <row r="1141" spans="1:10" x14ac:dyDescent="0.25">
      <c r="A1141">
        <v>1139</v>
      </c>
      <c r="B1141" s="4" t="str">
        <f t="shared" si="138"/>
        <v>NOK</v>
      </c>
      <c r="C1141" t="str">
        <f t="shared" si="144"/>
        <v>D</v>
      </c>
      <c r="D1141" t="str">
        <f t="shared" si="145"/>
        <v>C</v>
      </c>
      <c r="E1141" t="str">
        <f t="shared" si="146"/>
        <v>C</v>
      </c>
      <c r="F1141" s="4" t="str">
        <f t="shared" si="139"/>
        <v>I</v>
      </c>
      <c r="G1141" s="4">
        <f t="shared" si="140"/>
        <v>4</v>
      </c>
      <c r="H1141" s="4">
        <f t="shared" si="141"/>
        <v>3</v>
      </c>
      <c r="I1141" s="4">
        <f t="shared" si="142"/>
        <v>3</v>
      </c>
      <c r="J1141" s="4">
        <f t="shared" si="143"/>
        <v>9</v>
      </c>
    </row>
    <row r="1142" spans="1:10" x14ac:dyDescent="0.25">
      <c r="A1142">
        <v>1140</v>
      </c>
      <c r="B1142" s="4" t="str">
        <f t="shared" si="138"/>
        <v>NOK</v>
      </c>
      <c r="C1142" t="str">
        <f t="shared" si="144"/>
        <v>D</v>
      </c>
      <c r="D1142" t="str">
        <f t="shared" si="145"/>
        <v>C</v>
      </c>
      <c r="E1142" t="str">
        <f t="shared" si="146"/>
        <v>C</v>
      </c>
      <c r="F1142" s="4" t="str">
        <f t="shared" si="139"/>
        <v>J</v>
      </c>
      <c r="G1142" s="4">
        <f t="shared" si="140"/>
        <v>4</v>
      </c>
      <c r="H1142" s="4">
        <f t="shared" si="141"/>
        <v>3</v>
      </c>
      <c r="I1142" s="4">
        <f t="shared" si="142"/>
        <v>3</v>
      </c>
      <c r="J1142" s="4">
        <f t="shared" si="143"/>
        <v>10</v>
      </c>
    </row>
    <row r="1143" spans="1:10" x14ac:dyDescent="0.25">
      <c r="A1143">
        <v>1141</v>
      </c>
      <c r="B1143" s="4" t="str">
        <f t="shared" si="138"/>
        <v>NOK</v>
      </c>
      <c r="C1143" t="str">
        <f t="shared" si="144"/>
        <v>D</v>
      </c>
      <c r="D1143" t="str">
        <f t="shared" si="145"/>
        <v>C</v>
      </c>
      <c r="E1143" t="str">
        <f t="shared" si="146"/>
        <v>C</v>
      </c>
      <c r="F1143" s="4" t="str">
        <f t="shared" si="139"/>
        <v>K</v>
      </c>
      <c r="G1143" s="4">
        <f t="shared" si="140"/>
        <v>4</v>
      </c>
      <c r="H1143" s="4">
        <f t="shared" si="141"/>
        <v>3</v>
      </c>
      <c r="I1143" s="4">
        <f t="shared" si="142"/>
        <v>3</v>
      </c>
      <c r="J1143" s="4">
        <f t="shared" si="143"/>
        <v>11</v>
      </c>
    </row>
    <row r="1144" spans="1:10" x14ac:dyDescent="0.25">
      <c r="A1144">
        <v>1142</v>
      </c>
      <c r="B1144" s="4" t="str">
        <f t="shared" si="138"/>
        <v>NOK</v>
      </c>
      <c r="C1144" t="str">
        <f t="shared" si="144"/>
        <v>D</v>
      </c>
      <c r="D1144" t="str">
        <f t="shared" si="145"/>
        <v>C</v>
      </c>
      <c r="E1144" t="str">
        <f t="shared" si="146"/>
        <v>C</v>
      </c>
      <c r="F1144" s="4" t="str">
        <f t="shared" si="139"/>
        <v>L</v>
      </c>
      <c r="G1144" s="4">
        <f t="shared" si="140"/>
        <v>4</v>
      </c>
      <c r="H1144" s="4">
        <f t="shared" si="141"/>
        <v>3</v>
      </c>
      <c r="I1144" s="4">
        <f t="shared" si="142"/>
        <v>3</v>
      </c>
      <c r="J1144" s="4">
        <f t="shared" si="143"/>
        <v>12</v>
      </c>
    </row>
    <row r="1145" spans="1:10" x14ac:dyDescent="0.25">
      <c r="A1145">
        <v>1143</v>
      </c>
      <c r="B1145" s="4" t="str">
        <f t="shared" si="138"/>
        <v>NOK</v>
      </c>
      <c r="C1145" t="str">
        <f t="shared" si="144"/>
        <v>D</v>
      </c>
      <c r="D1145" t="str">
        <f t="shared" si="145"/>
        <v>C</v>
      </c>
      <c r="E1145" t="str">
        <f t="shared" si="146"/>
        <v>C</v>
      </c>
      <c r="F1145" s="4" t="str">
        <f t="shared" si="139"/>
        <v>M</v>
      </c>
      <c r="G1145" s="4">
        <f t="shared" si="140"/>
        <v>4</v>
      </c>
      <c r="H1145" s="4">
        <f t="shared" si="141"/>
        <v>3</v>
      </c>
      <c r="I1145" s="4">
        <f t="shared" si="142"/>
        <v>3</v>
      </c>
      <c r="J1145" s="4">
        <f t="shared" si="143"/>
        <v>13</v>
      </c>
    </row>
    <row r="1146" spans="1:10" x14ac:dyDescent="0.25">
      <c r="A1146">
        <v>1144</v>
      </c>
      <c r="B1146" s="4" t="str">
        <f t="shared" si="138"/>
        <v>NOK</v>
      </c>
      <c r="C1146" t="str">
        <f t="shared" si="144"/>
        <v>D</v>
      </c>
      <c r="D1146" t="str">
        <f t="shared" si="145"/>
        <v>C</v>
      </c>
      <c r="E1146" t="str">
        <f t="shared" si="146"/>
        <v>D</v>
      </c>
      <c r="F1146" s="4" t="str">
        <f t="shared" si="139"/>
        <v>A</v>
      </c>
      <c r="G1146" s="4">
        <f t="shared" si="140"/>
        <v>4</v>
      </c>
      <c r="H1146" s="4">
        <f t="shared" si="141"/>
        <v>3</v>
      </c>
      <c r="I1146" s="4">
        <f t="shared" si="142"/>
        <v>4</v>
      </c>
      <c r="J1146" s="4">
        <f t="shared" si="143"/>
        <v>1</v>
      </c>
    </row>
    <row r="1147" spans="1:10" x14ac:dyDescent="0.25">
      <c r="A1147">
        <v>1145</v>
      </c>
      <c r="B1147" s="4" t="str">
        <f t="shared" si="138"/>
        <v>NOK</v>
      </c>
      <c r="C1147" t="str">
        <f t="shared" si="144"/>
        <v>D</v>
      </c>
      <c r="D1147" t="str">
        <f t="shared" si="145"/>
        <v>C</v>
      </c>
      <c r="E1147" t="str">
        <f t="shared" si="146"/>
        <v>D</v>
      </c>
      <c r="F1147" s="4" t="str">
        <f t="shared" si="139"/>
        <v>B</v>
      </c>
      <c r="G1147" s="4">
        <f t="shared" si="140"/>
        <v>4</v>
      </c>
      <c r="H1147" s="4">
        <f t="shared" si="141"/>
        <v>3</v>
      </c>
      <c r="I1147" s="4">
        <f t="shared" si="142"/>
        <v>4</v>
      </c>
      <c r="J1147" s="4">
        <f t="shared" si="143"/>
        <v>2</v>
      </c>
    </row>
    <row r="1148" spans="1:10" x14ac:dyDescent="0.25">
      <c r="A1148">
        <v>1146</v>
      </c>
      <c r="B1148" s="4" t="str">
        <f t="shared" si="138"/>
        <v>NOK</v>
      </c>
      <c r="C1148" t="str">
        <f t="shared" si="144"/>
        <v>D</v>
      </c>
      <c r="D1148" t="str">
        <f t="shared" si="145"/>
        <v>C</v>
      </c>
      <c r="E1148" t="str">
        <f t="shared" si="146"/>
        <v>D</v>
      </c>
      <c r="F1148" s="4" t="str">
        <f t="shared" si="139"/>
        <v>C</v>
      </c>
      <c r="G1148" s="4">
        <f t="shared" si="140"/>
        <v>4</v>
      </c>
      <c r="H1148" s="4">
        <f t="shared" si="141"/>
        <v>3</v>
      </c>
      <c r="I1148" s="4">
        <f t="shared" si="142"/>
        <v>4</v>
      </c>
      <c r="J1148" s="4">
        <f t="shared" si="143"/>
        <v>3</v>
      </c>
    </row>
    <row r="1149" spans="1:10" x14ac:dyDescent="0.25">
      <c r="A1149">
        <v>1147</v>
      </c>
      <c r="B1149" s="4" t="str">
        <f t="shared" si="138"/>
        <v>NOK</v>
      </c>
      <c r="C1149" t="str">
        <f t="shared" si="144"/>
        <v>D</v>
      </c>
      <c r="D1149" t="str">
        <f t="shared" si="145"/>
        <v>C</v>
      </c>
      <c r="E1149" t="str">
        <f t="shared" si="146"/>
        <v>D</v>
      </c>
      <c r="F1149" s="4" t="str">
        <f t="shared" si="139"/>
        <v>D</v>
      </c>
      <c r="G1149" s="4">
        <f t="shared" si="140"/>
        <v>4</v>
      </c>
      <c r="H1149" s="4">
        <f t="shared" si="141"/>
        <v>3</v>
      </c>
      <c r="I1149" s="4">
        <f t="shared" si="142"/>
        <v>4</v>
      </c>
      <c r="J1149" s="4">
        <f t="shared" si="143"/>
        <v>4</v>
      </c>
    </row>
    <row r="1150" spans="1:10" x14ac:dyDescent="0.25">
      <c r="A1150">
        <v>1148</v>
      </c>
      <c r="B1150" s="4" t="str">
        <f t="shared" si="138"/>
        <v>NOK</v>
      </c>
      <c r="C1150" t="str">
        <f t="shared" si="144"/>
        <v>D</v>
      </c>
      <c r="D1150" t="str">
        <f t="shared" si="145"/>
        <v>C</v>
      </c>
      <c r="E1150" t="str">
        <f t="shared" si="146"/>
        <v>D</v>
      </c>
      <c r="F1150" s="4" t="str">
        <f t="shared" si="139"/>
        <v>E</v>
      </c>
      <c r="G1150" s="4">
        <f t="shared" si="140"/>
        <v>4</v>
      </c>
      <c r="H1150" s="4">
        <f t="shared" si="141"/>
        <v>3</v>
      </c>
      <c r="I1150" s="4">
        <f t="shared" si="142"/>
        <v>4</v>
      </c>
      <c r="J1150" s="4">
        <f t="shared" si="143"/>
        <v>5</v>
      </c>
    </row>
    <row r="1151" spans="1:10" x14ac:dyDescent="0.25">
      <c r="A1151">
        <v>1149</v>
      </c>
      <c r="B1151" s="4" t="str">
        <f t="shared" si="138"/>
        <v>NOK</v>
      </c>
      <c r="C1151" t="str">
        <f t="shared" si="144"/>
        <v>D</v>
      </c>
      <c r="D1151" t="str">
        <f t="shared" si="145"/>
        <v>C</v>
      </c>
      <c r="E1151" t="str">
        <f t="shared" si="146"/>
        <v>D</v>
      </c>
      <c r="F1151" s="4" t="str">
        <f t="shared" si="139"/>
        <v>F</v>
      </c>
      <c r="G1151" s="4">
        <f t="shared" si="140"/>
        <v>4</v>
      </c>
      <c r="H1151" s="4">
        <f t="shared" si="141"/>
        <v>3</v>
      </c>
      <c r="I1151" s="4">
        <f t="shared" si="142"/>
        <v>4</v>
      </c>
      <c r="J1151" s="4">
        <f t="shared" si="143"/>
        <v>6</v>
      </c>
    </row>
    <row r="1152" spans="1:10" x14ac:dyDescent="0.25">
      <c r="A1152">
        <v>1150</v>
      </c>
      <c r="B1152" s="4" t="str">
        <f t="shared" si="138"/>
        <v>NOK</v>
      </c>
      <c r="C1152" t="str">
        <f t="shared" si="144"/>
        <v>D</v>
      </c>
      <c r="D1152" t="str">
        <f t="shared" si="145"/>
        <v>C</v>
      </c>
      <c r="E1152" t="str">
        <f t="shared" si="146"/>
        <v>D</v>
      </c>
      <c r="F1152" s="4" t="str">
        <f t="shared" si="139"/>
        <v>G</v>
      </c>
      <c r="G1152" s="4">
        <f t="shared" si="140"/>
        <v>4</v>
      </c>
      <c r="H1152" s="4">
        <f t="shared" si="141"/>
        <v>3</v>
      </c>
      <c r="I1152" s="4">
        <f t="shared" si="142"/>
        <v>4</v>
      </c>
      <c r="J1152" s="4">
        <f t="shared" si="143"/>
        <v>7</v>
      </c>
    </row>
    <row r="1153" spans="1:10" x14ac:dyDescent="0.25">
      <c r="A1153">
        <v>1151</v>
      </c>
      <c r="B1153" s="4" t="str">
        <f t="shared" si="138"/>
        <v>NOK</v>
      </c>
      <c r="C1153" t="str">
        <f t="shared" si="144"/>
        <v>D</v>
      </c>
      <c r="D1153" t="str">
        <f t="shared" si="145"/>
        <v>C</v>
      </c>
      <c r="E1153" t="str">
        <f t="shared" si="146"/>
        <v>D</v>
      </c>
      <c r="F1153" s="4" t="str">
        <f t="shared" si="139"/>
        <v>H</v>
      </c>
      <c r="G1153" s="4">
        <f t="shared" si="140"/>
        <v>4</v>
      </c>
      <c r="H1153" s="4">
        <f t="shared" si="141"/>
        <v>3</v>
      </c>
      <c r="I1153" s="4">
        <f t="shared" si="142"/>
        <v>4</v>
      </c>
      <c r="J1153" s="4">
        <f t="shared" si="143"/>
        <v>8</v>
      </c>
    </row>
    <row r="1154" spans="1:10" x14ac:dyDescent="0.25">
      <c r="A1154">
        <v>1152</v>
      </c>
      <c r="B1154" s="4" t="str">
        <f t="shared" ref="B1154:B1217" si="147">IF(ROUND(_xlfn.XLOOKUP(C1154,$U$1:$U$5,$T$1:$T$5,,0,1)+_xlfn.XLOOKUP(D1154,$W$1:$W$5,$V$1:$V$5,,0,1)+_xlfn.XLOOKUP(E1154,$Y$1:$Y$5,$X$1:$X$5,,0,1)-_xlfn.XLOOKUP(F1154,$AA$1:$AA$13,$Z$1:$Z$13,,0,1),3)=0.325,"OK","NOK")</f>
        <v>OK</v>
      </c>
      <c r="C1154" t="str">
        <f t="shared" si="144"/>
        <v>D</v>
      </c>
      <c r="D1154" t="str">
        <f t="shared" si="145"/>
        <v>C</v>
      </c>
      <c r="E1154" t="str">
        <f t="shared" si="146"/>
        <v>D</v>
      </c>
      <c r="F1154" s="4" t="str">
        <f t="shared" ref="F1154:F1217" si="148">IF(J1154=1,"A",IF(J1154=2,"B",IF(J1154=3,"C",IF(J1154=4,"D",IF(J1154=5,"E",IF(J1154=6,"F",IF(J1154=7,"G",IF(J1154=8,"H",IF(J1154=9,"I",IF(J1154=10,"J",IF(J1154=11,"K",IF(J1154=12,"L",IF(J1154=13,"M","ERRO")))))))))))))</f>
        <v>I</v>
      </c>
      <c r="G1154" s="4">
        <f t="shared" ref="G1154:G1217" si="149">INT($A1154/325)+1</f>
        <v>4</v>
      </c>
      <c r="H1154" s="4">
        <f t="shared" ref="H1154:H1217" si="150">INT(MOD($A1154,325)/65)+1</f>
        <v>3</v>
      </c>
      <c r="I1154" s="4">
        <f t="shared" ref="I1154:I1217" si="151">INT(MOD($A1154,65)/13)+1</f>
        <v>4</v>
      </c>
      <c r="J1154" s="4">
        <f t="shared" ref="J1154:J1217" si="152">MOD($A1154,13)+1</f>
        <v>9</v>
      </c>
    </row>
    <row r="1155" spans="1:10" x14ac:dyDescent="0.25">
      <c r="A1155">
        <v>1153</v>
      </c>
      <c r="B1155" s="4" t="str">
        <f t="shared" si="147"/>
        <v>NOK</v>
      </c>
      <c r="C1155" t="str">
        <f t="shared" si="144"/>
        <v>D</v>
      </c>
      <c r="D1155" t="str">
        <f t="shared" si="145"/>
        <v>C</v>
      </c>
      <c r="E1155" t="str">
        <f t="shared" si="146"/>
        <v>D</v>
      </c>
      <c r="F1155" s="4" t="str">
        <f t="shared" si="148"/>
        <v>J</v>
      </c>
      <c r="G1155" s="4">
        <f t="shared" si="149"/>
        <v>4</v>
      </c>
      <c r="H1155" s="4">
        <f t="shared" si="150"/>
        <v>3</v>
      </c>
      <c r="I1155" s="4">
        <f t="shared" si="151"/>
        <v>4</v>
      </c>
      <c r="J1155" s="4">
        <f t="shared" si="152"/>
        <v>10</v>
      </c>
    </row>
    <row r="1156" spans="1:10" x14ac:dyDescent="0.25">
      <c r="A1156">
        <v>1154</v>
      </c>
      <c r="B1156" s="4" t="str">
        <f t="shared" si="147"/>
        <v>NOK</v>
      </c>
      <c r="C1156" t="str">
        <f t="shared" si="144"/>
        <v>D</v>
      </c>
      <c r="D1156" t="str">
        <f t="shared" si="145"/>
        <v>C</v>
      </c>
      <c r="E1156" t="str">
        <f t="shared" si="146"/>
        <v>D</v>
      </c>
      <c r="F1156" s="4" t="str">
        <f t="shared" si="148"/>
        <v>K</v>
      </c>
      <c r="G1156" s="4">
        <f t="shared" si="149"/>
        <v>4</v>
      </c>
      <c r="H1156" s="4">
        <f t="shared" si="150"/>
        <v>3</v>
      </c>
      <c r="I1156" s="4">
        <f t="shared" si="151"/>
        <v>4</v>
      </c>
      <c r="J1156" s="4">
        <f t="shared" si="152"/>
        <v>11</v>
      </c>
    </row>
    <row r="1157" spans="1:10" x14ac:dyDescent="0.25">
      <c r="A1157">
        <v>1155</v>
      </c>
      <c r="B1157" s="4" t="str">
        <f t="shared" si="147"/>
        <v>NOK</v>
      </c>
      <c r="C1157" t="str">
        <f t="shared" si="144"/>
        <v>D</v>
      </c>
      <c r="D1157" t="str">
        <f t="shared" si="145"/>
        <v>C</v>
      </c>
      <c r="E1157" t="str">
        <f t="shared" si="146"/>
        <v>D</v>
      </c>
      <c r="F1157" s="4" t="str">
        <f t="shared" si="148"/>
        <v>L</v>
      </c>
      <c r="G1157" s="4">
        <f t="shared" si="149"/>
        <v>4</v>
      </c>
      <c r="H1157" s="4">
        <f t="shared" si="150"/>
        <v>3</v>
      </c>
      <c r="I1157" s="4">
        <f t="shared" si="151"/>
        <v>4</v>
      </c>
      <c r="J1157" s="4">
        <f t="shared" si="152"/>
        <v>12</v>
      </c>
    </row>
    <row r="1158" spans="1:10" x14ac:dyDescent="0.25">
      <c r="A1158">
        <v>1156</v>
      </c>
      <c r="B1158" s="4" t="str">
        <f t="shared" si="147"/>
        <v>NOK</v>
      </c>
      <c r="C1158" t="str">
        <f t="shared" si="144"/>
        <v>D</v>
      </c>
      <c r="D1158" t="str">
        <f t="shared" si="145"/>
        <v>C</v>
      </c>
      <c r="E1158" t="str">
        <f t="shared" si="146"/>
        <v>D</v>
      </c>
      <c r="F1158" s="4" t="str">
        <f t="shared" si="148"/>
        <v>M</v>
      </c>
      <c r="G1158" s="4">
        <f t="shared" si="149"/>
        <v>4</v>
      </c>
      <c r="H1158" s="4">
        <f t="shared" si="150"/>
        <v>3</v>
      </c>
      <c r="I1158" s="4">
        <f t="shared" si="151"/>
        <v>4</v>
      </c>
      <c r="J1158" s="4">
        <f t="shared" si="152"/>
        <v>13</v>
      </c>
    </row>
    <row r="1159" spans="1:10" x14ac:dyDescent="0.25">
      <c r="A1159">
        <v>1157</v>
      </c>
      <c r="B1159" s="4" t="str">
        <f t="shared" si="147"/>
        <v>NOK</v>
      </c>
      <c r="C1159" t="str">
        <f t="shared" si="144"/>
        <v>D</v>
      </c>
      <c r="D1159" t="str">
        <f t="shared" si="145"/>
        <v>C</v>
      </c>
      <c r="E1159" t="str">
        <f t="shared" si="146"/>
        <v>E</v>
      </c>
      <c r="F1159" s="4" t="str">
        <f t="shared" si="148"/>
        <v>A</v>
      </c>
      <c r="G1159" s="4">
        <f t="shared" si="149"/>
        <v>4</v>
      </c>
      <c r="H1159" s="4">
        <f t="shared" si="150"/>
        <v>3</v>
      </c>
      <c r="I1159" s="4">
        <f t="shared" si="151"/>
        <v>5</v>
      </c>
      <c r="J1159" s="4">
        <f t="shared" si="152"/>
        <v>1</v>
      </c>
    </row>
    <row r="1160" spans="1:10" x14ac:dyDescent="0.25">
      <c r="A1160">
        <v>1158</v>
      </c>
      <c r="B1160" s="4" t="str">
        <f t="shared" si="147"/>
        <v>NOK</v>
      </c>
      <c r="C1160" t="str">
        <f t="shared" si="144"/>
        <v>D</v>
      </c>
      <c r="D1160" t="str">
        <f t="shared" si="145"/>
        <v>C</v>
      </c>
      <c r="E1160" t="str">
        <f t="shared" si="146"/>
        <v>E</v>
      </c>
      <c r="F1160" s="4" t="str">
        <f t="shared" si="148"/>
        <v>B</v>
      </c>
      <c r="G1160" s="4">
        <f t="shared" si="149"/>
        <v>4</v>
      </c>
      <c r="H1160" s="4">
        <f t="shared" si="150"/>
        <v>3</v>
      </c>
      <c r="I1160" s="4">
        <f t="shared" si="151"/>
        <v>5</v>
      </c>
      <c r="J1160" s="4">
        <f t="shared" si="152"/>
        <v>2</v>
      </c>
    </row>
    <row r="1161" spans="1:10" x14ac:dyDescent="0.25">
      <c r="A1161">
        <v>1159</v>
      </c>
      <c r="B1161" s="4" t="str">
        <f t="shared" si="147"/>
        <v>NOK</v>
      </c>
      <c r="C1161" t="str">
        <f t="shared" si="144"/>
        <v>D</v>
      </c>
      <c r="D1161" t="str">
        <f t="shared" si="145"/>
        <v>C</v>
      </c>
      <c r="E1161" t="str">
        <f t="shared" si="146"/>
        <v>E</v>
      </c>
      <c r="F1161" s="4" t="str">
        <f t="shared" si="148"/>
        <v>C</v>
      </c>
      <c r="G1161" s="4">
        <f t="shared" si="149"/>
        <v>4</v>
      </c>
      <c r="H1161" s="4">
        <f t="shared" si="150"/>
        <v>3</v>
      </c>
      <c r="I1161" s="4">
        <f t="shared" si="151"/>
        <v>5</v>
      </c>
      <c r="J1161" s="4">
        <f t="shared" si="152"/>
        <v>3</v>
      </c>
    </row>
    <row r="1162" spans="1:10" x14ac:dyDescent="0.25">
      <c r="A1162">
        <v>1160</v>
      </c>
      <c r="B1162" s="4" t="str">
        <f t="shared" si="147"/>
        <v>NOK</v>
      </c>
      <c r="C1162" t="str">
        <f t="shared" si="144"/>
        <v>D</v>
      </c>
      <c r="D1162" t="str">
        <f t="shared" si="145"/>
        <v>C</v>
      </c>
      <c r="E1162" t="str">
        <f t="shared" si="146"/>
        <v>E</v>
      </c>
      <c r="F1162" s="4" t="str">
        <f t="shared" si="148"/>
        <v>D</v>
      </c>
      <c r="G1162" s="4">
        <f t="shared" si="149"/>
        <v>4</v>
      </c>
      <c r="H1162" s="4">
        <f t="shared" si="150"/>
        <v>3</v>
      </c>
      <c r="I1162" s="4">
        <f t="shared" si="151"/>
        <v>5</v>
      </c>
      <c r="J1162" s="4">
        <f t="shared" si="152"/>
        <v>4</v>
      </c>
    </row>
    <row r="1163" spans="1:10" x14ac:dyDescent="0.25">
      <c r="A1163">
        <v>1161</v>
      </c>
      <c r="B1163" s="4" t="str">
        <f t="shared" si="147"/>
        <v>NOK</v>
      </c>
      <c r="C1163" t="str">
        <f t="shared" si="144"/>
        <v>D</v>
      </c>
      <c r="D1163" t="str">
        <f t="shared" si="145"/>
        <v>C</v>
      </c>
      <c r="E1163" t="str">
        <f t="shared" si="146"/>
        <v>E</v>
      </c>
      <c r="F1163" s="4" t="str">
        <f t="shared" si="148"/>
        <v>E</v>
      </c>
      <c r="G1163" s="4">
        <f t="shared" si="149"/>
        <v>4</v>
      </c>
      <c r="H1163" s="4">
        <f t="shared" si="150"/>
        <v>3</v>
      </c>
      <c r="I1163" s="4">
        <f t="shared" si="151"/>
        <v>5</v>
      </c>
      <c r="J1163" s="4">
        <f t="shared" si="152"/>
        <v>5</v>
      </c>
    </row>
    <row r="1164" spans="1:10" x14ac:dyDescent="0.25">
      <c r="A1164">
        <v>1162</v>
      </c>
      <c r="B1164" s="4" t="str">
        <f t="shared" si="147"/>
        <v>NOK</v>
      </c>
      <c r="C1164" t="str">
        <f t="shared" si="144"/>
        <v>D</v>
      </c>
      <c r="D1164" t="str">
        <f t="shared" si="145"/>
        <v>C</v>
      </c>
      <c r="E1164" t="str">
        <f t="shared" si="146"/>
        <v>E</v>
      </c>
      <c r="F1164" s="4" t="str">
        <f t="shared" si="148"/>
        <v>F</v>
      </c>
      <c r="G1164" s="4">
        <f t="shared" si="149"/>
        <v>4</v>
      </c>
      <c r="H1164" s="4">
        <f t="shared" si="150"/>
        <v>3</v>
      </c>
      <c r="I1164" s="4">
        <f t="shared" si="151"/>
        <v>5</v>
      </c>
      <c r="J1164" s="4">
        <f t="shared" si="152"/>
        <v>6</v>
      </c>
    </row>
    <row r="1165" spans="1:10" x14ac:dyDescent="0.25">
      <c r="A1165">
        <v>1163</v>
      </c>
      <c r="B1165" s="4" t="str">
        <f t="shared" si="147"/>
        <v>NOK</v>
      </c>
      <c r="C1165" t="str">
        <f t="shared" si="144"/>
        <v>D</v>
      </c>
      <c r="D1165" t="str">
        <f t="shared" si="145"/>
        <v>C</v>
      </c>
      <c r="E1165" t="str">
        <f t="shared" si="146"/>
        <v>E</v>
      </c>
      <c r="F1165" s="4" t="str">
        <f t="shared" si="148"/>
        <v>G</v>
      </c>
      <c r="G1165" s="4">
        <f t="shared" si="149"/>
        <v>4</v>
      </c>
      <c r="H1165" s="4">
        <f t="shared" si="150"/>
        <v>3</v>
      </c>
      <c r="I1165" s="4">
        <f t="shared" si="151"/>
        <v>5</v>
      </c>
      <c r="J1165" s="4">
        <f t="shared" si="152"/>
        <v>7</v>
      </c>
    </row>
    <row r="1166" spans="1:10" x14ac:dyDescent="0.25">
      <c r="A1166">
        <v>1164</v>
      </c>
      <c r="B1166" s="4" t="str">
        <f t="shared" si="147"/>
        <v>NOK</v>
      </c>
      <c r="C1166" t="str">
        <f t="shared" si="144"/>
        <v>D</v>
      </c>
      <c r="D1166" t="str">
        <f t="shared" si="145"/>
        <v>C</v>
      </c>
      <c r="E1166" t="str">
        <f t="shared" si="146"/>
        <v>E</v>
      </c>
      <c r="F1166" s="4" t="str">
        <f t="shared" si="148"/>
        <v>H</v>
      </c>
      <c r="G1166" s="4">
        <f t="shared" si="149"/>
        <v>4</v>
      </c>
      <c r="H1166" s="4">
        <f t="shared" si="150"/>
        <v>3</v>
      </c>
      <c r="I1166" s="4">
        <f t="shared" si="151"/>
        <v>5</v>
      </c>
      <c r="J1166" s="4">
        <f t="shared" si="152"/>
        <v>8</v>
      </c>
    </row>
    <row r="1167" spans="1:10" x14ac:dyDescent="0.25">
      <c r="A1167">
        <v>1165</v>
      </c>
      <c r="B1167" s="4" t="str">
        <f t="shared" si="147"/>
        <v>NOK</v>
      </c>
      <c r="C1167" t="str">
        <f t="shared" si="144"/>
        <v>D</v>
      </c>
      <c r="D1167" t="str">
        <f t="shared" si="145"/>
        <v>C</v>
      </c>
      <c r="E1167" t="str">
        <f t="shared" si="146"/>
        <v>E</v>
      </c>
      <c r="F1167" s="4" t="str">
        <f t="shared" si="148"/>
        <v>I</v>
      </c>
      <c r="G1167" s="4">
        <f t="shared" si="149"/>
        <v>4</v>
      </c>
      <c r="H1167" s="4">
        <f t="shared" si="150"/>
        <v>3</v>
      </c>
      <c r="I1167" s="4">
        <f t="shared" si="151"/>
        <v>5</v>
      </c>
      <c r="J1167" s="4">
        <f t="shared" si="152"/>
        <v>9</v>
      </c>
    </row>
    <row r="1168" spans="1:10" x14ac:dyDescent="0.25">
      <c r="A1168">
        <v>1166</v>
      </c>
      <c r="B1168" s="4" t="str">
        <f t="shared" si="147"/>
        <v>OK</v>
      </c>
      <c r="C1168" t="str">
        <f t="shared" si="144"/>
        <v>D</v>
      </c>
      <c r="D1168" t="str">
        <f t="shared" si="145"/>
        <v>C</v>
      </c>
      <c r="E1168" t="str">
        <f t="shared" si="146"/>
        <v>E</v>
      </c>
      <c r="F1168" s="4" t="str">
        <f t="shared" si="148"/>
        <v>J</v>
      </c>
      <c r="G1168" s="4">
        <f t="shared" si="149"/>
        <v>4</v>
      </c>
      <c r="H1168" s="4">
        <f t="shared" si="150"/>
        <v>3</v>
      </c>
      <c r="I1168" s="4">
        <f t="shared" si="151"/>
        <v>5</v>
      </c>
      <c r="J1168" s="4">
        <f t="shared" si="152"/>
        <v>10</v>
      </c>
    </row>
    <row r="1169" spans="1:10" x14ac:dyDescent="0.25">
      <c r="A1169">
        <v>1167</v>
      </c>
      <c r="B1169" s="4" t="str">
        <f t="shared" si="147"/>
        <v>NOK</v>
      </c>
      <c r="C1169" t="str">
        <f t="shared" si="144"/>
        <v>D</v>
      </c>
      <c r="D1169" t="str">
        <f t="shared" si="145"/>
        <v>C</v>
      </c>
      <c r="E1169" t="str">
        <f t="shared" si="146"/>
        <v>E</v>
      </c>
      <c r="F1169" s="4" t="str">
        <f t="shared" si="148"/>
        <v>K</v>
      </c>
      <c r="G1169" s="4">
        <f t="shared" si="149"/>
        <v>4</v>
      </c>
      <c r="H1169" s="4">
        <f t="shared" si="150"/>
        <v>3</v>
      </c>
      <c r="I1169" s="4">
        <f t="shared" si="151"/>
        <v>5</v>
      </c>
      <c r="J1169" s="4">
        <f t="shared" si="152"/>
        <v>11</v>
      </c>
    </row>
    <row r="1170" spans="1:10" x14ac:dyDescent="0.25">
      <c r="A1170">
        <v>1168</v>
      </c>
      <c r="B1170" s="4" t="str">
        <f t="shared" si="147"/>
        <v>NOK</v>
      </c>
      <c r="C1170" t="str">
        <f t="shared" si="144"/>
        <v>D</v>
      </c>
      <c r="D1170" t="str">
        <f t="shared" si="145"/>
        <v>C</v>
      </c>
      <c r="E1170" t="str">
        <f t="shared" si="146"/>
        <v>E</v>
      </c>
      <c r="F1170" s="4" t="str">
        <f t="shared" si="148"/>
        <v>L</v>
      </c>
      <c r="G1170" s="4">
        <f t="shared" si="149"/>
        <v>4</v>
      </c>
      <c r="H1170" s="4">
        <f t="shared" si="150"/>
        <v>3</v>
      </c>
      <c r="I1170" s="4">
        <f t="shared" si="151"/>
        <v>5</v>
      </c>
      <c r="J1170" s="4">
        <f t="shared" si="152"/>
        <v>12</v>
      </c>
    </row>
    <row r="1171" spans="1:10" x14ac:dyDescent="0.25">
      <c r="A1171">
        <v>1169</v>
      </c>
      <c r="B1171" s="4" t="str">
        <f t="shared" si="147"/>
        <v>NOK</v>
      </c>
      <c r="C1171" t="str">
        <f t="shared" si="144"/>
        <v>D</v>
      </c>
      <c r="D1171" t="str">
        <f t="shared" si="145"/>
        <v>C</v>
      </c>
      <c r="E1171" t="str">
        <f t="shared" si="146"/>
        <v>E</v>
      </c>
      <c r="F1171" s="4" t="str">
        <f t="shared" si="148"/>
        <v>M</v>
      </c>
      <c r="G1171" s="4">
        <f t="shared" si="149"/>
        <v>4</v>
      </c>
      <c r="H1171" s="4">
        <f t="shared" si="150"/>
        <v>3</v>
      </c>
      <c r="I1171" s="4">
        <f t="shared" si="151"/>
        <v>5</v>
      </c>
      <c r="J1171" s="4">
        <f t="shared" si="152"/>
        <v>13</v>
      </c>
    </row>
    <row r="1172" spans="1:10" x14ac:dyDescent="0.25">
      <c r="A1172">
        <v>1170</v>
      </c>
      <c r="B1172" s="4" t="str">
        <f t="shared" si="147"/>
        <v>NOK</v>
      </c>
      <c r="C1172" t="str">
        <f t="shared" si="144"/>
        <v>D</v>
      </c>
      <c r="D1172" t="str">
        <f t="shared" si="145"/>
        <v>D</v>
      </c>
      <c r="E1172" t="str">
        <f t="shared" si="146"/>
        <v>A</v>
      </c>
      <c r="F1172" s="4" t="str">
        <f t="shared" si="148"/>
        <v>A</v>
      </c>
      <c r="G1172" s="4">
        <f t="shared" si="149"/>
        <v>4</v>
      </c>
      <c r="H1172" s="4">
        <f t="shared" si="150"/>
        <v>4</v>
      </c>
      <c r="I1172" s="4">
        <f t="shared" si="151"/>
        <v>1</v>
      </c>
      <c r="J1172" s="4">
        <f t="shared" si="152"/>
        <v>1</v>
      </c>
    </row>
    <row r="1173" spans="1:10" x14ac:dyDescent="0.25">
      <c r="A1173">
        <v>1171</v>
      </c>
      <c r="B1173" s="4" t="str">
        <f t="shared" si="147"/>
        <v>NOK</v>
      </c>
      <c r="C1173" t="str">
        <f t="shared" si="144"/>
        <v>D</v>
      </c>
      <c r="D1173" t="str">
        <f t="shared" si="145"/>
        <v>D</v>
      </c>
      <c r="E1173" t="str">
        <f t="shared" si="146"/>
        <v>A</v>
      </c>
      <c r="F1173" s="4" t="str">
        <f t="shared" si="148"/>
        <v>B</v>
      </c>
      <c r="G1173" s="4">
        <f t="shared" si="149"/>
        <v>4</v>
      </c>
      <c r="H1173" s="4">
        <f t="shared" si="150"/>
        <v>4</v>
      </c>
      <c r="I1173" s="4">
        <f t="shared" si="151"/>
        <v>1</v>
      </c>
      <c r="J1173" s="4">
        <f t="shared" si="152"/>
        <v>2</v>
      </c>
    </row>
    <row r="1174" spans="1:10" x14ac:dyDescent="0.25">
      <c r="A1174">
        <v>1172</v>
      </c>
      <c r="B1174" s="4" t="str">
        <f t="shared" si="147"/>
        <v>NOK</v>
      </c>
      <c r="C1174" t="str">
        <f t="shared" si="144"/>
        <v>D</v>
      </c>
      <c r="D1174" t="str">
        <f t="shared" si="145"/>
        <v>D</v>
      </c>
      <c r="E1174" t="str">
        <f t="shared" si="146"/>
        <v>A</v>
      </c>
      <c r="F1174" s="4" t="str">
        <f t="shared" si="148"/>
        <v>C</v>
      </c>
      <c r="G1174" s="4">
        <f t="shared" si="149"/>
        <v>4</v>
      </c>
      <c r="H1174" s="4">
        <f t="shared" si="150"/>
        <v>4</v>
      </c>
      <c r="I1174" s="4">
        <f t="shared" si="151"/>
        <v>1</v>
      </c>
      <c r="J1174" s="4">
        <f t="shared" si="152"/>
        <v>3</v>
      </c>
    </row>
    <row r="1175" spans="1:10" x14ac:dyDescent="0.25">
      <c r="A1175">
        <v>1173</v>
      </c>
      <c r="B1175" s="4" t="str">
        <f t="shared" si="147"/>
        <v>NOK</v>
      </c>
      <c r="C1175" t="str">
        <f t="shared" si="144"/>
        <v>D</v>
      </c>
      <c r="D1175" t="str">
        <f t="shared" si="145"/>
        <v>D</v>
      </c>
      <c r="E1175" t="str">
        <f t="shared" si="146"/>
        <v>A</v>
      </c>
      <c r="F1175" s="4" t="str">
        <f t="shared" si="148"/>
        <v>D</v>
      </c>
      <c r="G1175" s="4">
        <f t="shared" si="149"/>
        <v>4</v>
      </c>
      <c r="H1175" s="4">
        <f t="shared" si="150"/>
        <v>4</v>
      </c>
      <c r="I1175" s="4">
        <f t="shared" si="151"/>
        <v>1</v>
      </c>
      <c r="J1175" s="4">
        <f t="shared" si="152"/>
        <v>4</v>
      </c>
    </row>
    <row r="1176" spans="1:10" x14ac:dyDescent="0.25">
      <c r="A1176">
        <v>1174</v>
      </c>
      <c r="B1176" s="4" t="str">
        <f t="shared" si="147"/>
        <v>NOK</v>
      </c>
      <c r="C1176" t="str">
        <f t="shared" si="144"/>
        <v>D</v>
      </c>
      <c r="D1176" t="str">
        <f t="shared" si="145"/>
        <v>D</v>
      </c>
      <c r="E1176" t="str">
        <f t="shared" si="146"/>
        <v>A</v>
      </c>
      <c r="F1176" s="4" t="str">
        <f t="shared" si="148"/>
        <v>E</v>
      </c>
      <c r="G1176" s="4">
        <f t="shared" si="149"/>
        <v>4</v>
      </c>
      <c r="H1176" s="4">
        <f t="shared" si="150"/>
        <v>4</v>
      </c>
      <c r="I1176" s="4">
        <f t="shared" si="151"/>
        <v>1</v>
      </c>
      <c r="J1176" s="4">
        <f t="shared" si="152"/>
        <v>5</v>
      </c>
    </row>
    <row r="1177" spans="1:10" x14ac:dyDescent="0.25">
      <c r="A1177">
        <v>1175</v>
      </c>
      <c r="B1177" s="4" t="str">
        <f t="shared" si="147"/>
        <v>NOK</v>
      </c>
      <c r="C1177" t="str">
        <f t="shared" si="144"/>
        <v>D</v>
      </c>
      <c r="D1177" t="str">
        <f t="shared" si="145"/>
        <v>D</v>
      </c>
      <c r="E1177" t="str">
        <f t="shared" si="146"/>
        <v>A</v>
      </c>
      <c r="F1177" s="4" t="str">
        <f t="shared" si="148"/>
        <v>F</v>
      </c>
      <c r="G1177" s="4">
        <f t="shared" si="149"/>
        <v>4</v>
      </c>
      <c r="H1177" s="4">
        <f t="shared" si="150"/>
        <v>4</v>
      </c>
      <c r="I1177" s="4">
        <f t="shared" si="151"/>
        <v>1</v>
      </c>
      <c r="J1177" s="4">
        <f t="shared" si="152"/>
        <v>6</v>
      </c>
    </row>
    <row r="1178" spans="1:10" x14ac:dyDescent="0.25">
      <c r="A1178">
        <v>1176</v>
      </c>
      <c r="B1178" s="4" t="str">
        <f t="shared" si="147"/>
        <v>OK</v>
      </c>
      <c r="C1178" t="str">
        <f t="shared" si="144"/>
        <v>D</v>
      </c>
      <c r="D1178" t="str">
        <f t="shared" si="145"/>
        <v>D</v>
      </c>
      <c r="E1178" t="str">
        <f t="shared" si="146"/>
        <v>A</v>
      </c>
      <c r="F1178" s="4" t="str">
        <f t="shared" si="148"/>
        <v>G</v>
      </c>
      <c r="G1178" s="4">
        <f t="shared" si="149"/>
        <v>4</v>
      </c>
      <c r="H1178" s="4">
        <f t="shared" si="150"/>
        <v>4</v>
      </c>
      <c r="I1178" s="4">
        <f t="shared" si="151"/>
        <v>1</v>
      </c>
      <c r="J1178" s="4">
        <f t="shared" si="152"/>
        <v>7</v>
      </c>
    </row>
    <row r="1179" spans="1:10" x14ac:dyDescent="0.25">
      <c r="A1179">
        <v>1177</v>
      </c>
      <c r="B1179" s="4" t="str">
        <f t="shared" si="147"/>
        <v>NOK</v>
      </c>
      <c r="C1179" t="str">
        <f t="shared" si="144"/>
        <v>D</v>
      </c>
      <c r="D1179" t="str">
        <f t="shared" si="145"/>
        <v>D</v>
      </c>
      <c r="E1179" t="str">
        <f t="shared" si="146"/>
        <v>A</v>
      </c>
      <c r="F1179" s="4" t="str">
        <f t="shared" si="148"/>
        <v>H</v>
      </c>
      <c r="G1179" s="4">
        <f t="shared" si="149"/>
        <v>4</v>
      </c>
      <c r="H1179" s="4">
        <f t="shared" si="150"/>
        <v>4</v>
      </c>
      <c r="I1179" s="4">
        <f t="shared" si="151"/>
        <v>1</v>
      </c>
      <c r="J1179" s="4">
        <f t="shared" si="152"/>
        <v>8</v>
      </c>
    </row>
    <row r="1180" spans="1:10" x14ac:dyDescent="0.25">
      <c r="A1180">
        <v>1178</v>
      </c>
      <c r="B1180" s="4" t="str">
        <f t="shared" si="147"/>
        <v>NOK</v>
      </c>
      <c r="C1180" t="str">
        <f t="shared" si="144"/>
        <v>D</v>
      </c>
      <c r="D1180" t="str">
        <f t="shared" si="145"/>
        <v>D</v>
      </c>
      <c r="E1180" t="str">
        <f t="shared" si="146"/>
        <v>A</v>
      </c>
      <c r="F1180" s="4" t="str">
        <f t="shared" si="148"/>
        <v>I</v>
      </c>
      <c r="G1180" s="4">
        <f t="shared" si="149"/>
        <v>4</v>
      </c>
      <c r="H1180" s="4">
        <f t="shared" si="150"/>
        <v>4</v>
      </c>
      <c r="I1180" s="4">
        <f t="shared" si="151"/>
        <v>1</v>
      </c>
      <c r="J1180" s="4">
        <f t="shared" si="152"/>
        <v>9</v>
      </c>
    </row>
    <row r="1181" spans="1:10" x14ac:dyDescent="0.25">
      <c r="A1181">
        <v>1179</v>
      </c>
      <c r="B1181" s="4" t="str">
        <f t="shared" si="147"/>
        <v>NOK</v>
      </c>
      <c r="C1181" t="str">
        <f t="shared" si="144"/>
        <v>D</v>
      </c>
      <c r="D1181" t="str">
        <f t="shared" si="145"/>
        <v>D</v>
      </c>
      <c r="E1181" t="str">
        <f t="shared" si="146"/>
        <v>A</v>
      </c>
      <c r="F1181" s="4" t="str">
        <f t="shared" si="148"/>
        <v>J</v>
      </c>
      <c r="G1181" s="4">
        <f t="shared" si="149"/>
        <v>4</v>
      </c>
      <c r="H1181" s="4">
        <f t="shared" si="150"/>
        <v>4</v>
      </c>
      <c r="I1181" s="4">
        <f t="shared" si="151"/>
        <v>1</v>
      </c>
      <c r="J1181" s="4">
        <f t="shared" si="152"/>
        <v>10</v>
      </c>
    </row>
    <row r="1182" spans="1:10" x14ac:dyDescent="0.25">
      <c r="A1182">
        <v>1180</v>
      </c>
      <c r="B1182" s="4" t="str">
        <f t="shared" si="147"/>
        <v>NOK</v>
      </c>
      <c r="C1182" t="str">
        <f t="shared" si="144"/>
        <v>D</v>
      </c>
      <c r="D1182" t="str">
        <f t="shared" si="145"/>
        <v>D</v>
      </c>
      <c r="E1182" t="str">
        <f t="shared" si="146"/>
        <v>A</v>
      </c>
      <c r="F1182" s="4" t="str">
        <f t="shared" si="148"/>
        <v>K</v>
      </c>
      <c r="G1182" s="4">
        <f t="shared" si="149"/>
        <v>4</v>
      </c>
      <c r="H1182" s="4">
        <f t="shared" si="150"/>
        <v>4</v>
      </c>
      <c r="I1182" s="4">
        <f t="shared" si="151"/>
        <v>1</v>
      </c>
      <c r="J1182" s="4">
        <f t="shared" si="152"/>
        <v>11</v>
      </c>
    </row>
    <row r="1183" spans="1:10" x14ac:dyDescent="0.25">
      <c r="A1183">
        <v>1181</v>
      </c>
      <c r="B1183" s="4" t="str">
        <f t="shared" si="147"/>
        <v>NOK</v>
      </c>
      <c r="C1183" t="str">
        <f t="shared" si="144"/>
        <v>D</v>
      </c>
      <c r="D1183" t="str">
        <f t="shared" si="145"/>
        <v>D</v>
      </c>
      <c r="E1183" t="str">
        <f t="shared" si="146"/>
        <v>A</v>
      </c>
      <c r="F1183" s="4" t="str">
        <f t="shared" si="148"/>
        <v>L</v>
      </c>
      <c r="G1183" s="4">
        <f t="shared" si="149"/>
        <v>4</v>
      </c>
      <c r="H1183" s="4">
        <f t="shared" si="150"/>
        <v>4</v>
      </c>
      <c r="I1183" s="4">
        <f t="shared" si="151"/>
        <v>1</v>
      </c>
      <c r="J1183" s="4">
        <f t="shared" si="152"/>
        <v>12</v>
      </c>
    </row>
    <row r="1184" spans="1:10" x14ac:dyDescent="0.25">
      <c r="A1184">
        <v>1182</v>
      </c>
      <c r="B1184" s="4" t="str">
        <f t="shared" si="147"/>
        <v>NOK</v>
      </c>
      <c r="C1184" t="str">
        <f t="shared" si="144"/>
        <v>D</v>
      </c>
      <c r="D1184" t="str">
        <f t="shared" si="145"/>
        <v>D</v>
      </c>
      <c r="E1184" t="str">
        <f t="shared" si="146"/>
        <v>A</v>
      </c>
      <c r="F1184" s="4" t="str">
        <f t="shared" si="148"/>
        <v>M</v>
      </c>
      <c r="G1184" s="4">
        <f t="shared" si="149"/>
        <v>4</v>
      </c>
      <c r="H1184" s="4">
        <f t="shared" si="150"/>
        <v>4</v>
      </c>
      <c r="I1184" s="4">
        <f t="shared" si="151"/>
        <v>1</v>
      </c>
      <c r="J1184" s="4">
        <f t="shared" si="152"/>
        <v>13</v>
      </c>
    </row>
    <row r="1185" spans="1:10" x14ac:dyDescent="0.25">
      <c r="A1185">
        <v>1183</v>
      </c>
      <c r="B1185" s="4" t="str">
        <f t="shared" si="147"/>
        <v>NOK</v>
      </c>
      <c r="C1185" t="str">
        <f t="shared" si="144"/>
        <v>D</v>
      </c>
      <c r="D1185" t="str">
        <f t="shared" si="145"/>
        <v>D</v>
      </c>
      <c r="E1185" t="str">
        <f t="shared" si="146"/>
        <v>B</v>
      </c>
      <c r="F1185" s="4" t="str">
        <f t="shared" si="148"/>
        <v>A</v>
      </c>
      <c r="G1185" s="4">
        <f t="shared" si="149"/>
        <v>4</v>
      </c>
      <c r="H1185" s="4">
        <f t="shared" si="150"/>
        <v>4</v>
      </c>
      <c r="I1185" s="4">
        <f t="shared" si="151"/>
        <v>2</v>
      </c>
      <c r="J1185" s="4">
        <f t="shared" si="152"/>
        <v>1</v>
      </c>
    </row>
    <row r="1186" spans="1:10" x14ac:dyDescent="0.25">
      <c r="A1186">
        <v>1184</v>
      </c>
      <c r="B1186" s="4" t="str">
        <f t="shared" si="147"/>
        <v>NOK</v>
      </c>
      <c r="C1186" t="str">
        <f t="shared" si="144"/>
        <v>D</v>
      </c>
      <c r="D1186" t="str">
        <f t="shared" si="145"/>
        <v>D</v>
      </c>
      <c r="E1186" t="str">
        <f t="shared" si="146"/>
        <v>B</v>
      </c>
      <c r="F1186" s="4" t="str">
        <f t="shared" si="148"/>
        <v>B</v>
      </c>
      <c r="G1186" s="4">
        <f t="shared" si="149"/>
        <v>4</v>
      </c>
      <c r="H1186" s="4">
        <f t="shared" si="150"/>
        <v>4</v>
      </c>
      <c r="I1186" s="4">
        <f t="shared" si="151"/>
        <v>2</v>
      </c>
      <c r="J1186" s="4">
        <f t="shared" si="152"/>
        <v>2</v>
      </c>
    </row>
    <row r="1187" spans="1:10" x14ac:dyDescent="0.25">
      <c r="A1187">
        <v>1185</v>
      </c>
      <c r="B1187" s="4" t="str">
        <f t="shared" si="147"/>
        <v>NOK</v>
      </c>
      <c r="C1187" t="str">
        <f t="shared" si="144"/>
        <v>D</v>
      </c>
      <c r="D1187" t="str">
        <f t="shared" si="145"/>
        <v>D</v>
      </c>
      <c r="E1187" t="str">
        <f t="shared" si="146"/>
        <v>B</v>
      </c>
      <c r="F1187" s="4" t="str">
        <f t="shared" si="148"/>
        <v>C</v>
      </c>
      <c r="G1187" s="4">
        <f t="shared" si="149"/>
        <v>4</v>
      </c>
      <c r="H1187" s="4">
        <f t="shared" si="150"/>
        <v>4</v>
      </c>
      <c r="I1187" s="4">
        <f t="shared" si="151"/>
        <v>2</v>
      </c>
      <c r="J1187" s="4">
        <f t="shared" si="152"/>
        <v>3</v>
      </c>
    </row>
    <row r="1188" spans="1:10" x14ac:dyDescent="0.25">
      <c r="A1188">
        <v>1186</v>
      </c>
      <c r="B1188" s="4" t="str">
        <f t="shared" si="147"/>
        <v>NOK</v>
      </c>
      <c r="C1188" t="str">
        <f t="shared" si="144"/>
        <v>D</v>
      </c>
      <c r="D1188" t="str">
        <f t="shared" si="145"/>
        <v>D</v>
      </c>
      <c r="E1188" t="str">
        <f t="shared" si="146"/>
        <v>B</v>
      </c>
      <c r="F1188" s="4" t="str">
        <f t="shared" si="148"/>
        <v>D</v>
      </c>
      <c r="G1188" s="4">
        <f t="shared" si="149"/>
        <v>4</v>
      </c>
      <c r="H1188" s="4">
        <f t="shared" si="150"/>
        <v>4</v>
      </c>
      <c r="I1188" s="4">
        <f t="shared" si="151"/>
        <v>2</v>
      </c>
      <c r="J1188" s="4">
        <f t="shared" si="152"/>
        <v>4</v>
      </c>
    </row>
    <row r="1189" spans="1:10" x14ac:dyDescent="0.25">
      <c r="A1189">
        <v>1187</v>
      </c>
      <c r="B1189" s="4" t="str">
        <f t="shared" si="147"/>
        <v>NOK</v>
      </c>
      <c r="C1189" t="str">
        <f t="shared" si="144"/>
        <v>D</v>
      </c>
      <c r="D1189" t="str">
        <f t="shared" si="145"/>
        <v>D</v>
      </c>
      <c r="E1189" t="str">
        <f t="shared" si="146"/>
        <v>B</v>
      </c>
      <c r="F1189" s="4" t="str">
        <f t="shared" si="148"/>
        <v>E</v>
      </c>
      <c r="G1189" s="4">
        <f t="shared" si="149"/>
        <v>4</v>
      </c>
      <c r="H1189" s="4">
        <f t="shared" si="150"/>
        <v>4</v>
      </c>
      <c r="I1189" s="4">
        <f t="shared" si="151"/>
        <v>2</v>
      </c>
      <c r="J1189" s="4">
        <f t="shared" si="152"/>
        <v>5</v>
      </c>
    </row>
    <row r="1190" spans="1:10" x14ac:dyDescent="0.25">
      <c r="A1190">
        <v>1188</v>
      </c>
      <c r="B1190" s="4" t="str">
        <f t="shared" si="147"/>
        <v>NOK</v>
      </c>
      <c r="C1190" t="str">
        <f t="shared" si="144"/>
        <v>D</v>
      </c>
      <c r="D1190" t="str">
        <f t="shared" si="145"/>
        <v>D</v>
      </c>
      <c r="E1190" t="str">
        <f t="shared" si="146"/>
        <v>B</v>
      </c>
      <c r="F1190" s="4" t="str">
        <f t="shared" si="148"/>
        <v>F</v>
      </c>
      <c r="G1190" s="4">
        <f t="shared" si="149"/>
        <v>4</v>
      </c>
      <c r="H1190" s="4">
        <f t="shared" si="150"/>
        <v>4</v>
      </c>
      <c r="I1190" s="4">
        <f t="shared" si="151"/>
        <v>2</v>
      </c>
      <c r="J1190" s="4">
        <f t="shared" si="152"/>
        <v>6</v>
      </c>
    </row>
    <row r="1191" spans="1:10" x14ac:dyDescent="0.25">
      <c r="A1191">
        <v>1189</v>
      </c>
      <c r="B1191" s="4" t="str">
        <f t="shared" si="147"/>
        <v>NOK</v>
      </c>
      <c r="C1191" t="str">
        <f t="shared" ref="C1191:C1254" si="153">IF(G1191=1,"A",IF(G1191=2,"B",IF(G1191=3,"C",IF(G1191=4,"D",IF(G1191=5,"E","ERRO")))))</f>
        <v>D</v>
      </c>
      <c r="D1191" t="str">
        <f t="shared" ref="D1191:D1254" si="154">IF(H1191=1,"A",IF(H1191=2,"B",IF(H1191=3,"C",IF(H1191=4,"D",IF(H1191=5,"E","ERRO")))))</f>
        <v>D</v>
      </c>
      <c r="E1191" t="str">
        <f t="shared" ref="E1191:E1254" si="155">IF(I1191=1,"A",IF(I1191=2,"B",IF(I1191=3,"C",IF(I1191=4,"D",IF(I1191=5,"E","ERRO")))))</f>
        <v>B</v>
      </c>
      <c r="F1191" s="4" t="str">
        <f t="shared" si="148"/>
        <v>G</v>
      </c>
      <c r="G1191" s="4">
        <f t="shared" si="149"/>
        <v>4</v>
      </c>
      <c r="H1191" s="4">
        <f t="shared" si="150"/>
        <v>4</v>
      </c>
      <c r="I1191" s="4">
        <f t="shared" si="151"/>
        <v>2</v>
      </c>
      <c r="J1191" s="4">
        <f t="shared" si="152"/>
        <v>7</v>
      </c>
    </row>
    <row r="1192" spans="1:10" x14ac:dyDescent="0.25">
      <c r="A1192">
        <v>1190</v>
      </c>
      <c r="B1192" s="4" t="str">
        <f t="shared" si="147"/>
        <v>OK</v>
      </c>
      <c r="C1192" t="str">
        <f t="shared" si="153"/>
        <v>D</v>
      </c>
      <c r="D1192" t="str">
        <f t="shared" si="154"/>
        <v>D</v>
      </c>
      <c r="E1192" t="str">
        <f t="shared" si="155"/>
        <v>B</v>
      </c>
      <c r="F1192" s="4" t="str">
        <f t="shared" si="148"/>
        <v>H</v>
      </c>
      <c r="G1192" s="4">
        <f t="shared" si="149"/>
        <v>4</v>
      </c>
      <c r="H1192" s="4">
        <f t="shared" si="150"/>
        <v>4</v>
      </c>
      <c r="I1192" s="4">
        <f t="shared" si="151"/>
        <v>2</v>
      </c>
      <c r="J1192" s="4">
        <f t="shared" si="152"/>
        <v>8</v>
      </c>
    </row>
    <row r="1193" spans="1:10" x14ac:dyDescent="0.25">
      <c r="A1193">
        <v>1191</v>
      </c>
      <c r="B1193" s="4" t="str">
        <f t="shared" si="147"/>
        <v>NOK</v>
      </c>
      <c r="C1193" t="str">
        <f t="shared" si="153"/>
        <v>D</v>
      </c>
      <c r="D1193" t="str">
        <f t="shared" si="154"/>
        <v>D</v>
      </c>
      <c r="E1193" t="str">
        <f t="shared" si="155"/>
        <v>B</v>
      </c>
      <c r="F1193" s="4" t="str">
        <f t="shared" si="148"/>
        <v>I</v>
      </c>
      <c r="G1193" s="4">
        <f t="shared" si="149"/>
        <v>4</v>
      </c>
      <c r="H1193" s="4">
        <f t="shared" si="150"/>
        <v>4</v>
      </c>
      <c r="I1193" s="4">
        <f t="shared" si="151"/>
        <v>2</v>
      </c>
      <c r="J1193" s="4">
        <f t="shared" si="152"/>
        <v>9</v>
      </c>
    </row>
    <row r="1194" spans="1:10" x14ac:dyDescent="0.25">
      <c r="A1194">
        <v>1192</v>
      </c>
      <c r="B1194" s="4" t="str">
        <f t="shared" si="147"/>
        <v>NOK</v>
      </c>
      <c r="C1194" t="str">
        <f t="shared" si="153"/>
        <v>D</v>
      </c>
      <c r="D1194" t="str">
        <f t="shared" si="154"/>
        <v>D</v>
      </c>
      <c r="E1194" t="str">
        <f t="shared" si="155"/>
        <v>B</v>
      </c>
      <c r="F1194" s="4" t="str">
        <f t="shared" si="148"/>
        <v>J</v>
      </c>
      <c r="G1194" s="4">
        <f t="shared" si="149"/>
        <v>4</v>
      </c>
      <c r="H1194" s="4">
        <f t="shared" si="150"/>
        <v>4</v>
      </c>
      <c r="I1194" s="4">
        <f t="shared" si="151"/>
        <v>2</v>
      </c>
      <c r="J1194" s="4">
        <f t="shared" si="152"/>
        <v>10</v>
      </c>
    </row>
    <row r="1195" spans="1:10" x14ac:dyDescent="0.25">
      <c r="A1195">
        <v>1193</v>
      </c>
      <c r="B1195" s="4" t="str">
        <f t="shared" si="147"/>
        <v>NOK</v>
      </c>
      <c r="C1195" t="str">
        <f t="shared" si="153"/>
        <v>D</v>
      </c>
      <c r="D1195" t="str">
        <f t="shared" si="154"/>
        <v>D</v>
      </c>
      <c r="E1195" t="str">
        <f t="shared" si="155"/>
        <v>B</v>
      </c>
      <c r="F1195" s="4" t="str">
        <f t="shared" si="148"/>
        <v>K</v>
      </c>
      <c r="G1195" s="4">
        <f t="shared" si="149"/>
        <v>4</v>
      </c>
      <c r="H1195" s="4">
        <f t="shared" si="150"/>
        <v>4</v>
      </c>
      <c r="I1195" s="4">
        <f t="shared" si="151"/>
        <v>2</v>
      </c>
      <c r="J1195" s="4">
        <f t="shared" si="152"/>
        <v>11</v>
      </c>
    </row>
    <row r="1196" spans="1:10" x14ac:dyDescent="0.25">
      <c r="A1196">
        <v>1194</v>
      </c>
      <c r="B1196" s="4" t="str">
        <f t="shared" si="147"/>
        <v>NOK</v>
      </c>
      <c r="C1196" t="str">
        <f t="shared" si="153"/>
        <v>D</v>
      </c>
      <c r="D1196" t="str">
        <f t="shared" si="154"/>
        <v>D</v>
      </c>
      <c r="E1196" t="str">
        <f t="shared" si="155"/>
        <v>B</v>
      </c>
      <c r="F1196" s="4" t="str">
        <f t="shared" si="148"/>
        <v>L</v>
      </c>
      <c r="G1196" s="4">
        <f t="shared" si="149"/>
        <v>4</v>
      </c>
      <c r="H1196" s="4">
        <f t="shared" si="150"/>
        <v>4</v>
      </c>
      <c r="I1196" s="4">
        <f t="shared" si="151"/>
        <v>2</v>
      </c>
      <c r="J1196" s="4">
        <f t="shared" si="152"/>
        <v>12</v>
      </c>
    </row>
    <row r="1197" spans="1:10" x14ac:dyDescent="0.25">
      <c r="A1197">
        <v>1195</v>
      </c>
      <c r="B1197" s="4" t="str">
        <f t="shared" si="147"/>
        <v>NOK</v>
      </c>
      <c r="C1197" t="str">
        <f t="shared" si="153"/>
        <v>D</v>
      </c>
      <c r="D1197" t="str">
        <f t="shared" si="154"/>
        <v>D</v>
      </c>
      <c r="E1197" t="str">
        <f t="shared" si="155"/>
        <v>B</v>
      </c>
      <c r="F1197" s="4" t="str">
        <f t="shared" si="148"/>
        <v>M</v>
      </c>
      <c r="G1197" s="4">
        <f t="shared" si="149"/>
        <v>4</v>
      </c>
      <c r="H1197" s="4">
        <f t="shared" si="150"/>
        <v>4</v>
      </c>
      <c r="I1197" s="4">
        <f t="shared" si="151"/>
        <v>2</v>
      </c>
      <c r="J1197" s="4">
        <f t="shared" si="152"/>
        <v>13</v>
      </c>
    </row>
    <row r="1198" spans="1:10" x14ac:dyDescent="0.25">
      <c r="A1198">
        <v>1196</v>
      </c>
      <c r="B1198" s="4" t="str">
        <f t="shared" si="147"/>
        <v>NOK</v>
      </c>
      <c r="C1198" t="str">
        <f t="shared" si="153"/>
        <v>D</v>
      </c>
      <c r="D1198" t="str">
        <f t="shared" si="154"/>
        <v>D</v>
      </c>
      <c r="E1198" t="str">
        <f t="shared" si="155"/>
        <v>C</v>
      </c>
      <c r="F1198" s="4" t="str">
        <f t="shared" si="148"/>
        <v>A</v>
      </c>
      <c r="G1198" s="4">
        <f t="shared" si="149"/>
        <v>4</v>
      </c>
      <c r="H1198" s="4">
        <f t="shared" si="150"/>
        <v>4</v>
      </c>
      <c r="I1198" s="4">
        <f t="shared" si="151"/>
        <v>3</v>
      </c>
      <c r="J1198" s="4">
        <f t="shared" si="152"/>
        <v>1</v>
      </c>
    </row>
    <row r="1199" spans="1:10" x14ac:dyDescent="0.25">
      <c r="A1199">
        <v>1197</v>
      </c>
      <c r="B1199" s="4" t="str">
        <f t="shared" si="147"/>
        <v>NOK</v>
      </c>
      <c r="C1199" t="str">
        <f t="shared" si="153"/>
        <v>D</v>
      </c>
      <c r="D1199" t="str">
        <f t="shared" si="154"/>
        <v>D</v>
      </c>
      <c r="E1199" t="str">
        <f t="shared" si="155"/>
        <v>C</v>
      </c>
      <c r="F1199" s="4" t="str">
        <f t="shared" si="148"/>
        <v>B</v>
      </c>
      <c r="G1199" s="4">
        <f t="shared" si="149"/>
        <v>4</v>
      </c>
      <c r="H1199" s="4">
        <f t="shared" si="150"/>
        <v>4</v>
      </c>
      <c r="I1199" s="4">
        <f t="shared" si="151"/>
        <v>3</v>
      </c>
      <c r="J1199" s="4">
        <f t="shared" si="152"/>
        <v>2</v>
      </c>
    </row>
    <row r="1200" spans="1:10" x14ac:dyDescent="0.25">
      <c r="A1200">
        <v>1198</v>
      </c>
      <c r="B1200" s="4" t="str">
        <f t="shared" si="147"/>
        <v>NOK</v>
      </c>
      <c r="C1200" t="str">
        <f t="shared" si="153"/>
        <v>D</v>
      </c>
      <c r="D1200" t="str">
        <f t="shared" si="154"/>
        <v>D</v>
      </c>
      <c r="E1200" t="str">
        <f t="shared" si="155"/>
        <v>C</v>
      </c>
      <c r="F1200" s="4" t="str">
        <f t="shared" si="148"/>
        <v>C</v>
      </c>
      <c r="G1200" s="4">
        <f t="shared" si="149"/>
        <v>4</v>
      </c>
      <c r="H1200" s="4">
        <f t="shared" si="150"/>
        <v>4</v>
      </c>
      <c r="I1200" s="4">
        <f t="shared" si="151"/>
        <v>3</v>
      </c>
      <c r="J1200" s="4">
        <f t="shared" si="152"/>
        <v>3</v>
      </c>
    </row>
    <row r="1201" spans="1:10" x14ac:dyDescent="0.25">
      <c r="A1201">
        <v>1199</v>
      </c>
      <c r="B1201" s="4" t="str">
        <f t="shared" si="147"/>
        <v>NOK</v>
      </c>
      <c r="C1201" t="str">
        <f t="shared" si="153"/>
        <v>D</v>
      </c>
      <c r="D1201" t="str">
        <f t="shared" si="154"/>
        <v>D</v>
      </c>
      <c r="E1201" t="str">
        <f t="shared" si="155"/>
        <v>C</v>
      </c>
      <c r="F1201" s="4" t="str">
        <f t="shared" si="148"/>
        <v>D</v>
      </c>
      <c r="G1201" s="4">
        <f t="shared" si="149"/>
        <v>4</v>
      </c>
      <c r="H1201" s="4">
        <f t="shared" si="150"/>
        <v>4</v>
      </c>
      <c r="I1201" s="4">
        <f t="shared" si="151"/>
        <v>3</v>
      </c>
      <c r="J1201" s="4">
        <f t="shared" si="152"/>
        <v>4</v>
      </c>
    </row>
    <row r="1202" spans="1:10" x14ac:dyDescent="0.25">
      <c r="A1202">
        <v>1200</v>
      </c>
      <c r="B1202" s="4" t="str">
        <f t="shared" si="147"/>
        <v>NOK</v>
      </c>
      <c r="C1202" t="str">
        <f t="shared" si="153"/>
        <v>D</v>
      </c>
      <c r="D1202" t="str">
        <f t="shared" si="154"/>
        <v>D</v>
      </c>
      <c r="E1202" t="str">
        <f t="shared" si="155"/>
        <v>C</v>
      </c>
      <c r="F1202" s="4" t="str">
        <f t="shared" si="148"/>
        <v>E</v>
      </c>
      <c r="G1202" s="4">
        <f t="shared" si="149"/>
        <v>4</v>
      </c>
      <c r="H1202" s="4">
        <f t="shared" si="150"/>
        <v>4</v>
      </c>
      <c r="I1202" s="4">
        <f t="shared" si="151"/>
        <v>3</v>
      </c>
      <c r="J1202" s="4">
        <f t="shared" si="152"/>
        <v>5</v>
      </c>
    </row>
    <row r="1203" spans="1:10" x14ac:dyDescent="0.25">
      <c r="A1203">
        <v>1201</v>
      </c>
      <c r="B1203" s="4" t="str">
        <f t="shared" si="147"/>
        <v>NOK</v>
      </c>
      <c r="C1203" t="str">
        <f t="shared" si="153"/>
        <v>D</v>
      </c>
      <c r="D1203" t="str">
        <f t="shared" si="154"/>
        <v>D</v>
      </c>
      <c r="E1203" t="str">
        <f t="shared" si="155"/>
        <v>C</v>
      </c>
      <c r="F1203" s="4" t="str">
        <f t="shared" si="148"/>
        <v>F</v>
      </c>
      <c r="G1203" s="4">
        <f t="shared" si="149"/>
        <v>4</v>
      </c>
      <c r="H1203" s="4">
        <f t="shared" si="150"/>
        <v>4</v>
      </c>
      <c r="I1203" s="4">
        <f t="shared" si="151"/>
        <v>3</v>
      </c>
      <c r="J1203" s="4">
        <f t="shared" si="152"/>
        <v>6</v>
      </c>
    </row>
    <row r="1204" spans="1:10" x14ac:dyDescent="0.25">
      <c r="A1204">
        <v>1202</v>
      </c>
      <c r="B1204" s="4" t="str">
        <f t="shared" si="147"/>
        <v>NOK</v>
      </c>
      <c r="C1204" t="str">
        <f t="shared" si="153"/>
        <v>D</v>
      </c>
      <c r="D1204" t="str">
        <f t="shared" si="154"/>
        <v>D</v>
      </c>
      <c r="E1204" t="str">
        <f t="shared" si="155"/>
        <v>C</v>
      </c>
      <c r="F1204" s="4" t="str">
        <f t="shared" si="148"/>
        <v>G</v>
      </c>
      <c r="G1204" s="4">
        <f t="shared" si="149"/>
        <v>4</v>
      </c>
      <c r="H1204" s="4">
        <f t="shared" si="150"/>
        <v>4</v>
      </c>
      <c r="I1204" s="4">
        <f t="shared" si="151"/>
        <v>3</v>
      </c>
      <c r="J1204" s="4">
        <f t="shared" si="152"/>
        <v>7</v>
      </c>
    </row>
    <row r="1205" spans="1:10" x14ac:dyDescent="0.25">
      <c r="A1205">
        <v>1203</v>
      </c>
      <c r="B1205" s="4" t="str">
        <f t="shared" si="147"/>
        <v>NOK</v>
      </c>
      <c r="C1205" t="str">
        <f t="shared" si="153"/>
        <v>D</v>
      </c>
      <c r="D1205" t="str">
        <f t="shared" si="154"/>
        <v>D</v>
      </c>
      <c r="E1205" t="str">
        <f t="shared" si="155"/>
        <v>C</v>
      </c>
      <c r="F1205" s="4" t="str">
        <f t="shared" si="148"/>
        <v>H</v>
      </c>
      <c r="G1205" s="4">
        <f t="shared" si="149"/>
        <v>4</v>
      </c>
      <c r="H1205" s="4">
        <f t="shared" si="150"/>
        <v>4</v>
      </c>
      <c r="I1205" s="4">
        <f t="shared" si="151"/>
        <v>3</v>
      </c>
      <c r="J1205" s="4">
        <f t="shared" si="152"/>
        <v>8</v>
      </c>
    </row>
    <row r="1206" spans="1:10" x14ac:dyDescent="0.25">
      <c r="A1206">
        <v>1204</v>
      </c>
      <c r="B1206" s="4" t="str">
        <f t="shared" si="147"/>
        <v>OK</v>
      </c>
      <c r="C1206" t="str">
        <f t="shared" si="153"/>
        <v>D</v>
      </c>
      <c r="D1206" t="str">
        <f t="shared" si="154"/>
        <v>D</v>
      </c>
      <c r="E1206" t="str">
        <f t="shared" si="155"/>
        <v>C</v>
      </c>
      <c r="F1206" s="4" t="str">
        <f t="shared" si="148"/>
        <v>I</v>
      </c>
      <c r="G1206" s="4">
        <f t="shared" si="149"/>
        <v>4</v>
      </c>
      <c r="H1206" s="4">
        <f t="shared" si="150"/>
        <v>4</v>
      </c>
      <c r="I1206" s="4">
        <f t="shared" si="151"/>
        <v>3</v>
      </c>
      <c r="J1206" s="4">
        <f t="shared" si="152"/>
        <v>9</v>
      </c>
    </row>
    <row r="1207" spans="1:10" x14ac:dyDescent="0.25">
      <c r="A1207">
        <v>1205</v>
      </c>
      <c r="B1207" s="4" t="str">
        <f t="shared" si="147"/>
        <v>NOK</v>
      </c>
      <c r="C1207" t="str">
        <f t="shared" si="153"/>
        <v>D</v>
      </c>
      <c r="D1207" t="str">
        <f t="shared" si="154"/>
        <v>D</v>
      </c>
      <c r="E1207" t="str">
        <f t="shared" si="155"/>
        <v>C</v>
      </c>
      <c r="F1207" s="4" t="str">
        <f t="shared" si="148"/>
        <v>J</v>
      </c>
      <c r="G1207" s="4">
        <f t="shared" si="149"/>
        <v>4</v>
      </c>
      <c r="H1207" s="4">
        <f t="shared" si="150"/>
        <v>4</v>
      </c>
      <c r="I1207" s="4">
        <f t="shared" si="151"/>
        <v>3</v>
      </c>
      <c r="J1207" s="4">
        <f t="shared" si="152"/>
        <v>10</v>
      </c>
    </row>
    <row r="1208" spans="1:10" x14ac:dyDescent="0.25">
      <c r="A1208">
        <v>1206</v>
      </c>
      <c r="B1208" s="4" t="str">
        <f t="shared" si="147"/>
        <v>NOK</v>
      </c>
      <c r="C1208" t="str">
        <f t="shared" si="153"/>
        <v>D</v>
      </c>
      <c r="D1208" t="str">
        <f t="shared" si="154"/>
        <v>D</v>
      </c>
      <c r="E1208" t="str">
        <f t="shared" si="155"/>
        <v>C</v>
      </c>
      <c r="F1208" s="4" t="str">
        <f t="shared" si="148"/>
        <v>K</v>
      </c>
      <c r="G1208" s="4">
        <f t="shared" si="149"/>
        <v>4</v>
      </c>
      <c r="H1208" s="4">
        <f t="shared" si="150"/>
        <v>4</v>
      </c>
      <c r="I1208" s="4">
        <f t="shared" si="151"/>
        <v>3</v>
      </c>
      <c r="J1208" s="4">
        <f t="shared" si="152"/>
        <v>11</v>
      </c>
    </row>
    <row r="1209" spans="1:10" x14ac:dyDescent="0.25">
      <c r="A1209">
        <v>1207</v>
      </c>
      <c r="B1209" s="4" t="str">
        <f t="shared" si="147"/>
        <v>NOK</v>
      </c>
      <c r="C1209" t="str">
        <f t="shared" si="153"/>
        <v>D</v>
      </c>
      <c r="D1209" t="str">
        <f t="shared" si="154"/>
        <v>D</v>
      </c>
      <c r="E1209" t="str">
        <f t="shared" si="155"/>
        <v>C</v>
      </c>
      <c r="F1209" s="4" t="str">
        <f t="shared" si="148"/>
        <v>L</v>
      </c>
      <c r="G1209" s="4">
        <f t="shared" si="149"/>
        <v>4</v>
      </c>
      <c r="H1209" s="4">
        <f t="shared" si="150"/>
        <v>4</v>
      </c>
      <c r="I1209" s="4">
        <f t="shared" si="151"/>
        <v>3</v>
      </c>
      <c r="J1209" s="4">
        <f t="shared" si="152"/>
        <v>12</v>
      </c>
    </row>
    <row r="1210" spans="1:10" x14ac:dyDescent="0.25">
      <c r="A1210">
        <v>1208</v>
      </c>
      <c r="B1210" s="4" t="str">
        <f t="shared" si="147"/>
        <v>NOK</v>
      </c>
      <c r="C1210" t="str">
        <f t="shared" si="153"/>
        <v>D</v>
      </c>
      <c r="D1210" t="str">
        <f t="shared" si="154"/>
        <v>D</v>
      </c>
      <c r="E1210" t="str">
        <f t="shared" si="155"/>
        <v>C</v>
      </c>
      <c r="F1210" s="4" t="str">
        <f t="shared" si="148"/>
        <v>M</v>
      </c>
      <c r="G1210" s="4">
        <f t="shared" si="149"/>
        <v>4</v>
      </c>
      <c r="H1210" s="4">
        <f t="shared" si="150"/>
        <v>4</v>
      </c>
      <c r="I1210" s="4">
        <f t="shared" si="151"/>
        <v>3</v>
      </c>
      <c r="J1210" s="4">
        <f t="shared" si="152"/>
        <v>13</v>
      </c>
    </row>
    <row r="1211" spans="1:10" x14ac:dyDescent="0.25">
      <c r="A1211">
        <v>1209</v>
      </c>
      <c r="B1211" s="4" t="str">
        <f t="shared" si="147"/>
        <v>NOK</v>
      </c>
      <c r="C1211" t="str">
        <f t="shared" si="153"/>
        <v>D</v>
      </c>
      <c r="D1211" t="str">
        <f t="shared" si="154"/>
        <v>D</v>
      </c>
      <c r="E1211" t="str">
        <f t="shared" si="155"/>
        <v>D</v>
      </c>
      <c r="F1211" s="4" t="str">
        <f t="shared" si="148"/>
        <v>A</v>
      </c>
      <c r="G1211" s="4">
        <f t="shared" si="149"/>
        <v>4</v>
      </c>
      <c r="H1211" s="4">
        <f t="shared" si="150"/>
        <v>4</v>
      </c>
      <c r="I1211" s="4">
        <f t="shared" si="151"/>
        <v>4</v>
      </c>
      <c r="J1211" s="4">
        <f t="shared" si="152"/>
        <v>1</v>
      </c>
    </row>
    <row r="1212" spans="1:10" x14ac:dyDescent="0.25">
      <c r="A1212">
        <v>1210</v>
      </c>
      <c r="B1212" s="4" t="str">
        <f t="shared" si="147"/>
        <v>NOK</v>
      </c>
      <c r="C1212" t="str">
        <f t="shared" si="153"/>
        <v>D</v>
      </c>
      <c r="D1212" t="str">
        <f t="shared" si="154"/>
        <v>D</v>
      </c>
      <c r="E1212" t="str">
        <f t="shared" si="155"/>
        <v>D</v>
      </c>
      <c r="F1212" s="4" t="str">
        <f t="shared" si="148"/>
        <v>B</v>
      </c>
      <c r="G1212" s="4">
        <f t="shared" si="149"/>
        <v>4</v>
      </c>
      <c r="H1212" s="4">
        <f t="shared" si="150"/>
        <v>4</v>
      </c>
      <c r="I1212" s="4">
        <f t="shared" si="151"/>
        <v>4</v>
      </c>
      <c r="J1212" s="4">
        <f t="shared" si="152"/>
        <v>2</v>
      </c>
    </row>
    <row r="1213" spans="1:10" x14ac:dyDescent="0.25">
      <c r="A1213">
        <v>1211</v>
      </c>
      <c r="B1213" s="4" t="str">
        <f t="shared" si="147"/>
        <v>NOK</v>
      </c>
      <c r="C1213" t="str">
        <f t="shared" si="153"/>
        <v>D</v>
      </c>
      <c r="D1213" t="str">
        <f t="shared" si="154"/>
        <v>D</v>
      </c>
      <c r="E1213" t="str">
        <f t="shared" si="155"/>
        <v>D</v>
      </c>
      <c r="F1213" s="4" t="str">
        <f t="shared" si="148"/>
        <v>C</v>
      </c>
      <c r="G1213" s="4">
        <f t="shared" si="149"/>
        <v>4</v>
      </c>
      <c r="H1213" s="4">
        <f t="shared" si="150"/>
        <v>4</v>
      </c>
      <c r="I1213" s="4">
        <f t="shared" si="151"/>
        <v>4</v>
      </c>
      <c r="J1213" s="4">
        <f t="shared" si="152"/>
        <v>3</v>
      </c>
    </row>
    <row r="1214" spans="1:10" x14ac:dyDescent="0.25">
      <c r="A1214">
        <v>1212</v>
      </c>
      <c r="B1214" s="4" t="str">
        <f t="shared" si="147"/>
        <v>NOK</v>
      </c>
      <c r="C1214" t="str">
        <f t="shared" si="153"/>
        <v>D</v>
      </c>
      <c r="D1214" t="str">
        <f t="shared" si="154"/>
        <v>D</v>
      </c>
      <c r="E1214" t="str">
        <f t="shared" si="155"/>
        <v>D</v>
      </c>
      <c r="F1214" s="4" t="str">
        <f t="shared" si="148"/>
        <v>D</v>
      </c>
      <c r="G1214" s="4">
        <f t="shared" si="149"/>
        <v>4</v>
      </c>
      <c r="H1214" s="4">
        <f t="shared" si="150"/>
        <v>4</v>
      </c>
      <c r="I1214" s="4">
        <f t="shared" si="151"/>
        <v>4</v>
      </c>
      <c r="J1214" s="4">
        <f t="shared" si="152"/>
        <v>4</v>
      </c>
    </row>
    <row r="1215" spans="1:10" x14ac:dyDescent="0.25">
      <c r="A1215">
        <v>1213</v>
      </c>
      <c r="B1215" s="4" t="str">
        <f t="shared" si="147"/>
        <v>NOK</v>
      </c>
      <c r="C1215" t="str">
        <f t="shared" si="153"/>
        <v>D</v>
      </c>
      <c r="D1215" t="str">
        <f t="shared" si="154"/>
        <v>D</v>
      </c>
      <c r="E1215" t="str">
        <f t="shared" si="155"/>
        <v>D</v>
      </c>
      <c r="F1215" s="4" t="str">
        <f t="shared" si="148"/>
        <v>E</v>
      </c>
      <c r="G1215" s="4">
        <f t="shared" si="149"/>
        <v>4</v>
      </c>
      <c r="H1215" s="4">
        <f t="shared" si="150"/>
        <v>4</v>
      </c>
      <c r="I1215" s="4">
        <f t="shared" si="151"/>
        <v>4</v>
      </c>
      <c r="J1215" s="4">
        <f t="shared" si="152"/>
        <v>5</v>
      </c>
    </row>
    <row r="1216" spans="1:10" x14ac:dyDescent="0.25">
      <c r="A1216">
        <v>1214</v>
      </c>
      <c r="B1216" s="4" t="str">
        <f t="shared" si="147"/>
        <v>NOK</v>
      </c>
      <c r="C1216" t="str">
        <f t="shared" si="153"/>
        <v>D</v>
      </c>
      <c r="D1216" t="str">
        <f t="shared" si="154"/>
        <v>D</v>
      </c>
      <c r="E1216" t="str">
        <f t="shared" si="155"/>
        <v>D</v>
      </c>
      <c r="F1216" s="4" t="str">
        <f t="shared" si="148"/>
        <v>F</v>
      </c>
      <c r="G1216" s="4">
        <f t="shared" si="149"/>
        <v>4</v>
      </c>
      <c r="H1216" s="4">
        <f t="shared" si="150"/>
        <v>4</v>
      </c>
      <c r="I1216" s="4">
        <f t="shared" si="151"/>
        <v>4</v>
      </c>
      <c r="J1216" s="4">
        <f t="shared" si="152"/>
        <v>6</v>
      </c>
    </row>
    <row r="1217" spans="1:10" x14ac:dyDescent="0.25">
      <c r="A1217">
        <v>1215</v>
      </c>
      <c r="B1217" s="4" t="str">
        <f t="shared" si="147"/>
        <v>NOK</v>
      </c>
      <c r="C1217" t="str">
        <f t="shared" si="153"/>
        <v>D</v>
      </c>
      <c r="D1217" t="str">
        <f t="shared" si="154"/>
        <v>D</v>
      </c>
      <c r="E1217" t="str">
        <f t="shared" si="155"/>
        <v>D</v>
      </c>
      <c r="F1217" s="4" t="str">
        <f t="shared" si="148"/>
        <v>G</v>
      </c>
      <c r="G1217" s="4">
        <f t="shared" si="149"/>
        <v>4</v>
      </c>
      <c r="H1217" s="4">
        <f t="shared" si="150"/>
        <v>4</v>
      </c>
      <c r="I1217" s="4">
        <f t="shared" si="151"/>
        <v>4</v>
      </c>
      <c r="J1217" s="4">
        <f t="shared" si="152"/>
        <v>7</v>
      </c>
    </row>
    <row r="1218" spans="1:10" x14ac:dyDescent="0.25">
      <c r="A1218">
        <v>1216</v>
      </c>
      <c r="B1218" s="4" t="str">
        <f t="shared" ref="B1218:B1281" si="156">IF(ROUND(_xlfn.XLOOKUP(C1218,$U$1:$U$5,$T$1:$T$5,,0,1)+_xlfn.XLOOKUP(D1218,$W$1:$W$5,$V$1:$V$5,,0,1)+_xlfn.XLOOKUP(E1218,$Y$1:$Y$5,$X$1:$X$5,,0,1)-_xlfn.XLOOKUP(F1218,$AA$1:$AA$13,$Z$1:$Z$13,,0,1),3)=0.325,"OK","NOK")</f>
        <v>NOK</v>
      </c>
      <c r="C1218" t="str">
        <f t="shared" si="153"/>
        <v>D</v>
      </c>
      <c r="D1218" t="str">
        <f t="shared" si="154"/>
        <v>D</v>
      </c>
      <c r="E1218" t="str">
        <f t="shared" si="155"/>
        <v>D</v>
      </c>
      <c r="F1218" s="4" t="str">
        <f t="shared" ref="F1218:F1281" si="157">IF(J1218=1,"A",IF(J1218=2,"B",IF(J1218=3,"C",IF(J1218=4,"D",IF(J1218=5,"E",IF(J1218=6,"F",IF(J1218=7,"G",IF(J1218=8,"H",IF(J1218=9,"I",IF(J1218=10,"J",IF(J1218=11,"K",IF(J1218=12,"L",IF(J1218=13,"M","ERRO")))))))))))))</f>
        <v>H</v>
      </c>
      <c r="G1218" s="4">
        <f t="shared" ref="G1218:G1281" si="158">INT($A1218/325)+1</f>
        <v>4</v>
      </c>
      <c r="H1218" s="4">
        <f t="shared" ref="H1218:H1281" si="159">INT(MOD($A1218,325)/65)+1</f>
        <v>4</v>
      </c>
      <c r="I1218" s="4">
        <f t="shared" ref="I1218:I1281" si="160">INT(MOD($A1218,65)/13)+1</f>
        <v>4</v>
      </c>
      <c r="J1218" s="4">
        <f t="shared" ref="J1218:J1281" si="161">MOD($A1218,13)+1</f>
        <v>8</v>
      </c>
    </row>
    <row r="1219" spans="1:10" x14ac:dyDescent="0.25">
      <c r="A1219">
        <v>1217</v>
      </c>
      <c r="B1219" s="4" t="str">
        <f t="shared" si="156"/>
        <v>NOK</v>
      </c>
      <c r="C1219" t="str">
        <f t="shared" si="153"/>
        <v>D</v>
      </c>
      <c r="D1219" t="str">
        <f t="shared" si="154"/>
        <v>D</v>
      </c>
      <c r="E1219" t="str">
        <f t="shared" si="155"/>
        <v>D</v>
      </c>
      <c r="F1219" s="4" t="str">
        <f t="shared" si="157"/>
        <v>I</v>
      </c>
      <c r="G1219" s="4">
        <f t="shared" si="158"/>
        <v>4</v>
      </c>
      <c r="H1219" s="4">
        <f t="shared" si="159"/>
        <v>4</v>
      </c>
      <c r="I1219" s="4">
        <f t="shared" si="160"/>
        <v>4</v>
      </c>
      <c r="J1219" s="4">
        <f t="shared" si="161"/>
        <v>9</v>
      </c>
    </row>
    <row r="1220" spans="1:10" x14ac:dyDescent="0.25">
      <c r="A1220">
        <v>1218</v>
      </c>
      <c r="B1220" s="4" t="str">
        <f t="shared" si="156"/>
        <v>OK</v>
      </c>
      <c r="C1220" t="str">
        <f t="shared" si="153"/>
        <v>D</v>
      </c>
      <c r="D1220" t="str">
        <f t="shared" si="154"/>
        <v>D</v>
      </c>
      <c r="E1220" t="str">
        <f t="shared" si="155"/>
        <v>D</v>
      </c>
      <c r="F1220" s="4" t="str">
        <f t="shared" si="157"/>
        <v>J</v>
      </c>
      <c r="G1220" s="4">
        <f t="shared" si="158"/>
        <v>4</v>
      </c>
      <c r="H1220" s="4">
        <f t="shared" si="159"/>
        <v>4</v>
      </c>
      <c r="I1220" s="4">
        <f t="shared" si="160"/>
        <v>4</v>
      </c>
      <c r="J1220" s="4">
        <f t="shared" si="161"/>
        <v>10</v>
      </c>
    </row>
    <row r="1221" spans="1:10" x14ac:dyDescent="0.25">
      <c r="A1221">
        <v>1219</v>
      </c>
      <c r="B1221" s="4" t="str">
        <f t="shared" si="156"/>
        <v>NOK</v>
      </c>
      <c r="C1221" t="str">
        <f t="shared" si="153"/>
        <v>D</v>
      </c>
      <c r="D1221" t="str">
        <f t="shared" si="154"/>
        <v>D</v>
      </c>
      <c r="E1221" t="str">
        <f t="shared" si="155"/>
        <v>D</v>
      </c>
      <c r="F1221" s="4" t="str">
        <f t="shared" si="157"/>
        <v>K</v>
      </c>
      <c r="G1221" s="4">
        <f t="shared" si="158"/>
        <v>4</v>
      </c>
      <c r="H1221" s="4">
        <f t="shared" si="159"/>
        <v>4</v>
      </c>
      <c r="I1221" s="4">
        <f t="shared" si="160"/>
        <v>4</v>
      </c>
      <c r="J1221" s="4">
        <f t="shared" si="161"/>
        <v>11</v>
      </c>
    </row>
    <row r="1222" spans="1:10" x14ac:dyDescent="0.25">
      <c r="A1222">
        <v>1220</v>
      </c>
      <c r="B1222" s="4" t="str">
        <f t="shared" si="156"/>
        <v>NOK</v>
      </c>
      <c r="C1222" t="str">
        <f t="shared" si="153"/>
        <v>D</v>
      </c>
      <c r="D1222" t="str">
        <f t="shared" si="154"/>
        <v>D</v>
      </c>
      <c r="E1222" t="str">
        <f t="shared" si="155"/>
        <v>D</v>
      </c>
      <c r="F1222" s="4" t="str">
        <f t="shared" si="157"/>
        <v>L</v>
      </c>
      <c r="G1222" s="4">
        <f t="shared" si="158"/>
        <v>4</v>
      </c>
      <c r="H1222" s="4">
        <f t="shared" si="159"/>
        <v>4</v>
      </c>
      <c r="I1222" s="4">
        <f t="shared" si="160"/>
        <v>4</v>
      </c>
      <c r="J1222" s="4">
        <f t="shared" si="161"/>
        <v>12</v>
      </c>
    </row>
    <row r="1223" spans="1:10" x14ac:dyDescent="0.25">
      <c r="A1223">
        <v>1221</v>
      </c>
      <c r="B1223" s="4" t="str">
        <f t="shared" si="156"/>
        <v>NOK</v>
      </c>
      <c r="C1223" t="str">
        <f t="shared" si="153"/>
        <v>D</v>
      </c>
      <c r="D1223" t="str">
        <f t="shared" si="154"/>
        <v>D</v>
      </c>
      <c r="E1223" t="str">
        <f t="shared" si="155"/>
        <v>D</v>
      </c>
      <c r="F1223" s="4" t="str">
        <f t="shared" si="157"/>
        <v>M</v>
      </c>
      <c r="G1223" s="4">
        <f t="shared" si="158"/>
        <v>4</v>
      </c>
      <c r="H1223" s="4">
        <f t="shared" si="159"/>
        <v>4</v>
      </c>
      <c r="I1223" s="4">
        <f t="shared" si="160"/>
        <v>4</v>
      </c>
      <c r="J1223" s="4">
        <f t="shared" si="161"/>
        <v>13</v>
      </c>
    </row>
    <row r="1224" spans="1:10" x14ac:dyDescent="0.25">
      <c r="A1224">
        <v>1222</v>
      </c>
      <c r="B1224" s="4" t="str">
        <f t="shared" si="156"/>
        <v>NOK</v>
      </c>
      <c r="C1224" t="str">
        <f t="shared" si="153"/>
        <v>D</v>
      </c>
      <c r="D1224" t="str">
        <f t="shared" si="154"/>
        <v>D</v>
      </c>
      <c r="E1224" t="str">
        <f t="shared" si="155"/>
        <v>E</v>
      </c>
      <c r="F1224" s="4" t="str">
        <f t="shared" si="157"/>
        <v>A</v>
      </c>
      <c r="G1224" s="4">
        <f t="shared" si="158"/>
        <v>4</v>
      </c>
      <c r="H1224" s="4">
        <f t="shared" si="159"/>
        <v>4</v>
      </c>
      <c r="I1224" s="4">
        <f t="shared" si="160"/>
        <v>5</v>
      </c>
      <c r="J1224" s="4">
        <f t="shared" si="161"/>
        <v>1</v>
      </c>
    </row>
    <row r="1225" spans="1:10" x14ac:dyDescent="0.25">
      <c r="A1225">
        <v>1223</v>
      </c>
      <c r="B1225" s="4" t="str">
        <f t="shared" si="156"/>
        <v>NOK</v>
      </c>
      <c r="C1225" t="str">
        <f t="shared" si="153"/>
        <v>D</v>
      </c>
      <c r="D1225" t="str">
        <f t="shared" si="154"/>
        <v>D</v>
      </c>
      <c r="E1225" t="str">
        <f t="shared" si="155"/>
        <v>E</v>
      </c>
      <c r="F1225" s="4" t="str">
        <f t="shared" si="157"/>
        <v>B</v>
      </c>
      <c r="G1225" s="4">
        <f t="shared" si="158"/>
        <v>4</v>
      </c>
      <c r="H1225" s="4">
        <f t="shared" si="159"/>
        <v>4</v>
      </c>
      <c r="I1225" s="4">
        <f t="shared" si="160"/>
        <v>5</v>
      </c>
      <c r="J1225" s="4">
        <f t="shared" si="161"/>
        <v>2</v>
      </c>
    </row>
    <row r="1226" spans="1:10" x14ac:dyDescent="0.25">
      <c r="A1226">
        <v>1224</v>
      </c>
      <c r="B1226" s="4" t="str">
        <f t="shared" si="156"/>
        <v>NOK</v>
      </c>
      <c r="C1226" t="str">
        <f t="shared" si="153"/>
        <v>D</v>
      </c>
      <c r="D1226" t="str">
        <f t="shared" si="154"/>
        <v>D</v>
      </c>
      <c r="E1226" t="str">
        <f t="shared" si="155"/>
        <v>E</v>
      </c>
      <c r="F1226" s="4" t="str">
        <f t="shared" si="157"/>
        <v>C</v>
      </c>
      <c r="G1226" s="4">
        <f t="shared" si="158"/>
        <v>4</v>
      </c>
      <c r="H1226" s="4">
        <f t="shared" si="159"/>
        <v>4</v>
      </c>
      <c r="I1226" s="4">
        <f t="shared" si="160"/>
        <v>5</v>
      </c>
      <c r="J1226" s="4">
        <f t="shared" si="161"/>
        <v>3</v>
      </c>
    </row>
    <row r="1227" spans="1:10" x14ac:dyDescent="0.25">
      <c r="A1227">
        <v>1225</v>
      </c>
      <c r="B1227" s="4" t="str">
        <f t="shared" si="156"/>
        <v>NOK</v>
      </c>
      <c r="C1227" t="str">
        <f t="shared" si="153"/>
        <v>D</v>
      </c>
      <c r="D1227" t="str">
        <f t="shared" si="154"/>
        <v>D</v>
      </c>
      <c r="E1227" t="str">
        <f t="shared" si="155"/>
        <v>E</v>
      </c>
      <c r="F1227" s="4" t="str">
        <f t="shared" si="157"/>
        <v>D</v>
      </c>
      <c r="G1227" s="4">
        <f t="shared" si="158"/>
        <v>4</v>
      </c>
      <c r="H1227" s="4">
        <f t="shared" si="159"/>
        <v>4</v>
      </c>
      <c r="I1227" s="4">
        <f t="shared" si="160"/>
        <v>5</v>
      </c>
      <c r="J1227" s="4">
        <f t="shared" si="161"/>
        <v>4</v>
      </c>
    </row>
    <row r="1228" spans="1:10" x14ac:dyDescent="0.25">
      <c r="A1228">
        <v>1226</v>
      </c>
      <c r="B1228" s="4" t="str">
        <f t="shared" si="156"/>
        <v>NOK</v>
      </c>
      <c r="C1228" t="str">
        <f t="shared" si="153"/>
        <v>D</v>
      </c>
      <c r="D1228" t="str">
        <f t="shared" si="154"/>
        <v>D</v>
      </c>
      <c r="E1228" t="str">
        <f t="shared" si="155"/>
        <v>E</v>
      </c>
      <c r="F1228" s="4" t="str">
        <f t="shared" si="157"/>
        <v>E</v>
      </c>
      <c r="G1228" s="4">
        <f t="shared" si="158"/>
        <v>4</v>
      </c>
      <c r="H1228" s="4">
        <f t="shared" si="159"/>
        <v>4</v>
      </c>
      <c r="I1228" s="4">
        <f t="shared" si="160"/>
        <v>5</v>
      </c>
      <c r="J1228" s="4">
        <f t="shared" si="161"/>
        <v>5</v>
      </c>
    </row>
    <row r="1229" spans="1:10" x14ac:dyDescent="0.25">
      <c r="A1229">
        <v>1227</v>
      </c>
      <c r="B1229" s="4" t="str">
        <f t="shared" si="156"/>
        <v>NOK</v>
      </c>
      <c r="C1229" t="str">
        <f t="shared" si="153"/>
        <v>D</v>
      </c>
      <c r="D1229" t="str">
        <f t="shared" si="154"/>
        <v>D</v>
      </c>
      <c r="E1229" t="str">
        <f t="shared" si="155"/>
        <v>E</v>
      </c>
      <c r="F1229" s="4" t="str">
        <f t="shared" si="157"/>
        <v>F</v>
      </c>
      <c r="G1229" s="4">
        <f t="shared" si="158"/>
        <v>4</v>
      </c>
      <c r="H1229" s="4">
        <f t="shared" si="159"/>
        <v>4</v>
      </c>
      <c r="I1229" s="4">
        <f t="shared" si="160"/>
        <v>5</v>
      </c>
      <c r="J1229" s="4">
        <f t="shared" si="161"/>
        <v>6</v>
      </c>
    </row>
    <row r="1230" spans="1:10" x14ac:dyDescent="0.25">
      <c r="A1230">
        <v>1228</v>
      </c>
      <c r="B1230" s="4" t="str">
        <f t="shared" si="156"/>
        <v>NOK</v>
      </c>
      <c r="C1230" t="str">
        <f t="shared" si="153"/>
        <v>D</v>
      </c>
      <c r="D1230" t="str">
        <f t="shared" si="154"/>
        <v>D</v>
      </c>
      <c r="E1230" t="str">
        <f t="shared" si="155"/>
        <v>E</v>
      </c>
      <c r="F1230" s="4" t="str">
        <f t="shared" si="157"/>
        <v>G</v>
      </c>
      <c r="G1230" s="4">
        <f t="shared" si="158"/>
        <v>4</v>
      </c>
      <c r="H1230" s="4">
        <f t="shared" si="159"/>
        <v>4</v>
      </c>
      <c r="I1230" s="4">
        <f t="shared" si="160"/>
        <v>5</v>
      </c>
      <c r="J1230" s="4">
        <f t="shared" si="161"/>
        <v>7</v>
      </c>
    </row>
    <row r="1231" spans="1:10" x14ac:dyDescent="0.25">
      <c r="A1231">
        <v>1229</v>
      </c>
      <c r="B1231" s="4" t="str">
        <f t="shared" si="156"/>
        <v>NOK</v>
      </c>
      <c r="C1231" t="str">
        <f t="shared" si="153"/>
        <v>D</v>
      </c>
      <c r="D1231" t="str">
        <f t="shared" si="154"/>
        <v>D</v>
      </c>
      <c r="E1231" t="str">
        <f t="shared" si="155"/>
        <v>E</v>
      </c>
      <c r="F1231" s="4" t="str">
        <f t="shared" si="157"/>
        <v>H</v>
      </c>
      <c r="G1231" s="4">
        <f t="shared" si="158"/>
        <v>4</v>
      </c>
      <c r="H1231" s="4">
        <f t="shared" si="159"/>
        <v>4</v>
      </c>
      <c r="I1231" s="4">
        <f t="shared" si="160"/>
        <v>5</v>
      </c>
      <c r="J1231" s="4">
        <f t="shared" si="161"/>
        <v>8</v>
      </c>
    </row>
    <row r="1232" spans="1:10" x14ac:dyDescent="0.25">
      <c r="A1232">
        <v>1230</v>
      </c>
      <c r="B1232" s="4" t="str">
        <f t="shared" si="156"/>
        <v>NOK</v>
      </c>
      <c r="C1232" t="str">
        <f t="shared" si="153"/>
        <v>D</v>
      </c>
      <c r="D1232" t="str">
        <f t="shared" si="154"/>
        <v>D</v>
      </c>
      <c r="E1232" t="str">
        <f t="shared" si="155"/>
        <v>E</v>
      </c>
      <c r="F1232" s="4" t="str">
        <f t="shared" si="157"/>
        <v>I</v>
      </c>
      <c r="G1232" s="4">
        <f t="shared" si="158"/>
        <v>4</v>
      </c>
      <c r="H1232" s="4">
        <f t="shared" si="159"/>
        <v>4</v>
      </c>
      <c r="I1232" s="4">
        <f t="shared" si="160"/>
        <v>5</v>
      </c>
      <c r="J1232" s="4">
        <f t="shared" si="161"/>
        <v>9</v>
      </c>
    </row>
    <row r="1233" spans="1:10" x14ac:dyDescent="0.25">
      <c r="A1233">
        <v>1231</v>
      </c>
      <c r="B1233" s="4" t="str">
        <f t="shared" si="156"/>
        <v>NOK</v>
      </c>
      <c r="C1233" t="str">
        <f t="shared" si="153"/>
        <v>D</v>
      </c>
      <c r="D1233" t="str">
        <f t="shared" si="154"/>
        <v>D</v>
      </c>
      <c r="E1233" t="str">
        <f t="shared" si="155"/>
        <v>E</v>
      </c>
      <c r="F1233" s="4" t="str">
        <f t="shared" si="157"/>
        <v>J</v>
      </c>
      <c r="G1233" s="4">
        <f t="shared" si="158"/>
        <v>4</v>
      </c>
      <c r="H1233" s="4">
        <f t="shared" si="159"/>
        <v>4</v>
      </c>
      <c r="I1233" s="4">
        <f t="shared" si="160"/>
        <v>5</v>
      </c>
      <c r="J1233" s="4">
        <f t="shared" si="161"/>
        <v>10</v>
      </c>
    </row>
    <row r="1234" spans="1:10" x14ac:dyDescent="0.25">
      <c r="A1234">
        <v>1232</v>
      </c>
      <c r="B1234" s="4" t="str">
        <f t="shared" si="156"/>
        <v>OK</v>
      </c>
      <c r="C1234" t="str">
        <f t="shared" si="153"/>
        <v>D</v>
      </c>
      <c r="D1234" t="str">
        <f t="shared" si="154"/>
        <v>D</v>
      </c>
      <c r="E1234" t="str">
        <f t="shared" si="155"/>
        <v>E</v>
      </c>
      <c r="F1234" s="4" t="str">
        <f t="shared" si="157"/>
        <v>K</v>
      </c>
      <c r="G1234" s="4">
        <f t="shared" si="158"/>
        <v>4</v>
      </c>
      <c r="H1234" s="4">
        <f t="shared" si="159"/>
        <v>4</v>
      </c>
      <c r="I1234" s="4">
        <f t="shared" si="160"/>
        <v>5</v>
      </c>
      <c r="J1234" s="4">
        <f t="shared" si="161"/>
        <v>11</v>
      </c>
    </row>
    <row r="1235" spans="1:10" x14ac:dyDescent="0.25">
      <c r="A1235">
        <v>1233</v>
      </c>
      <c r="B1235" s="4" t="str">
        <f t="shared" si="156"/>
        <v>NOK</v>
      </c>
      <c r="C1235" t="str">
        <f t="shared" si="153"/>
        <v>D</v>
      </c>
      <c r="D1235" t="str">
        <f t="shared" si="154"/>
        <v>D</v>
      </c>
      <c r="E1235" t="str">
        <f t="shared" si="155"/>
        <v>E</v>
      </c>
      <c r="F1235" s="4" t="str">
        <f t="shared" si="157"/>
        <v>L</v>
      </c>
      <c r="G1235" s="4">
        <f t="shared" si="158"/>
        <v>4</v>
      </c>
      <c r="H1235" s="4">
        <f t="shared" si="159"/>
        <v>4</v>
      </c>
      <c r="I1235" s="4">
        <f t="shared" si="160"/>
        <v>5</v>
      </c>
      <c r="J1235" s="4">
        <f t="shared" si="161"/>
        <v>12</v>
      </c>
    </row>
    <row r="1236" spans="1:10" x14ac:dyDescent="0.25">
      <c r="A1236">
        <v>1234</v>
      </c>
      <c r="B1236" s="4" t="str">
        <f t="shared" si="156"/>
        <v>NOK</v>
      </c>
      <c r="C1236" t="str">
        <f t="shared" si="153"/>
        <v>D</v>
      </c>
      <c r="D1236" t="str">
        <f t="shared" si="154"/>
        <v>D</v>
      </c>
      <c r="E1236" t="str">
        <f t="shared" si="155"/>
        <v>E</v>
      </c>
      <c r="F1236" s="4" t="str">
        <f t="shared" si="157"/>
        <v>M</v>
      </c>
      <c r="G1236" s="4">
        <f t="shared" si="158"/>
        <v>4</v>
      </c>
      <c r="H1236" s="4">
        <f t="shared" si="159"/>
        <v>4</v>
      </c>
      <c r="I1236" s="4">
        <f t="shared" si="160"/>
        <v>5</v>
      </c>
      <c r="J1236" s="4">
        <f t="shared" si="161"/>
        <v>13</v>
      </c>
    </row>
    <row r="1237" spans="1:10" x14ac:dyDescent="0.25">
      <c r="A1237">
        <v>1235</v>
      </c>
      <c r="B1237" s="4" t="str">
        <f t="shared" si="156"/>
        <v>NOK</v>
      </c>
      <c r="C1237" t="str">
        <f t="shared" si="153"/>
        <v>D</v>
      </c>
      <c r="D1237" t="str">
        <f t="shared" si="154"/>
        <v>E</v>
      </c>
      <c r="E1237" t="str">
        <f t="shared" si="155"/>
        <v>A</v>
      </c>
      <c r="F1237" s="4" t="str">
        <f t="shared" si="157"/>
        <v>A</v>
      </c>
      <c r="G1237" s="4">
        <f t="shared" si="158"/>
        <v>4</v>
      </c>
      <c r="H1237" s="4">
        <f t="shared" si="159"/>
        <v>5</v>
      </c>
      <c r="I1237" s="4">
        <f t="shared" si="160"/>
        <v>1</v>
      </c>
      <c r="J1237" s="4">
        <f t="shared" si="161"/>
        <v>1</v>
      </c>
    </row>
    <row r="1238" spans="1:10" x14ac:dyDescent="0.25">
      <c r="A1238">
        <v>1236</v>
      </c>
      <c r="B1238" s="4" t="str">
        <f t="shared" si="156"/>
        <v>NOK</v>
      </c>
      <c r="C1238" t="str">
        <f t="shared" si="153"/>
        <v>D</v>
      </c>
      <c r="D1238" t="str">
        <f t="shared" si="154"/>
        <v>E</v>
      </c>
      <c r="E1238" t="str">
        <f t="shared" si="155"/>
        <v>A</v>
      </c>
      <c r="F1238" s="4" t="str">
        <f t="shared" si="157"/>
        <v>B</v>
      </c>
      <c r="G1238" s="4">
        <f t="shared" si="158"/>
        <v>4</v>
      </c>
      <c r="H1238" s="4">
        <f t="shared" si="159"/>
        <v>5</v>
      </c>
      <c r="I1238" s="4">
        <f t="shared" si="160"/>
        <v>1</v>
      </c>
      <c r="J1238" s="4">
        <f t="shared" si="161"/>
        <v>2</v>
      </c>
    </row>
    <row r="1239" spans="1:10" x14ac:dyDescent="0.25">
      <c r="A1239">
        <v>1237</v>
      </c>
      <c r="B1239" s="4" t="str">
        <f t="shared" si="156"/>
        <v>NOK</v>
      </c>
      <c r="C1239" t="str">
        <f t="shared" si="153"/>
        <v>D</v>
      </c>
      <c r="D1239" t="str">
        <f t="shared" si="154"/>
        <v>E</v>
      </c>
      <c r="E1239" t="str">
        <f t="shared" si="155"/>
        <v>A</v>
      </c>
      <c r="F1239" s="4" t="str">
        <f t="shared" si="157"/>
        <v>C</v>
      </c>
      <c r="G1239" s="4">
        <f t="shared" si="158"/>
        <v>4</v>
      </c>
      <c r="H1239" s="4">
        <f t="shared" si="159"/>
        <v>5</v>
      </c>
      <c r="I1239" s="4">
        <f t="shared" si="160"/>
        <v>1</v>
      </c>
      <c r="J1239" s="4">
        <f t="shared" si="161"/>
        <v>3</v>
      </c>
    </row>
    <row r="1240" spans="1:10" x14ac:dyDescent="0.25">
      <c r="A1240">
        <v>1238</v>
      </c>
      <c r="B1240" s="4" t="str">
        <f t="shared" si="156"/>
        <v>NOK</v>
      </c>
      <c r="C1240" t="str">
        <f t="shared" si="153"/>
        <v>D</v>
      </c>
      <c r="D1240" t="str">
        <f t="shared" si="154"/>
        <v>E</v>
      </c>
      <c r="E1240" t="str">
        <f t="shared" si="155"/>
        <v>A</v>
      </c>
      <c r="F1240" s="4" t="str">
        <f t="shared" si="157"/>
        <v>D</v>
      </c>
      <c r="G1240" s="4">
        <f t="shared" si="158"/>
        <v>4</v>
      </c>
      <c r="H1240" s="4">
        <f t="shared" si="159"/>
        <v>5</v>
      </c>
      <c r="I1240" s="4">
        <f t="shared" si="160"/>
        <v>1</v>
      </c>
      <c r="J1240" s="4">
        <f t="shared" si="161"/>
        <v>4</v>
      </c>
    </row>
    <row r="1241" spans="1:10" x14ac:dyDescent="0.25">
      <c r="A1241">
        <v>1239</v>
      </c>
      <c r="B1241" s="4" t="str">
        <f t="shared" si="156"/>
        <v>NOK</v>
      </c>
      <c r="C1241" t="str">
        <f t="shared" si="153"/>
        <v>D</v>
      </c>
      <c r="D1241" t="str">
        <f t="shared" si="154"/>
        <v>E</v>
      </c>
      <c r="E1241" t="str">
        <f t="shared" si="155"/>
        <v>A</v>
      </c>
      <c r="F1241" s="4" t="str">
        <f t="shared" si="157"/>
        <v>E</v>
      </c>
      <c r="G1241" s="4">
        <f t="shared" si="158"/>
        <v>4</v>
      </c>
      <c r="H1241" s="4">
        <f t="shared" si="159"/>
        <v>5</v>
      </c>
      <c r="I1241" s="4">
        <f t="shared" si="160"/>
        <v>1</v>
      </c>
      <c r="J1241" s="4">
        <f t="shared" si="161"/>
        <v>5</v>
      </c>
    </row>
    <row r="1242" spans="1:10" x14ac:dyDescent="0.25">
      <c r="A1242">
        <v>1240</v>
      </c>
      <c r="B1242" s="4" t="str">
        <f t="shared" si="156"/>
        <v>NOK</v>
      </c>
      <c r="C1242" t="str">
        <f t="shared" si="153"/>
        <v>D</v>
      </c>
      <c r="D1242" t="str">
        <f t="shared" si="154"/>
        <v>E</v>
      </c>
      <c r="E1242" t="str">
        <f t="shared" si="155"/>
        <v>A</v>
      </c>
      <c r="F1242" s="4" t="str">
        <f t="shared" si="157"/>
        <v>F</v>
      </c>
      <c r="G1242" s="4">
        <f t="shared" si="158"/>
        <v>4</v>
      </c>
      <c r="H1242" s="4">
        <f t="shared" si="159"/>
        <v>5</v>
      </c>
      <c r="I1242" s="4">
        <f t="shared" si="160"/>
        <v>1</v>
      </c>
      <c r="J1242" s="4">
        <f t="shared" si="161"/>
        <v>6</v>
      </c>
    </row>
    <row r="1243" spans="1:10" x14ac:dyDescent="0.25">
      <c r="A1243">
        <v>1241</v>
      </c>
      <c r="B1243" s="4" t="str">
        <f t="shared" si="156"/>
        <v>NOK</v>
      </c>
      <c r="C1243" t="str">
        <f t="shared" si="153"/>
        <v>D</v>
      </c>
      <c r="D1243" t="str">
        <f t="shared" si="154"/>
        <v>E</v>
      </c>
      <c r="E1243" t="str">
        <f t="shared" si="155"/>
        <v>A</v>
      </c>
      <c r="F1243" s="4" t="str">
        <f t="shared" si="157"/>
        <v>G</v>
      </c>
      <c r="G1243" s="4">
        <f t="shared" si="158"/>
        <v>4</v>
      </c>
      <c r="H1243" s="4">
        <f t="shared" si="159"/>
        <v>5</v>
      </c>
      <c r="I1243" s="4">
        <f t="shared" si="160"/>
        <v>1</v>
      </c>
      <c r="J1243" s="4">
        <f t="shared" si="161"/>
        <v>7</v>
      </c>
    </row>
    <row r="1244" spans="1:10" x14ac:dyDescent="0.25">
      <c r="A1244">
        <v>1242</v>
      </c>
      <c r="B1244" s="4" t="str">
        <f t="shared" si="156"/>
        <v>OK</v>
      </c>
      <c r="C1244" t="str">
        <f t="shared" si="153"/>
        <v>D</v>
      </c>
      <c r="D1244" t="str">
        <f t="shared" si="154"/>
        <v>E</v>
      </c>
      <c r="E1244" t="str">
        <f t="shared" si="155"/>
        <v>A</v>
      </c>
      <c r="F1244" s="4" t="str">
        <f t="shared" si="157"/>
        <v>H</v>
      </c>
      <c r="G1244" s="4">
        <f t="shared" si="158"/>
        <v>4</v>
      </c>
      <c r="H1244" s="4">
        <f t="shared" si="159"/>
        <v>5</v>
      </c>
      <c r="I1244" s="4">
        <f t="shared" si="160"/>
        <v>1</v>
      </c>
      <c r="J1244" s="4">
        <f t="shared" si="161"/>
        <v>8</v>
      </c>
    </row>
    <row r="1245" spans="1:10" x14ac:dyDescent="0.25">
      <c r="A1245">
        <v>1243</v>
      </c>
      <c r="B1245" s="4" t="str">
        <f t="shared" si="156"/>
        <v>NOK</v>
      </c>
      <c r="C1245" t="str">
        <f t="shared" si="153"/>
        <v>D</v>
      </c>
      <c r="D1245" t="str">
        <f t="shared" si="154"/>
        <v>E</v>
      </c>
      <c r="E1245" t="str">
        <f t="shared" si="155"/>
        <v>A</v>
      </c>
      <c r="F1245" s="4" t="str">
        <f t="shared" si="157"/>
        <v>I</v>
      </c>
      <c r="G1245" s="4">
        <f t="shared" si="158"/>
        <v>4</v>
      </c>
      <c r="H1245" s="4">
        <f t="shared" si="159"/>
        <v>5</v>
      </c>
      <c r="I1245" s="4">
        <f t="shared" si="160"/>
        <v>1</v>
      </c>
      <c r="J1245" s="4">
        <f t="shared" si="161"/>
        <v>9</v>
      </c>
    </row>
    <row r="1246" spans="1:10" x14ac:dyDescent="0.25">
      <c r="A1246">
        <v>1244</v>
      </c>
      <c r="B1246" s="4" t="str">
        <f t="shared" si="156"/>
        <v>NOK</v>
      </c>
      <c r="C1246" t="str">
        <f t="shared" si="153"/>
        <v>D</v>
      </c>
      <c r="D1246" t="str">
        <f t="shared" si="154"/>
        <v>E</v>
      </c>
      <c r="E1246" t="str">
        <f t="shared" si="155"/>
        <v>A</v>
      </c>
      <c r="F1246" s="4" t="str">
        <f t="shared" si="157"/>
        <v>J</v>
      </c>
      <c r="G1246" s="4">
        <f t="shared" si="158"/>
        <v>4</v>
      </c>
      <c r="H1246" s="4">
        <f t="shared" si="159"/>
        <v>5</v>
      </c>
      <c r="I1246" s="4">
        <f t="shared" si="160"/>
        <v>1</v>
      </c>
      <c r="J1246" s="4">
        <f t="shared" si="161"/>
        <v>10</v>
      </c>
    </row>
    <row r="1247" spans="1:10" x14ac:dyDescent="0.25">
      <c r="A1247">
        <v>1245</v>
      </c>
      <c r="B1247" s="4" t="str">
        <f t="shared" si="156"/>
        <v>NOK</v>
      </c>
      <c r="C1247" t="str">
        <f t="shared" si="153"/>
        <v>D</v>
      </c>
      <c r="D1247" t="str">
        <f t="shared" si="154"/>
        <v>E</v>
      </c>
      <c r="E1247" t="str">
        <f t="shared" si="155"/>
        <v>A</v>
      </c>
      <c r="F1247" s="4" t="str">
        <f t="shared" si="157"/>
        <v>K</v>
      </c>
      <c r="G1247" s="4">
        <f t="shared" si="158"/>
        <v>4</v>
      </c>
      <c r="H1247" s="4">
        <f t="shared" si="159"/>
        <v>5</v>
      </c>
      <c r="I1247" s="4">
        <f t="shared" si="160"/>
        <v>1</v>
      </c>
      <c r="J1247" s="4">
        <f t="shared" si="161"/>
        <v>11</v>
      </c>
    </row>
    <row r="1248" spans="1:10" x14ac:dyDescent="0.25">
      <c r="A1248">
        <v>1246</v>
      </c>
      <c r="B1248" s="4" t="str">
        <f t="shared" si="156"/>
        <v>NOK</v>
      </c>
      <c r="C1248" t="str">
        <f t="shared" si="153"/>
        <v>D</v>
      </c>
      <c r="D1248" t="str">
        <f t="shared" si="154"/>
        <v>E</v>
      </c>
      <c r="E1248" t="str">
        <f t="shared" si="155"/>
        <v>A</v>
      </c>
      <c r="F1248" s="4" t="str">
        <f t="shared" si="157"/>
        <v>L</v>
      </c>
      <c r="G1248" s="4">
        <f t="shared" si="158"/>
        <v>4</v>
      </c>
      <c r="H1248" s="4">
        <f t="shared" si="159"/>
        <v>5</v>
      </c>
      <c r="I1248" s="4">
        <f t="shared" si="160"/>
        <v>1</v>
      </c>
      <c r="J1248" s="4">
        <f t="shared" si="161"/>
        <v>12</v>
      </c>
    </row>
    <row r="1249" spans="1:10" x14ac:dyDescent="0.25">
      <c r="A1249">
        <v>1247</v>
      </c>
      <c r="B1249" s="4" t="str">
        <f t="shared" si="156"/>
        <v>NOK</v>
      </c>
      <c r="C1249" t="str">
        <f t="shared" si="153"/>
        <v>D</v>
      </c>
      <c r="D1249" t="str">
        <f t="shared" si="154"/>
        <v>E</v>
      </c>
      <c r="E1249" t="str">
        <f t="shared" si="155"/>
        <v>A</v>
      </c>
      <c r="F1249" s="4" t="str">
        <f t="shared" si="157"/>
        <v>M</v>
      </c>
      <c r="G1249" s="4">
        <f t="shared" si="158"/>
        <v>4</v>
      </c>
      <c r="H1249" s="4">
        <f t="shared" si="159"/>
        <v>5</v>
      </c>
      <c r="I1249" s="4">
        <f t="shared" si="160"/>
        <v>1</v>
      </c>
      <c r="J1249" s="4">
        <f t="shared" si="161"/>
        <v>13</v>
      </c>
    </row>
    <row r="1250" spans="1:10" x14ac:dyDescent="0.25">
      <c r="A1250">
        <v>1248</v>
      </c>
      <c r="B1250" s="4" t="str">
        <f t="shared" si="156"/>
        <v>NOK</v>
      </c>
      <c r="C1250" t="str">
        <f t="shared" si="153"/>
        <v>D</v>
      </c>
      <c r="D1250" t="str">
        <f t="shared" si="154"/>
        <v>E</v>
      </c>
      <c r="E1250" t="str">
        <f t="shared" si="155"/>
        <v>B</v>
      </c>
      <c r="F1250" s="4" t="str">
        <f t="shared" si="157"/>
        <v>A</v>
      </c>
      <c r="G1250" s="4">
        <f t="shared" si="158"/>
        <v>4</v>
      </c>
      <c r="H1250" s="4">
        <f t="shared" si="159"/>
        <v>5</v>
      </c>
      <c r="I1250" s="4">
        <f t="shared" si="160"/>
        <v>2</v>
      </c>
      <c r="J1250" s="4">
        <f t="shared" si="161"/>
        <v>1</v>
      </c>
    </row>
    <row r="1251" spans="1:10" x14ac:dyDescent="0.25">
      <c r="A1251">
        <v>1249</v>
      </c>
      <c r="B1251" s="4" t="str">
        <f t="shared" si="156"/>
        <v>NOK</v>
      </c>
      <c r="C1251" t="str">
        <f t="shared" si="153"/>
        <v>D</v>
      </c>
      <c r="D1251" t="str">
        <f t="shared" si="154"/>
        <v>E</v>
      </c>
      <c r="E1251" t="str">
        <f t="shared" si="155"/>
        <v>B</v>
      </c>
      <c r="F1251" s="4" t="str">
        <f t="shared" si="157"/>
        <v>B</v>
      </c>
      <c r="G1251" s="4">
        <f t="shared" si="158"/>
        <v>4</v>
      </c>
      <c r="H1251" s="4">
        <f t="shared" si="159"/>
        <v>5</v>
      </c>
      <c r="I1251" s="4">
        <f t="shared" si="160"/>
        <v>2</v>
      </c>
      <c r="J1251" s="4">
        <f t="shared" si="161"/>
        <v>2</v>
      </c>
    </row>
    <row r="1252" spans="1:10" x14ac:dyDescent="0.25">
      <c r="A1252">
        <v>1250</v>
      </c>
      <c r="B1252" s="4" t="str">
        <f t="shared" si="156"/>
        <v>NOK</v>
      </c>
      <c r="C1252" t="str">
        <f t="shared" si="153"/>
        <v>D</v>
      </c>
      <c r="D1252" t="str">
        <f t="shared" si="154"/>
        <v>E</v>
      </c>
      <c r="E1252" t="str">
        <f t="shared" si="155"/>
        <v>B</v>
      </c>
      <c r="F1252" s="4" t="str">
        <f t="shared" si="157"/>
        <v>C</v>
      </c>
      <c r="G1252" s="4">
        <f t="shared" si="158"/>
        <v>4</v>
      </c>
      <c r="H1252" s="4">
        <f t="shared" si="159"/>
        <v>5</v>
      </c>
      <c r="I1252" s="4">
        <f t="shared" si="160"/>
        <v>2</v>
      </c>
      <c r="J1252" s="4">
        <f t="shared" si="161"/>
        <v>3</v>
      </c>
    </row>
    <row r="1253" spans="1:10" x14ac:dyDescent="0.25">
      <c r="A1253">
        <v>1251</v>
      </c>
      <c r="B1253" s="4" t="str">
        <f t="shared" si="156"/>
        <v>NOK</v>
      </c>
      <c r="C1253" t="str">
        <f t="shared" si="153"/>
        <v>D</v>
      </c>
      <c r="D1253" t="str">
        <f t="shared" si="154"/>
        <v>E</v>
      </c>
      <c r="E1253" t="str">
        <f t="shared" si="155"/>
        <v>B</v>
      </c>
      <c r="F1253" s="4" t="str">
        <f t="shared" si="157"/>
        <v>D</v>
      </c>
      <c r="G1253" s="4">
        <f t="shared" si="158"/>
        <v>4</v>
      </c>
      <c r="H1253" s="4">
        <f t="shared" si="159"/>
        <v>5</v>
      </c>
      <c r="I1253" s="4">
        <f t="shared" si="160"/>
        <v>2</v>
      </c>
      <c r="J1253" s="4">
        <f t="shared" si="161"/>
        <v>4</v>
      </c>
    </row>
    <row r="1254" spans="1:10" x14ac:dyDescent="0.25">
      <c r="A1254">
        <v>1252</v>
      </c>
      <c r="B1254" s="4" t="str">
        <f t="shared" si="156"/>
        <v>NOK</v>
      </c>
      <c r="C1254" t="str">
        <f t="shared" si="153"/>
        <v>D</v>
      </c>
      <c r="D1254" t="str">
        <f t="shared" si="154"/>
        <v>E</v>
      </c>
      <c r="E1254" t="str">
        <f t="shared" si="155"/>
        <v>B</v>
      </c>
      <c r="F1254" s="4" t="str">
        <f t="shared" si="157"/>
        <v>E</v>
      </c>
      <c r="G1254" s="4">
        <f t="shared" si="158"/>
        <v>4</v>
      </c>
      <c r="H1254" s="4">
        <f t="shared" si="159"/>
        <v>5</v>
      </c>
      <c r="I1254" s="4">
        <f t="shared" si="160"/>
        <v>2</v>
      </c>
      <c r="J1254" s="4">
        <f t="shared" si="161"/>
        <v>5</v>
      </c>
    </row>
    <row r="1255" spans="1:10" x14ac:dyDescent="0.25">
      <c r="A1255">
        <v>1253</v>
      </c>
      <c r="B1255" s="4" t="str">
        <f t="shared" si="156"/>
        <v>NOK</v>
      </c>
      <c r="C1255" t="str">
        <f t="shared" ref="C1255:C1318" si="162">IF(G1255=1,"A",IF(G1255=2,"B",IF(G1255=3,"C",IF(G1255=4,"D",IF(G1255=5,"E","ERRO")))))</f>
        <v>D</v>
      </c>
      <c r="D1255" t="str">
        <f t="shared" ref="D1255:D1318" si="163">IF(H1255=1,"A",IF(H1255=2,"B",IF(H1255=3,"C",IF(H1255=4,"D",IF(H1255=5,"E","ERRO")))))</f>
        <v>E</v>
      </c>
      <c r="E1255" t="str">
        <f t="shared" ref="E1255:E1318" si="164">IF(I1255=1,"A",IF(I1255=2,"B",IF(I1255=3,"C",IF(I1255=4,"D",IF(I1255=5,"E","ERRO")))))</f>
        <v>B</v>
      </c>
      <c r="F1255" s="4" t="str">
        <f t="shared" si="157"/>
        <v>F</v>
      </c>
      <c r="G1255" s="4">
        <f t="shared" si="158"/>
        <v>4</v>
      </c>
      <c r="H1255" s="4">
        <f t="shared" si="159"/>
        <v>5</v>
      </c>
      <c r="I1255" s="4">
        <f t="shared" si="160"/>
        <v>2</v>
      </c>
      <c r="J1255" s="4">
        <f t="shared" si="161"/>
        <v>6</v>
      </c>
    </row>
    <row r="1256" spans="1:10" x14ac:dyDescent="0.25">
      <c r="A1256">
        <v>1254</v>
      </c>
      <c r="B1256" s="4" t="str">
        <f t="shared" si="156"/>
        <v>NOK</v>
      </c>
      <c r="C1256" t="str">
        <f t="shared" si="162"/>
        <v>D</v>
      </c>
      <c r="D1256" t="str">
        <f t="shared" si="163"/>
        <v>E</v>
      </c>
      <c r="E1256" t="str">
        <f t="shared" si="164"/>
        <v>B</v>
      </c>
      <c r="F1256" s="4" t="str">
        <f t="shared" si="157"/>
        <v>G</v>
      </c>
      <c r="G1256" s="4">
        <f t="shared" si="158"/>
        <v>4</v>
      </c>
      <c r="H1256" s="4">
        <f t="shared" si="159"/>
        <v>5</v>
      </c>
      <c r="I1256" s="4">
        <f t="shared" si="160"/>
        <v>2</v>
      </c>
      <c r="J1256" s="4">
        <f t="shared" si="161"/>
        <v>7</v>
      </c>
    </row>
    <row r="1257" spans="1:10" x14ac:dyDescent="0.25">
      <c r="A1257">
        <v>1255</v>
      </c>
      <c r="B1257" s="4" t="str">
        <f t="shared" si="156"/>
        <v>NOK</v>
      </c>
      <c r="C1257" t="str">
        <f t="shared" si="162"/>
        <v>D</v>
      </c>
      <c r="D1257" t="str">
        <f t="shared" si="163"/>
        <v>E</v>
      </c>
      <c r="E1257" t="str">
        <f t="shared" si="164"/>
        <v>B</v>
      </c>
      <c r="F1257" s="4" t="str">
        <f t="shared" si="157"/>
        <v>H</v>
      </c>
      <c r="G1257" s="4">
        <f t="shared" si="158"/>
        <v>4</v>
      </c>
      <c r="H1257" s="4">
        <f t="shared" si="159"/>
        <v>5</v>
      </c>
      <c r="I1257" s="4">
        <f t="shared" si="160"/>
        <v>2</v>
      </c>
      <c r="J1257" s="4">
        <f t="shared" si="161"/>
        <v>8</v>
      </c>
    </row>
    <row r="1258" spans="1:10" x14ac:dyDescent="0.25">
      <c r="A1258">
        <v>1256</v>
      </c>
      <c r="B1258" s="4" t="str">
        <f t="shared" si="156"/>
        <v>OK</v>
      </c>
      <c r="C1258" t="str">
        <f t="shared" si="162"/>
        <v>D</v>
      </c>
      <c r="D1258" t="str">
        <f t="shared" si="163"/>
        <v>E</v>
      </c>
      <c r="E1258" t="str">
        <f t="shared" si="164"/>
        <v>B</v>
      </c>
      <c r="F1258" s="4" t="str">
        <f t="shared" si="157"/>
        <v>I</v>
      </c>
      <c r="G1258" s="4">
        <f t="shared" si="158"/>
        <v>4</v>
      </c>
      <c r="H1258" s="4">
        <f t="shared" si="159"/>
        <v>5</v>
      </c>
      <c r="I1258" s="4">
        <f t="shared" si="160"/>
        <v>2</v>
      </c>
      <c r="J1258" s="4">
        <f t="shared" si="161"/>
        <v>9</v>
      </c>
    </row>
    <row r="1259" spans="1:10" x14ac:dyDescent="0.25">
      <c r="A1259">
        <v>1257</v>
      </c>
      <c r="B1259" s="4" t="str">
        <f t="shared" si="156"/>
        <v>NOK</v>
      </c>
      <c r="C1259" t="str">
        <f t="shared" si="162"/>
        <v>D</v>
      </c>
      <c r="D1259" t="str">
        <f t="shared" si="163"/>
        <v>E</v>
      </c>
      <c r="E1259" t="str">
        <f t="shared" si="164"/>
        <v>B</v>
      </c>
      <c r="F1259" s="4" t="str">
        <f t="shared" si="157"/>
        <v>J</v>
      </c>
      <c r="G1259" s="4">
        <f t="shared" si="158"/>
        <v>4</v>
      </c>
      <c r="H1259" s="4">
        <f t="shared" si="159"/>
        <v>5</v>
      </c>
      <c r="I1259" s="4">
        <f t="shared" si="160"/>
        <v>2</v>
      </c>
      <c r="J1259" s="4">
        <f t="shared" si="161"/>
        <v>10</v>
      </c>
    </row>
    <row r="1260" spans="1:10" x14ac:dyDescent="0.25">
      <c r="A1260">
        <v>1258</v>
      </c>
      <c r="B1260" s="4" t="str">
        <f t="shared" si="156"/>
        <v>NOK</v>
      </c>
      <c r="C1260" t="str">
        <f t="shared" si="162"/>
        <v>D</v>
      </c>
      <c r="D1260" t="str">
        <f t="shared" si="163"/>
        <v>E</v>
      </c>
      <c r="E1260" t="str">
        <f t="shared" si="164"/>
        <v>B</v>
      </c>
      <c r="F1260" s="4" t="str">
        <f t="shared" si="157"/>
        <v>K</v>
      </c>
      <c r="G1260" s="4">
        <f t="shared" si="158"/>
        <v>4</v>
      </c>
      <c r="H1260" s="4">
        <f t="shared" si="159"/>
        <v>5</v>
      </c>
      <c r="I1260" s="4">
        <f t="shared" si="160"/>
        <v>2</v>
      </c>
      <c r="J1260" s="4">
        <f t="shared" si="161"/>
        <v>11</v>
      </c>
    </row>
    <row r="1261" spans="1:10" x14ac:dyDescent="0.25">
      <c r="A1261">
        <v>1259</v>
      </c>
      <c r="B1261" s="4" t="str">
        <f t="shared" si="156"/>
        <v>NOK</v>
      </c>
      <c r="C1261" t="str">
        <f t="shared" si="162"/>
        <v>D</v>
      </c>
      <c r="D1261" t="str">
        <f t="shared" si="163"/>
        <v>E</v>
      </c>
      <c r="E1261" t="str">
        <f t="shared" si="164"/>
        <v>B</v>
      </c>
      <c r="F1261" s="4" t="str">
        <f t="shared" si="157"/>
        <v>L</v>
      </c>
      <c r="G1261" s="4">
        <f t="shared" si="158"/>
        <v>4</v>
      </c>
      <c r="H1261" s="4">
        <f t="shared" si="159"/>
        <v>5</v>
      </c>
      <c r="I1261" s="4">
        <f t="shared" si="160"/>
        <v>2</v>
      </c>
      <c r="J1261" s="4">
        <f t="shared" si="161"/>
        <v>12</v>
      </c>
    </row>
    <row r="1262" spans="1:10" x14ac:dyDescent="0.25">
      <c r="A1262">
        <v>1260</v>
      </c>
      <c r="B1262" s="4" t="str">
        <f t="shared" si="156"/>
        <v>NOK</v>
      </c>
      <c r="C1262" t="str">
        <f t="shared" si="162"/>
        <v>D</v>
      </c>
      <c r="D1262" t="str">
        <f t="shared" si="163"/>
        <v>E</v>
      </c>
      <c r="E1262" t="str">
        <f t="shared" si="164"/>
        <v>B</v>
      </c>
      <c r="F1262" s="4" t="str">
        <f t="shared" si="157"/>
        <v>M</v>
      </c>
      <c r="G1262" s="4">
        <f t="shared" si="158"/>
        <v>4</v>
      </c>
      <c r="H1262" s="4">
        <f t="shared" si="159"/>
        <v>5</v>
      </c>
      <c r="I1262" s="4">
        <f t="shared" si="160"/>
        <v>2</v>
      </c>
      <c r="J1262" s="4">
        <f t="shared" si="161"/>
        <v>13</v>
      </c>
    </row>
    <row r="1263" spans="1:10" x14ac:dyDescent="0.25">
      <c r="A1263">
        <v>1261</v>
      </c>
      <c r="B1263" s="4" t="str">
        <f t="shared" si="156"/>
        <v>NOK</v>
      </c>
      <c r="C1263" t="str">
        <f t="shared" si="162"/>
        <v>D</v>
      </c>
      <c r="D1263" t="str">
        <f t="shared" si="163"/>
        <v>E</v>
      </c>
      <c r="E1263" t="str">
        <f t="shared" si="164"/>
        <v>C</v>
      </c>
      <c r="F1263" s="4" t="str">
        <f t="shared" si="157"/>
        <v>A</v>
      </c>
      <c r="G1263" s="4">
        <f t="shared" si="158"/>
        <v>4</v>
      </c>
      <c r="H1263" s="4">
        <f t="shared" si="159"/>
        <v>5</v>
      </c>
      <c r="I1263" s="4">
        <f t="shared" si="160"/>
        <v>3</v>
      </c>
      <c r="J1263" s="4">
        <f t="shared" si="161"/>
        <v>1</v>
      </c>
    </row>
    <row r="1264" spans="1:10" x14ac:dyDescent="0.25">
      <c r="A1264">
        <v>1262</v>
      </c>
      <c r="B1264" s="4" t="str">
        <f t="shared" si="156"/>
        <v>NOK</v>
      </c>
      <c r="C1264" t="str">
        <f t="shared" si="162"/>
        <v>D</v>
      </c>
      <c r="D1264" t="str">
        <f t="shared" si="163"/>
        <v>E</v>
      </c>
      <c r="E1264" t="str">
        <f t="shared" si="164"/>
        <v>C</v>
      </c>
      <c r="F1264" s="4" t="str">
        <f t="shared" si="157"/>
        <v>B</v>
      </c>
      <c r="G1264" s="4">
        <f t="shared" si="158"/>
        <v>4</v>
      </c>
      <c r="H1264" s="4">
        <f t="shared" si="159"/>
        <v>5</v>
      </c>
      <c r="I1264" s="4">
        <f t="shared" si="160"/>
        <v>3</v>
      </c>
      <c r="J1264" s="4">
        <f t="shared" si="161"/>
        <v>2</v>
      </c>
    </row>
    <row r="1265" spans="1:10" x14ac:dyDescent="0.25">
      <c r="A1265">
        <v>1263</v>
      </c>
      <c r="B1265" s="4" t="str">
        <f t="shared" si="156"/>
        <v>NOK</v>
      </c>
      <c r="C1265" t="str">
        <f t="shared" si="162"/>
        <v>D</v>
      </c>
      <c r="D1265" t="str">
        <f t="shared" si="163"/>
        <v>E</v>
      </c>
      <c r="E1265" t="str">
        <f t="shared" si="164"/>
        <v>C</v>
      </c>
      <c r="F1265" s="4" t="str">
        <f t="shared" si="157"/>
        <v>C</v>
      </c>
      <c r="G1265" s="4">
        <f t="shared" si="158"/>
        <v>4</v>
      </c>
      <c r="H1265" s="4">
        <f t="shared" si="159"/>
        <v>5</v>
      </c>
      <c r="I1265" s="4">
        <f t="shared" si="160"/>
        <v>3</v>
      </c>
      <c r="J1265" s="4">
        <f t="shared" si="161"/>
        <v>3</v>
      </c>
    </row>
    <row r="1266" spans="1:10" x14ac:dyDescent="0.25">
      <c r="A1266">
        <v>1264</v>
      </c>
      <c r="B1266" s="4" t="str">
        <f t="shared" si="156"/>
        <v>NOK</v>
      </c>
      <c r="C1266" t="str">
        <f t="shared" si="162"/>
        <v>D</v>
      </c>
      <c r="D1266" t="str">
        <f t="shared" si="163"/>
        <v>E</v>
      </c>
      <c r="E1266" t="str">
        <f t="shared" si="164"/>
        <v>C</v>
      </c>
      <c r="F1266" s="4" t="str">
        <f t="shared" si="157"/>
        <v>D</v>
      </c>
      <c r="G1266" s="4">
        <f t="shared" si="158"/>
        <v>4</v>
      </c>
      <c r="H1266" s="4">
        <f t="shared" si="159"/>
        <v>5</v>
      </c>
      <c r="I1266" s="4">
        <f t="shared" si="160"/>
        <v>3</v>
      </c>
      <c r="J1266" s="4">
        <f t="shared" si="161"/>
        <v>4</v>
      </c>
    </row>
    <row r="1267" spans="1:10" x14ac:dyDescent="0.25">
      <c r="A1267">
        <v>1265</v>
      </c>
      <c r="B1267" s="4" t="str">
        <f t="shared" si="156"/>
        <v>NOK</v>
      </c>
      <c r="C1267" t="str">
        <f t="shared" si="162"/>
        <v>D</v>
      </c>
      <c r="D1267" t="str">
        <f t="shared" si="163"/>
        <v>E</v>
      </c>
      <c r="E1267" t="str">
        <f t="shared" si="164"/>
        <v>C</v>
      </c>
      <c r="F1267" s="4" t="str">
        <f t="shared" si="157"/>
        <v>E</v>
      </c>
      <c r="G1267" s="4">
        <f t="shared" si="158"/>
        <v>4</v>
      </c>
      <c r="H1267" s="4">
        <f t="shared" si="159"/>
        <v>5</v>
      </c>
      <c r="I1267" s="4">
        <f t="shared" si="160"/>
        <v>3</v>
      </c>
      <c r="J1267" s="4">
        <f t="shared" si="161"/>
        <v>5</v>
      </c>
    </row>
    <row r="1268" spans="1:10" x14ac:dyDescent="0.25">
      <c r="A1268">
        <v>1266</v>
      </c>
      <c r="B1268" s="4" t="str">
        <f t="shared" si="156"/>
        <v>NOK</v>
      </c>
      <c r="C1268" t="str">
        <f t="shared" si="162"/>
        <v>D</v>
      </c>
      <c r="D1268" t="str">
        <f t="shared" si="163"/>
        <v>E</v>
      </c>
      <c r="E1268" t="str">
        <f t="shared" si="164"/>
        <v>C</v>
      </c>
      <c r="F1268" s="4" t="str">
        <f t="shared" si="157"/>
        <v>F</v>
      </c>
      <c r="G1268" s="4">
        <f t="shared" si="158"/>
        <v>4</v>
      </c>
      <c r="H1268" s="4">
        <f t="shared" si="159"/>
        <v>5</v>
      </c>
      <c r="I1268" s="4">
        <f t="shared" si="160"/>
        <v>3</v>
      </c>
      <c r="J1268" s="4">
        <f t="shared" si="161"/>
        <v>6</v>
      </c>
    </row>
    <row r="1269" spans="1:10" x14ac:dyDescent="0.25">
      <c r="A1269">
        <v>1267</v>
      </c>
      <c r="B1269" s="4" t="str">
        <f t="shared" si="156"/>
        <v>NOK</v>
      </c>
      <c r="C1269" t="str">
        <f t="shared" si="162"/>
        <v>D</v>
      </c>
      <c r="D1269" t="str">
        <f t="shared" si="163"/>
        <v>E</v>
      </c>
      <c r="E1269" t="str">
        <f t="shared" si="164"/>
        <v>C</v>
      </c>
      <c r="F1269" s="4" t="str">
        <f t="shared" si="157"/>
        <v>G</v>
      </c>
      <c r="G1269" s="4">
        <f t="shared" si="158"/>
        <v>4</v>
      </c>
      <c r="H1269" s="4">
        <f t="shared" si="159"/>
        <v>5</v>
      </c>
      <c r="I1269" s="4">
        <f t="shared" si="160"/>
        <v>3</v>
      </c>
      <c r="J1269" s="4">
        <f t="shared" si="161"/>
        <v>7</v>
      </c>
    </row>
    <row r="1270" spans="1:10" x14ac:dyDescent="0.25">
      <c r="A1270">
        <v>1268</v>
      </c>
      <c r="B1270" s="4" t="str">
        <f t="shared" si="156"/>
        <v>NOK</v>
      </c>
      <c r="C1270" t="str">
        <f t="shared" si="162"/>
        <v>D</v>
      </c>
      <c r="D1270" t="str">
        <f t="shared" si="163"/>
        <v>E</v>
      </c>
      <c r="E1270" t="str">
        <f t="shared" si="164"/>
        <v>C</v>
      </c>
      <c r="F1270" s="4" t="str">
        <f t="shared" si="157"/>
        <v>H</v>
      </c>
      <c r="G1270" s="4">
        <f t="shared" si="158"/>
        <v>4</v>
      </c>
      <c r="H1270" s="4">
        <f t="shared" si="159"/>
        <v>5</v>
      </c>
      <c r="I1270" s="4">
        <f t="shared" si="160"/>
        <v>3</v>
      </c>
      <c r="J1270" s="4">
        <f t="shared" si="161"/>
        <v>8</v>
      </c>
    </row>
    <row r="1271" spans="1:10" x14ac:dyDescent="0.25">
      <c r="A1271">
        <v>1269</v>
      </c>
      <c r="B1271" s="4" t="str">
        <f t="shared" si="156"/>
        <v>NOK</v>
      </c>
      <c r="C1271" t="str">
        <f t="shared" si="162"/>
        <v>D</v>
      </c>
      <c r="D1271" t="str">
        <f t="shared" si="163"/>
        <v>E</v>
      </c>
      <c r="E1271" t="str">
        <f t="shared" si="164"/>
        <v>C</v>
      </c>
      <c r="F1271" s="4" t="str">
        <f t="shared" si="157"/>
        <v>I</v>
      </c>
      <c r="G1271" s="4">
        <f t="shared" si="158"/>
        <v>4</v>
      </c>
      <c r="H1271" s="4">
        <f t="shared" si="159"/>
        <v>5</v>
      </c>
      <c r="I1271" s="4">
        <f t="shared" si="160"/>
        <v>3</v>
      </c>
      <c r="J1271" s="4">
        <f t="shared" si="161"/>
        <v>9</v>
      </c>
    </row>
    <row r="1272" spans="1:10" x14ac:dyDescent="0.25">
      <c r="A1272">
        <v>1270</v>
      </c>
      <c r="B1272" s="4" t="str">
        <f t="shared" si="156"/>
        <v>OK</v>
      </c>
      <c r="C1272" t="str">
        <f t="shared" si="162"/>
        <v>D</v>
      </c>
      <c r="D1272" t="str">
        <f t="shared" si="163"/>
        <v>E</v>
      </c>
      <c r="E1272" t="str">
        <f t="shared" si="164"/>
        <v>C</v>
      </c>
      <c r="F1272" s="4" t="str">
        <f t="shared" si="157"/>
        <v>J</v>
      </c>
      <c r="G1272" s="4">
        <f t="shared" si="158"/>
        <v>4</v>
      </c>
      <c r="H1272" s="4">
        <f t="shared" si="159"/>
        <v>5</v>
      </c>
      <c r="I1272" s="4">
        <f t="shared" si="160"/>
        <v>3</v>
      </c>
      <c r="J1272" s="4">
        <f t="shared" si="161"/>
        <v>10</v>
      </c>
    </row>
    <row r="1273" spans="1:10" x14ac:dyDescent="0.25">
      <c r="A1273">
        <v>1271</v>
      </c>
      <c r="B1273" s="4" t="str">
        <f t="shared" si="156"/>
        <v>NOK</v>
      </c>
      <c r="C1273" t="str">
        <f t="shared" si="162"/>
        <v>D</v>
      </c>
      <c r="D1273" t="str">
        <f t="shared" si="163"/>
        <v>E</v>
      </c>
      <c r="E1273" t="str">
        <f t="shared" si="164"/>
        <v>C</v>
      </c>
      <c r="F1273" s="4" t="str">
        <f t="shared" si="157"/>
        <v>K</v>
      </c>
      <c r="G1273" s="4">
        <f t="shared" si="158"/>
        <v>4</v>
      </c>
      <c r="H1273" s="4">
        <f t="shared" si="159"/>
        <v>5</v>
      </c>
      <c r="I1273" s="4">
        <f t="shared" si="160"/>
        <v>3</v>
      </c>
      <c r="J1273" s="4">
        <f t="shared" si="161"/>
        <v>11</v>
      </c>
    </row>
    <row r="1274" spans="1:10" x14ac:dyDescent="0.25">
      <c r="A1274">
        <v>1272</v>
      </c>
      <c r="B1274" s="4" t="str">
        <f t="shared" si="156"/>
        <v>NOK</v>
      </c>
      <c r="C1274" t="str">
        <f t="shared" si="162"/>
        <v>D</v>
      </c>
      <c r="D1274" t="str">
        <f t="shared" si="163"/>
        <v>E</v>
      </c>
      <c r="E1274" t="str">
        <f t="shared" si="164"/>
        <v>C</v>
      </c>
      <c r="F1274" s="4" t="str">
        <f t="shared" si="157"/>
        <v>L</v>
      </c>
      <c r="G1274" s="4">
        <f t="shared" si="158"/>
        <v>4</v>
      </c>
      <c r="H1274" s="4">
        <f t="shared" si="159"/>
        <v>5</v>
      </c>
      <c r="I1274" s="4">
        <f t="shared" si="160"/>
        <v>3</v>
      </c>
      <c r="J1274" s="4">
        <f t="shared" si="161"/>
        <v>12</v>
      </c>
    </row>
    <row r="1275" spans="1:10" x14ac:dyDescent="0.25">
      <c r="A1275">
        <v>1273</v>
      </c>
      <c r="B1275" s="4" t="str">
        <f t="shared" si="156"/>
        <v>NOK</v>
      </c>
      <c r="C1275" t="str">
        <f t="shared" si="162"/>
        <v>D</v>
      </c>
      <c r="D1275" t="str">
        <f t="shared" si="163"/>
        <v>E</v>
      </c>
      <c r="E1275" t="str">
        <f t="shared" si="164"/>
        <v>C</v>
      </c>
      <c r="F1275" s="4" t="str">
        <f t="shared" si="157"/>
        <v>M</v>
      </c>
      <c r="G1275" s="4">
        <f t="shared" si="158"/>
        <v>4</v>
      </c>
      <c r="H1275" s="4">
        <f t="shared" si="159"/>
        <v>5</v>
      </c>
      <c r="I1275" s="4">
        <f t="shared" si="160"/>
        <v>3</v>
      </c>
      <c r="J1275" s="4">
        <f t="shared" si="161"/>
        <v>13</v>
      </c>
    </row>
    <row r="1276" spans="1:10" x14ac:dyDescent="0.25">
      <c r="A1276">
        <v>1274</v>
      </c>
      <c r="B1276" s="4" t="str">
        <f t="shared" si="156"/>
        <v>NOK</v>
      </c>
      <c r="C1276" t="str">
        <f t="shared" si="162"/>
        <v>D</v>
      </c>
      <c r="D1276" t="str">
        <f t="shared" si="163"/>
        <v>E</v>
      </c>
      <c r="E1276" t="str">
        <f t="shared" si="164"/>
        <v>D</v>
      </c>
      <c r="F1276" s="4" t="str">
        <f t="shared" si="157"/>
        <v>A</v>
      </c>
      <c r="G1276" s="4">
        <f t="shared" si="158"/>
        <v>4</v>
      </c>
      <c r="H1276" s="4">
        <f t="shared" si="159"/>
        <v>5</v>
      </c>
      <c r="I1276" s="4">
        <f t="shared" si="160"/>
        <v>4</v>
      </c>
      <c r="J1276" s="4">
        <f t="shared" si="161"/>
        <v>1</v>
      </c>
    </row>
    <row r="1277" spans="1:10" x14ac:dyDescent="0.25">
      <c r="A1277">
        <v>1275</v>
      </c>
      <c r="B1277" s="4" t="str">
        <f t="shared" si="156"/>
        <v>NOK</v>
      </c>
      <c r="C1277" t="str">
        <f t="shared" si="162"/>
        <v>D</v>
      </c>
      <c r="D1277" t="str">
        <f t="shared" si="163"/>
        <v>E</v>
      </c>
      <c r="E1277" t="str">
        <f t="shared" si="164"/>
        <v>D</v>
      </c>
      <c r="F1277" s="4" t="str">
        <f t="shared" si="157"/>
        <v>B</v>
      </c>
      <c r="G1277" s="4">
        <f t="shared" si="158"/>
        <v>4</v>
      </c>
      <c r="H1277" s="4">
        <f t="shared" si="159"/>
        <v>5</v>
      </c>
      <c r="I1277" s="4">
        <f t="shared" si="160"/>
        <v>4</v>
      </c>
      <c r="J1277" s="4">
        <f t="shared" si="161"/>
        <v>2</v>
      </c>
    </row>
    <row r="1278" spans="1:10" x14ac:dyDescent="0.25">
      <c r="A1278">
        <v>1276</v>
      </c>
      <c r="B1278" s="4" t="str">
        <f t="shared" si="156"/>
        <v>NOK</v>
      </c>
      <c r="C1278" t="str">
        <f t="shared" si="162"/>
        <v>D</v>
      </c>
      <c r="D1278" t="str">
        <f t="shared" si="163"/>
        <v>E</v>
      </c>
      <c r="E1278" t="str">
        <f t="shared" si="164"/>
        <v>D</v>
      </c>
      <c r="F1278" s="4" t="str">
        <f t="shared" si="157"/>
        <v>C</v>
      </c>
      <c r="G1278" s="4">
        <f t="shared" si="158"/>
        <v>4</v>
      </c>
      <c r="H1278" s="4">
        <f t="shared" si="159"/>
        <v>5</v>
      </c>
      <c r="I1278" s="4">
        <f t="shared" si="160"/>
        <v>4</v>
      </c>
      <c r="J1278" s="4">
        <f t="shared" si="161"/>
        <v>3</v>
      </c>
    </row>
    <row r="1279" spans="1:10" x14ac:dyDescent="0.25">
      <c r="A1279">
        <v>1277</v>
      </c>
      <c r="B1279" s="4" t="str">
        <f t="shared" si="156"/>
        <v>NOK</v>
      </c>
      <c r="C1279" t="str">
        <f t="shared" si="162"/>
        <v>D</v>
      </c>
      <c r="D1279" t="str">
        <f t="shared" si="163"/>
        <v>E</v>
      </c>
      <c r="E1279" t="str">
        <f t="shared" si="164"/>
        <v>D</v>
      </c>
      <c r="F1279" s="4" t="str">
        <f t="shared" si="157"/>
        <v>D</v>
      </c>
      <c r="G1279" s="4">
        <f t="shared" si="158"/>
        <v>4</v>
      </c>
      <c r="H1279" s="4">
        <f t="shared" si="159"/>
        <v>5</v>
      </c>
      <c r="I1279" s="4">
        <f t="shared" si="160"/>
        <v>4</v>
      </c>
      <c r="J1279" s="4">
        <f t="shared" si="161"/>
        <v>4</v>
      </c>
    </row>
    <row r="1280" spans="1:10" x14ac:dyDescent="0.25">
      <c r="A1280">
        <v>1278</v>
      </c>
      <c r="B1280" s="4" t="str">
        <f t="shared" si="156"/>
        <v>NOK</v>
      </c>
      <c r="C1280" t="str">
        <f t="shared" si="162"/>
        <v>D</v>
      </c>
      <c r="D1280" t="str">
        <f t="shared" si="163"/>
        <v>E</v>
      </c>
      <c r="E1280" t="str">
        <f t="shared" si="164"/>
        <v>D</v>
      </c>
      <c r="F1280" s="4" t="str">
        <f t="shared" si="157"/>
        <v>E</v>
      </c>
      <c r="G1280" s="4">
        <f t="shared" si="158"/>
        <v>4</v>
      </c>
      <c r="H1280" s="4">
        <f t="shared" si="159"/>
        <v>5</v>
      </c>
      <c r="I1280" s="4">
        <f t="shared" si="160"/>
        <v>4</v>
      </c>
      <c r="J1280" s="4">
        <f t="shared" si="161"/>
        <v>5</v>
      </c>
    </row>
    <row r="1281" spans="1:10" x14ac:dyDescent="0.25">
      <c r="A1281">
        <v>1279</v>
      </c>
      <c r="B1281" s="4" t="str">
        <f t="shared" si="156"/>
        <v>NOK</v>
      </c>
      <c r="C1281" t="str">
        <f t="shared" si="162"/>
        <v>D</v>
      </c>
      <c r="D1281" t="str">
        <f t="shared" si="163"/>
        <v>E</v>
      </c>
      <c r="E1281" t="str">
        <f t="shared" si="164"/>
        <v>D</v>
      </c>
      <c r="F1281" s="4" t="str">
        <f t="shared" si="157"/>
        <v>F</v>
      </c>
      <c r="G1281" s="4">
        <f t="shared" si="158"/>
        <v>4</v>
      </c>
      <c r="H1281" s="4">
        <f t="shared" si="159"/>
        <v>5</v>
      </c>
      <c r="I1281" s="4">
        <f t="shared" si="160"/>
        <v>4</v>
      </c>
      <c r="J1281" s="4">
        <f t="shared" si="161"/>
        <v>6</v>
      </c>
    </row>
    <row r="1282" spans="1:10" x14ac:dyDescent="0.25">
      <c r="A1282">
        <v>1280</v>
      </c>
      <c r="B1282" s="4" t="str">
        <f t="shared" ref="B1282:B1345" si="165">IF(ROUND(_xlfn.XLOOKUP(C1282,$U$1:$U$5,$T$1:$T$5,,0,1)+_xlfn.XLOOKUP(D1282,$W$1:$W$5,$V$1:$V$5,,0,1)+_xlfn.XLOOKUP(E1282,$Y$1:$Y$5,$X$1:$X$5,,0,1)-_xlfn.XLOOKUP(F1282,$AA$1:$AA$13,$Z$1:$Z$13,,0,1),3)=0.325,"OK","NOK")</f>
        <v>NOK</v>
      </c>
      <c r="C1282" t="str">
        <f t="shared" si="162"/>
        <v>D</v>
      </c>
      <c r="D1282" t="str">
        <f t="shared" si="163"/>
        <v>E</v>
      </c>
      <c r="E1282" t="str">
        <f t="shared" si="164"/>
        <v>D</v>
      </c>
      <c r="F1282" s="4" t="str">
        <f t="shared" ref="F1282:F1345" si="166">IF(J1282=1,"A",IF(J1282=2,"B",IF(J1282=3,"C",IF(J1282=4,"D",IF(J1282=5,"E",IF(J1282=6,"F",IF(J1282=7,"G",IF(J1282=8,"H",IF(J1282=9,"I",IF(J1282=10,"J",IF(J1282=11,"K",IF(J1282=12,"L",IF(J1282=13,"M","ERRO")))))))))))))</f>
        <v>G</v>
      </c>
      <c r="G1282" s="4">
        <f t="shared" ref="G1282:G1345" si="167">INT($A1282/325)+1</f>
        <v>4</v>
      </c>
      <c r="H1282" s="4">
        <f t="shared" ref="H1282:H1345" si="168">INT(MOD($A1282,325)/65)+1</f>
        <v>5</v>
      </c>
      <c r="I1282" s="4">
        <f t="shared" ref="I1282:I1345" si="169">INT(MOD($A1282,65)/13)+1</f>
        <v>4</v>
      </c>
      <c r="J1282" s="4">
        <f t="shared" ref="J1282:J1345" si="170">MOD($A1282,13)+1</f>
        <v>7</v>
      </c>
    </row>
    <row r="1283" spans="1:10" x14ac:dyDescent="0.25">
      <c r="A1283">
        <v>1281</v>
      </c>
      <c r="B1283" s="4" t="str">
        <f t="shared" si="165"/>
        <v>NOK</v>
      </c>
      <c r="C1283" t="str">
        <f t="shared" si="162"/>
        <v>D</v>
      </c>
      <c r="D1283" t="str">
        <f t="shared" si="163"/>
        <v>E</v>
      </c>
      <c r="E1283" t="str">
        <f t="shared" si="164"/>
        <v>D</v>
      </c>
      <c r="F1283" s="4" t="str">
        <f t="shared" si="166"/>
        <v>H</v>
      </c>
      <c r="G1283" s="4">
        <f t="shared" si="167"/>
        <v>4</v>
      </c>
      <c r="H1283" s="4">
        <f t="shared" si="168"/>
        <v>5</v>
      </c>
      <c r="I1283" s="4">
        <f t="shared" si="169"/>
        <v>4</v>
      </c>
      <c r="J1283" s="4">
        <f t="shared" si="170"/>
        <v>8</v>
      </c>
    </row>
    <row r="1284" spans="1:10" x14ac:dyDescent="0.25">
      <c r="A1284">
        <v>1282</v>
      </c>
      <c r="B1284" s="4" t="str">
        <f t="shared" si="165"/>
        <v>NOK</v>
      </c>
      <c r="C1284" t="str">
        <f t="shared" si="162"/>
        <v>D</v>
      </c>
      <c r="D1284" t="str">
        <f t="shared" si="163"/>
        <v>E</v>
      </c>
      <c r="E1284" t="str">
        <f t="shared" si="164"/>
        <v>D</v>
      </c>
      <c r="F1284" s="4" t="str">
        <f t="shared" si="166"/>
        <v>I</v>
      </c>
      <c r="G1284" s="4">
        <f t="shared" si="167"/>
        <v>4</v>
      </c>
      <c r="H1284" s="4">
        <f t="shared" si="168"/>
        <v>5</v>
      </c>
      <c r="I1284" s="4">
        <f t="shared" si="169"/>
        <v>4</v>
      </c>
      <c r="J1284" s="4">
        <f t="shared" si="170"/>
        <v>9</v>
      </c>
    </row>
    <row r="1285" spans="1:10" x14ac:dyDescent="0.25">
      <c r="A1285">
        <v>1283</v>
      </c>
      <c r="B1285" s="4" t="str">
        <f t="shared" si="165"/>
        <v>NOK</v>
      </c>
      <c r="C1285" t="str">
        <f t="shared" si="162"/>
        <v>D</v>
      </c>
      <c r="D1285" t="str">
        <f t="shared" si="163"/>
        <v>E</v>
      </c>
      <c r="E1285" t="str">
        <f t="shared" si="164"/>
        <v>D</v>
      </c>
      <c r="F1285" s="4" t="str">
        <f t="shared" si="166"/>
        <v>J</v>
      </c>
      <c r="G1285" s="4">
        <f t="shared" si="167"/>
        <v>4</v>
      </c>
      <c r="H1285" s="4">
        <f t="shared" si="168"/>
        <v>5</v>
      </c>
      <c r="I1285" s="4">
        <f t="shared" si="169"/>
        <v>4</v>
      </c>
      <c r="J1285" s="4">
        <f t="shared" si="170"/>
        <v>10</v>
      </c>
    </row>
    <row r="1286" spans="1:10" x14ac:dyDescent="0.25">
      <c r="A1286">
        <v>1284</v>
      </c>
      <c r="B1286" s="4" t="str">
        <f t="shared" si="165"/>
        <v>OK</v>
      </c>
      <c r="C1286" t="str">
        <f t="shared" si="162"/>
        <v>D</v>
      </c>
      <c r="D1286" t="str">
        <f t="shared" si="163"/>
        <v>E</v>
      </c>
      <c r="E1286" t="str">
        <f t="shared" si="164"/>
        <v>D</v>
      </c>
      <c r="F1286" s="4" t="str">
        <f t="shared" si="166"/>
        <v>K</v>
      </c>
      <c r="G1286" s="4">
        <f t="shared" si="167"/>
        <v>4</v>
      </c>
      <c r="H1286" s="4">
        <f t="shared" si="168"/>
        <v>5</v>
      </c>
      <c r="I1286" s="4">
        <f t="shared" si="169"/>
        <v>4</v>
      </c>
      <c r="J1286" s="4">
        <f t="shared" si="170"/>
        <v>11</v>
      </c>
    </row>
    <row r="1287" spans="1:10" x14ac:dyDescent="0.25">
      <c r="A1287">
        <v>1285</v>
      </c>
      <c r="B1287" s="4" t="str">
        <f t="shared" si="165"/>
        <v>NOK</v>
      </c>
      <c r="C1287" t="str">
        <f t="shared" si="162"/>
        <v>D</v>
      </c>
      <c r="D1287" t="str">
        <f t="shared" si="163"/>
        <v>E</v>
      </c>
      <c r="E1287" t="str">
        <f t="shared" si="164"/>
        <v>D</v>
      </c>
      <c r="F1287" s="4" t="str">
        <f t="shared" si="166"/>
        <v>L</v>
      </c>
      <c r="G1287" s="4">
        <f t="shared" si="167"/>
        <v>4</v>
      </c>
      <c r="H1287" s="4">
        <f t="shared" si="168"/>
        <v>5</v>
      </c>
      <c r="I1287" s="4">
        <f t="shared" si="169"/>
        <v>4</v>
      </c>
      <c r="J1287" s="4">
        <f t="shared" si="170"/>
        <v>12</v>
      </c>
    </row>
    <row r="1288" spans="1:10" x14ac:dyDescent="0.25">
      <c r="A1288">
        <v>1286</v>
      </c>
      <c r="B1288" s="4" t="str">
        <f t="shared" si="165"/>
        <v>NOK</v>
      </c>
      <c r="C1288" t="str">
        <f t="shared" si="162"/>
        <v>D</v>
      </c>
      <c r="D1288" t="str">
        <f t="shared" si="163"/>
        <v>E</v>
      </c>
      <c r="E1288" t="str">
        <f t="shared" si="164"/>
        <v>D</v>
      </c>
      <c r="F1288" s="4" t="str">
        <f t="shared" si="166"/>
        <v>M</v>
      </c>
      <c r="G1288" s="4">
        <f t="shared" si="167"/>
        <v>4</v>
      </c>
      <c r="H1288" s="4">
        <f t="shared" si="168"/>
        <v>5</v>
      </c>
      <c r="I1288" s="4">
        <f t="shared" si="169"/>
        <v>4</v>
      </c>
      <c r="J1288" s="4">
        <f t="shared" si="170"/>
        <v>13</v>
      </c>
    </row>
    <row r="1289" spans="1:10" x14ac:dyDescent="0.25">
      <c r="A1289">
        <v>1287</v>
      </c>
      <c r="B1289" s="4" t="str">
        <f t="shared" si="165"/>
        <v>NOK</v>
      </c>
      <c r="C1289" t="str">
        <f t="shared" si="162"/>
        <v>D</v>
      </c>
      <c r="D1289" t="str">
        <f t="shared" si="163"/>
        <v>E</v>
      </c>
      <c r="E1289" t="str">
        <f t="shared" si="164"/>
        <v>E</v>
      </c>
      <c r="F1289" s="4" t="str">
        <f t="shared" si="166"/>
        <v>A</v>
      </c>
      <c r="G1289" s="4">
        <f t="shared" si="167"/>
        <v>4</v>
      </c>
      <c r="H1289" s="4">
        <f t="shared" si="168"/>
        <v>5</v>
      </c>
      <c r="I1289" s="4">
        <f t="shared" si="169"/>
        <v>5</v>
      </c>
      <c r="J1289" s="4">
        <f t="shared" si="170"/>
        <v>1</v>
      </c>
    </row>
    <row r="1290" spans="1:10" x14ac:dyDescent="0.25">
      <c r="A1290">
        <v>1288</v>
      </c>
      <c r="B1290" s="4" t="str">
        <f t="shared" si="165"/>
        <v>NOK</v>
      </c>
      <c r="C1290" t="str">
        <f t="shared" si="162"/>
        <v>D</v>
      </c>
      <c r="D1290" t="str">
        <f t="shared" si="163"/>
        <v>E</v>
      </c>
      <c r="E1290" t="str">
        <f t="shared" si="164"/>
        <v>E</v>
      </c>
      <c r="F1290" s="4" t="str">
        <f t="shared" si="166"/>
        <v>B</v>
      </c>
      <c r="G1290" s="4">
        <f t="shared" si="167"/>
        <v>4</v>
      </c>
      <c r="H1290" s="4">
        <f t="shared" si="168"/>
        <v>5</v>
      </c>
      <c r="I1290" s="4">
        <f t="shared" si="169"/>
        <v>5</v>
      </c>
      <c r="J1290" s="4">
        <f t="shared" si="170"/>
        <v>2</v>
      </c>
    </row>
    <row r="1291" spans="1:10" x14ac:dyDescent="0.25">
      <c r="A1291">
        <v>1289</v>
      </c>
      <c r="B1291" s="4" t="str">
        <f t="shared" si="165"/>
        <v>NOK</v>
      </c>
      <c r="C1291" t="str">
        <f t="shared" si="162"/>
        <v>D</v>
      </c>
      <c r="D1291" t="str">
        <f t="shared" si="163"/>
        <v>E</v>
      </c>
      <c r="E1291" t="str">
        <f t="shared" si="164"/>
        <v>E</v>
      </c>
      <c r="F1291" s="4" t="str">
        <f t="shared" si="166"/>
        <v>C</v>
      </c>
      <c r="G1291" s="4">
        <f t="shared" si="167"/>
        <v>4</v>
      </c>
      <c r="H1291" s="4">
        <f t="shared" si="168"/>
        <v>5</v>
      </c>
      <c r="I1291" s="4">
        <f t="shared" si="169"/>
        <v>5</v>
      </c>
      <c r="J1291" s="4">
        <f t="shared" si="170"/>
        <v>3</v>
      </c>
    </row>
    <row r="1292" spans="1:10" x14ac:dyDescent="0.25">
      <c r="A1292">
        <v>1290</v>
      </c>
      <c r="B1292" s="4" t="str">
        <f t="shared" si="165"/>
        <v>NOK</v>
      </c>
      <c r="C1292" t="str">
        <f t="shared" si="162"/>
        <v>D</v>
      </c>
      <c r="D1292" t="str">
        <f t="shared" si="163"/>
        <v>E</v>
      </c>
      <c r="E1292" t="str">
        <f t="shared" si="164"/>
        <v>E</v>
      </c>
      <c r="F1292" s="4" t="str">
        <f t="shared" si="166"/>
        <v>D</v>
      </c>
      <c r="G1292" s="4">
        <f t="shared" si="167"/>
        <v>4</v>
      </c>
      <c r="H1292" s="4">
        <f t="shared" si="168"/>
        <v>5</v>
      </c>
      <c r="I1292" s="4">
        <f t="shared" si="169"/>
        <v>5</v>
      </c>
      <c r="J1292" s="4">
        <f t="shared" si="170"/>
        <v>4</v>
      </c>
    </row>
    <row r="1293" spans="1:10" x14ac:dyDescent="0.25">
      <c r="A1293">
        <v>1291</v>
      </c>
      <c r="B1293" s="4" t="str">
        <f t="shared" si="165"/>
        <v>NOK</v>
      </c>
      <c r="C1293" t="str">
        <f t="shared" si="162"/>
        <v>D</v>
      </c>
      <c r="D1293" t="str">
        <f t="shared" si="163"/>
        <v>E</v>
      </c>
      <c r="E1293" t="str">
        <f t="shared" si="164"/>
        <v>E</v>
      </c>
      <c r="F1293" s="4" t="str">
        <f t="shared" si="166"/>
        <v>E</v>
      </c>
      <c r="G1293" s="4">
        <f t="shared" si="167"/>
        <v>4</v>
      </c>
      <c r="H1293" s="4">
        <f t="shared" si="168"/>
        <v>5</v>
      </c>
      <c r="I1293" s="4">
        <f t="shared" si="169"/>
        <v>5</v>
      </c>
      <c r="J1293" s="4">
        <f t="shared" si="170"/>
        <v>5</v>
      </c>
    </row>
    <row r="1294" spans="1:10" x14ac:dyDescent="0.25">
      <c r="A1294">
        <v>1292</v>
      </c>
      <c r="B1294" s="4" t="str">
        <f t="shared" si="165"/>
        <v>NOK</v>
      </c>
      <c r="C1294" t="str">
        <f t="shared" si="162"/>
        <v>D</v>
      </c>
      <c r="D1294" t="str">
        <f t="shared" si="163"/>
        <v>E</v>
      </c>
      <c r="E1294" t="str">
        <f t="shared" si="164"/>
        <v>E</v>
      </c>
      <c r="F1294" s="4" t="str">
        <f t="shared" si="166"/>
        <v>F</v>
      </c>
      <c r="G1294" s="4">
        <f t="shared" si="167"/>
        <v>4</v>
      </c>
      <c r="H1294" s="4">
        <f t="shared" si="168"/>
        <v>5</v>
      </c>
      <c r="I1294" s="4">
        <f t="shared" si="169"/>
        <v>5</v>
      </c>
      <c r="J1294" s="4">
        <f t="shared" si="170"/>
        <v>6</v>
      </c>
    </row>
    <row r="1295" spans="1:10" x14ac:dyDescent="0.25">
      <c r="A1295">
        <v>1293</v>
      </c>
      <c r="B1295" s="4" t="str">
        <f t="shared" si="165"/>
        <v>NOK</v>
      </c>
      <c r="C1295" t="str">
        <f t="shared" si="162"/>
        <v>D</v>
      </c>
      <c r="D1295" t="str">
        <f t="shared" si="163"/>
        <v>E</v>
      </c>
      <c r="E1295" t="str">
        <f t="shared" si="164"/>
        <v>E</v>
      </c>
      <c r="F1295" s="4" t="str">
        <f t="shared" si="166"/>
        <v>G</v>
      </c>
      <c r="G1295" s="4">
        <f t="shared" si="167"/>
        <v>4</v>
      </c>
      <c r="H1295" s="4">
        <f t="shared" si="168"/>
        <v>5</v>
      </c>
      <c r="I1295" s="4">
        <f t="shared" si="169"/>
        <v>5</v>
      </c>
      <c r="J1295" s="4">
        <f t="shared" si="170"/>
        <v>7</v>
      </c>
    </row>
    <row r="1296" spans="1:10" x14ac:dyDescent="0.25">
      <c r="A1296">
        <v>1294</v>
      </c>
      <c r="B1296" s="4" t="str">
        <f t="shared" si="165"/>
        <v>NOK</v>
      </c>
      <c r="C1296" t="str">
        <f t="shared" si="162"/>
        <v>D</v>
      </c>
      <c r="D1296" t="str">
        <f t="shared" si="163"/>
        <v>E</v>
      </c>
      <c r="E1296" t="str">
        <f t="shared" si="164"/>
        <v>E</v>
      </c>
      <c r="F1296" s="4" t="str">
        <f t="shared" si="166"/>
        <v>H</v>
      </c>
      <c r="G1296" s="4">
        <f t="shared" si="167"/>
        <v>4</v>
      </c>
      <c r="H1296" s="4">
        <f t="shared" si="168"/>
        <v>5</v>
      </c>
      <c r="I1296" s="4">
        <f t="shared" si="169"/>
        <v>5</v>
      </c>
      <c r="J1296" s="4">
        <f t="shared" si="170"/>
        <v>8</v>
      </c>
    </row>
    <row r="1297" spans="1:10" x14ac:dyDescent="0.25">
      <c r="A1297">
        <v>1295</v>
      </c>
      <c r="B1297" s="4" t="str">
        <f t="shared" si="165"/>
        <v>NOK</v>
      </c>
      <c r="C1297" t="str">
        <f t="shared" si="162"/>
        <v>D</v>
      </c>
      <c r="D1297" t="str">
        <f t="shared" si="163"/>
        <v>E</v>
      </c>
      <c r="E1297" t="str">
        <f t="shared" si="164"/>
        <v>E</v>
      </c>
      <c r="F1297" s="4" t="str">
        <f t="shared" si="166"/>
        <v>I</v>
      </c>
      <c r="G1297" s="4">
        <f t="shared" si="167"/>
        <v>4</v>
      </c>
      <c r="H1297" s="4">
        <f t="shared" si="168"/>
        <v>5</v>
      </c>
      <c r="I1297" s="4">
        <f t="shared" si="169"/>
        <v>5</v>
      </c>
      <c r="J1297" s="4">
        <f t="shared" si="170"/>
        <v>9</v>
      </c>
    </row>
    <row r="1298" spans="1:10" x14ac:dyDescent="0.25">
      <c r="A1298">
        <v>1296</v>
      </c>
      <c r="B1298" s="4" t="str">
        <f t="shared" si="165"/>
        <v>NOK</v>
      </c>
      <c r="C1298" t="str">
        <f t="shared" si="162"/>
        <v>D</v>
      </c>
      <c r="D1298" t="str">
        <f t="shared" si="163"/>
        <v>E</v>
      </c>
      <c r="E1298" t="str">
        <f t="shared" si="164"/>
        <v>E</v>
      </c>
      <c r="F1298" s="4" t="str">
        <f t="shared" si="166"/>
        <v>J</v>
      </c>
      <c r="G1298" s="4">
        <f t="shared" si="167"/>
        <v>4</v>
      </c>
      <c r="H1298" s="4">
        <f t="shared" si="168"/>
        <v>5</v>
      </c>
      <c r="I1298" s="4">
        <f t="shared" si="169"/>
        <v>5</v>
      </c>
      <c r="J1298" s="4">
        <f t="shared" si="170"/>
        <v>10</v>
      </c>
    </row>
    <row r="1299" spans="1:10" x14ac:dyDescent="0.25">
      <c r="A1299">
        <v>1297</v>
      </c>
      <c r="B1299" s="4" t="str">
        <f t="shared" si="165"/>
        <v>NOK</v>
      </c>
      <c r="C1299" t="str">
        <f t="shared" si="162"/>
        <v>D</v>
      </c>
      <c r="D1299" t="str">
        <f t="shared" si="163"/>
        <v>E</v>
      </c>
      <c r="E1299" t="str">
        <f t="shared" si="164"/>
        <v>E</v>
      </c>
      <c r="F1299" s="4" t="str">
        <f t="shared" si="166"/>
        <v>K</v>
      </c>
      <c r="G1299" s="4">
        <f t="shared" si="167"/>
        <v>4</v>
      </c>
      <c r="H1299" s="4">
        <f t="shared" si="168"/>
        <v>5</v>
      </c>
      <c r="I1299" s="4">
        <f t="shared" si="169"/>
        <v>5</v>
      </c>
      <c r="J1299" s="4">
        <f t="shared" si="170"/>
        <v>11</v>
      </c>
    </row>
    <row r="1300" spans="1:10" x14ac:dyDescent="0.25">
      <c r="A1300">
        <v>1298</v>
      </c>
      <c r="B1300" s="4" t="str">
        <f t="shared" si="165"/>
        <v>OK</v>
      </c>
      <c r="C1300" t="str">
        <f t="shared" si="162"/>
        <v>D</v>
      </c>
      <c r="D1300" t="str">
        <f t="shared" si="163"/>
        <v>E</v>
      </c>
      <c r="E1300" t="str">
        <f t="shared" si="164"/>
        <v>E</v>
      </c>
      <c r="F1300" s="4" t="str">
        <f t="shared" si="166"/>
        <v>L</v>
      </c>
      <c r="G1300" s="4">
        <f t="shared" si="167"/>
        <v>4</v>
      </c>
      <c r="H1300" s="4">
        <f t="shared" si="168"/>
        <v>5</v>
      </c>
      <c r="I1300" s="4">
        <f t="shared" si="169"/>
        <v>5</v>
      </c>
      <c r="J1300" s="4">
        <f t="shared" si="170"/>
        <v>12</v>
      </c>
    </row>
    <row r="1301" spans="1:10" x14ac:dyDescent="0.25">
      <c r="A1301">
        <v>1299</v>
      </c>
      <c r="B1301" s="4" t="str">
        <f t="shared" si="165"/>
        <v>NOK</v>
      </c>
      <c r="C1301" t="str">
        <f t="shared" si="162"/>
        <v>D</v>
      </c>
      <c r="D1301" t="str">
        <f t="shared" si="163"/>
        <v>E</v>
      </c>
      <c r="E1301" t="str">
        <f t="shared" si="164"/>
        <v>E</v>
      </c>
      <c r="F1301" s="4" t="str">
        <f t="shared" si="166"/>
        <v>M</v>
      </c>
      <c r="G1301" s="4">
        <f t="shared" si="167"/>
        <v>4</v>
      </c>
      <c r="H1301" s="4">
        <f t="shared" si="168"/>
        <v>5</v>
      </c>
      <c r="I1301" s="4">
        <f t="shared" si="169"/>
        <v>5</v>
      </c>
      <c r="J1301" s="4">
        <f t="shared" si="170"/>
        <v>13</v>
      </c>
    </row>
    <row r="1302" spans="1:10" x14ac:dyDescent="0.25">
      <c r="A1302">
        <v>1300</v>
      </c>
      <c r="B1302" s="4" t="str">
        <f t="shared" si="165"/>
        <v>NOK</v>
      </c>
      <c r="C1302" t="str">
        <f t="shared" si="162"/>
        <v>E</v>
      </c>
      <c r="D1302" t="str">
        <f t="shared" si="163"/>
        <v>A</v>
      </c>
      <c r="E1302" t="str">
        <f t="shared" si="164"/>
        <v>A</v>
      </c>
      <c r="F1302" s="4" t="str">
        <f t="shared" si="166"/>
        <v>A</v>
      </c>
      <c r="G1302" s="4">
        <f t="shared" si="167"/>
        <v>5</v>
      </c>
      <c r="H1302" s="4">
        <f t="shared" si="168"/>
        <v>1</v>
      </c>
      <c r="I1302" s="4">
        <f t="shared" si="169"/>
        <v>1</v>
      </c>
      <c r="J1302" s="4">
        <f t="shared" si="170"/>
        <v>1</v>
      </c>
    </row>
    <row r="1303" spans="1:10" x14ac:dyDescent="0.25">
      <c r="A1303">
        <v>1301</v>
      </c>
      <c r="B1303" s="4" t="str">
        <f t="shared" si="165"/>
        <v>NOK</v>
      </c>
      <c r="C1303" t="str">
        <f t="shared" si="162"/>
        <v>E</v>
      </c>
      <c r="D1303" t="str">
        <f t="shared" si="163"/>
        <v>A</v>
      </c>
      <c r="E1303" t="str">
        <f t="shared" si="164"/>
        <v>A</v>
      </c>
      <c r="F1303" s="4" t="str">
        <f t="shared" si="166"/>
        <v>B</v>
      </c>
      <c r="G1303" s="4">
        <f t="shared" si="167"/>
        <v>5</v>
      </c>
      <c r="H1303" s="4">
        <f t="shared" si="168"/>
        <v>1</v>
      </c>
      <c r="I1303" s="4">
        <f t="shared" si="169"/>
        <v>1</v>
      </c>
      <c r="J1303" s="4">
        <f t="shared" si="170"/>
        <v>2</v>
      </c>
    </row>
    <row r="1304" spans="1:10" x14ac:dyDescent="0.25">
      <c r="A1304">
        <v>1302</v>
      </c>
      <c r="B1304" s="4" t="str">
        <f t="shared" si="165"/>
        <v>NOK</v>
      </c>
      <c r="C1304" t="str">
        <f t="shared" si="162"/>
        <v>E</v>
      </c>
      <c r="D1304" t="str">
        <f t="shared" si="163"/>
        <v>A</v>
      </c>
      <c r="E1304" t="str">
        <f t="shared" si="164"/>
        <v>A</v>
      </c>
      <c r="F1304" s="4" t="str">
        <f t="shared" si="166"/>
        <v>C</v>
      </c>
      <c r="G1304" s="4">
        <f t="shared" si="167"/>
        <v>5</v>
      </c>
      <c r="H1304" s="4">
        <f t="shared" si="168"/>
        <v>1</v>
      </c>
      <c r="I1304" s="4">
        <f t="shared" si="169"/>
        <v>1</v>
      </c>
      <c r="J1304" s="4">
        <f t="shared" si="170"/>
        <v>3</v>
      </c>
    </row>
    <row r="1305" spans="1:10" x14ac:dyDescent="0.25">
      <c r="A1305">
        <v>1303</v>
      </c>
      <c r="B1305" s="4" t="str">
        <f t="shared" si="165"/>
        <v>NOK</v>
      </c>
      <c r="C1305" t="str">
        <f t="shared" si="162"/>
        <v>E</v>
      </c>
      <c r="D1305" t="str">
        <f t="shared" si="163"/>
        <v>A</v>
      </c>
      <c r="E1305" t="str">
        <f t="shared" si="164"/>
        <v>A</v>
      </c>
      <c r="F1305" s="4" t="str">
        <f t="shared" si="166"/>
        <v>D</v>
      </c>
      <c r="G1305" s="4">
        <f t="shared" si="167"/>
        <v>5</v>
      </c>
      <c r="H1305" s="4">
        <f t="shared" si="168"/>
        <v>1</v>
      </c>
      <c r="I1305" s="4">
        <f t="shared" si="169"/>
        <v>1</v>
      </c>
      <c r="J1305" s="4">
        <f t="shared" si="170"/>
        <v>4</v>
      </c>
    </row>
    <row r="1306" spans="1:10" x14ac:dyDescent="0.25">
      <c r="A1306">
        <v>1304</v>
      </c>
      <c r="B1306" s="4" t="str">
        <f t="shared" si="165"/>
        <v>OK</v>
      </c>
      <c r="C1306" t="str">
        <f t="shared" si="162"/>
        <v>E</v>
      </c>
      <c r="D1306" t="str">
        <f t="shared" si="163"/>
        <v>A</v>
      </c>
      <c r="E1306" t="str">
        <f t="shared" si="164"/>
        <v>A</v>
      </c>
      <c r="F1306" s="4" t="str">
        <f t="shared" si="166"/>
        <v>E</v>
      </c>
      <c r="G1306" s="4">
        <f t="shared" si="167"/>
        <v>5</v>
      </c>
      <c r="H1306" s="4">
        <f t="shared" si="168"/>
        <v>1</v>
      </c>
      <c r="I1306" s="4">
        <f t="shared" si="169"/>
        <v>1</v>
      </c>
      <c r="J1306" s="4">
        <f t="shared" si="170"/>
        <v>5</v>
      </c>
    </row>
    <row r="1307" spans="1:10" x14ac:dyDescent="0.25">
      <c r="A1307">
        <v>1305</v>
      </c>
      <c r="B1307" s="4" t="str">
        <f t="shared" si="165"/>
        <v>NOK</v>
      </c>
      <c r="C1307" t="str">
        <f t="shared" si="162"/>
        <v>E</v>
      </c>
      <c r="D1307" t="str">
        <f t="shared" si="163"/>
        <v>A</v>
      </c>
      <c r="E1307" t="str">
        <f t="shared" si="164"/>
        <v>A</v>
      </c>
      <c r="F1307" s="4" t="str">
        <f t="shared" si="166"/>
        <v>F</v>
      </c>
      <c r="G1307" s="4">
        <f t="shared" si="167"/>
        <v>5</v>
      </c>
      <c r="H1307" s="4">
        <f t="shared" si="168"/>
        <v>1</v>
      </c>
      <c r="I1307" s="4">
        <f t="shared" si="169"/>
        <v>1</v>
      </c>
      <c r="J1307" s="4">
        <f t="shared" si="170"/>
        <v>6</v>
      </c>
    </row>
    <row r="1308" spans="1:10" x14ac:dyDescent="0.25">
      <c r="A1308">
        <v>1306</v>
      </c>
      <c r="B1308" s="4" t="str">
        <f t="shared" si="165"/>
        <v>NOK</v>
      </c>
      <c r="C1308" t="str">
        <f t="shared" si="162"/>
        <v>E</v>
      </c>
      <c r="D1308" t="str">
        <f t="shared" si="163"/>
        <v>A</v>
      </c>
      <c r="E1308" t="str">
        <f t="shared" si="164"/>
        <v>A</v>
      </c>
      <c r="F1308" s="4" t="str">
        <f t="shared" si="166"/>
        <v>G</v>
      </c>
      <c r="G1308" s="4">
        <f t="shared" si="167"/>
        <v>5</v>
      </c>
      <c r="H1308" s="4">
        <f t="shared" si="168"/>
        <v>1</v>
      </c>
      <c r="I1308" s="4">
        <f t="shared" si="169"/>
        <v>1</v>
      </c>
      <c r="J1308" s="4">
        <f t="shared" si="170"/>
        <v>7</v>
      </c>
    </row>
    <row r="1309" spans="1:10" x14ac:dyDescent="0.25">
      <c r="A1309">
        <v>1307</v>
      </c>
      <c r="B1309" s="4" t="str">
        <f t="shared" si="165"/>
        <v>NOK</v>
      </c>
      <c r="C1309" t="str">
        <f t="shared" si="162"/>
        <v>E</v>
      </c>
      <c r="D1309" t="str">
        <f t="shared" si="163"/>
        <v>A</v>
      </c>
      <c r="E1309" t="str">
        <f t="shared" si="164"/>
        <v>A</v>
      </c>
      <c r="F1309" s="4" t="str">
        <f t="shared" si="166"/>
        <v>H</v>
      </c>
      <c r="G1309" s="4">
        <f t="shared" si="167"/>
        <v>5</v>
      </c>
      <c r="H1309" s="4">
        <f t="shared" si="168"/>
        <v>1</v>
      </c>
      <c r="I1309" s="4">
        <f t="shared" si="169"/>
        <v>1</v>
      </c>
      <c r="J1309" s="4">
        <f t="shared" si="170"/>
        <v>8</v>
      </c>
    </row>
    <row r="1310" spans="1:10" x14ac:dyDescent="0.25">
      <c r="A1310">
        <v>1308</v>
      </c>
      <c r="B1310" s="4" t="str">
        <f t="shared" si="165"/>
        <v>NOK</v>
      </c>
      <c r="C1310" t="str">
        <f t="shared" si="162"/>
        <v>E</v>
      </c>
      <c r="D1310" t="str">
        <f t="shared" si="163"/>
        <v>A</v>
      </c>
      <c r="E1310" t="str">
        <f t="shared" si="164"/>
        <v>A</v>
      </c>
      <c r="F1310" s="4" t="str">
        <f t="shared" si="166"/>
        <v>I</v>
      </c>
      <c r="G1310" s="4">
        <f t="shared" si="167"/>
        <v>5</v>
      </c>
      <c r="H1310" s="4">
        <f t="shared" si="168"/>
        <v>1</v>
      </c>
      <c r="I1310" s="4">
        <f t="shared" si="169"/>
        <v>1</v>
      </c>
      <c r="J1310" s="4">
        <f t="shared" si="170"/>
        <v>9</v>
      </c>
    </row>
    <row r="1311" spans="1:10" x14ac:dyDescent="0.25">
      <c r="A1311">
        <v>1309</v>
      </c>
      <c r="B1311" s="4" t="str">
        <f t="shared" si="165"/>
        <v>NOK</v>
      </c>
      <c r="C1311" t="str">
        <f t="shared" si="162"/>
        <v>E</v>
      </c>
      <c r="D1311" t="str">
        <f t="shared" si="163"/>
        <v>A</v>
      </c>
      <c r="E1311" t="str">
        <f t="shared" si="164"/>
        <v>A</v>
      </c>
      <c r="F1311" s="4" t="str">
        <f t="shared" si="166"/>
        <v>J</v>
      </c>
      <c r="G1311" s="4">
        <f t="shared" si="167"/>
        <v>5</v>
      </c>
      <c r="H1311" s="4">
        <f t="shared" si="168"/>
        <v>1</v>
      </c>
      <c r="I1311" s="4">
        <f t="shared" si="169"/>
        <v>1</v>
      </c>
      <c r="J1311" s="4">
        <f t="shared" si="170"/>
        <v>10</v>
      </c>
    </row>
    <row r="1312" spans="1:10" x14ac:dyDescent="0.25">
      <c r="A1312">
        <v>1310</v>
      </c>
      <c r="B1312" s="4" t="str">
        <f t="shared" si="165"/>
        <v>NOK</v>
      </c>
      <c r="C1312" t="str">
        <f t="shared" si="162"/>
        <v>E</v>
      </c>
      <c r="D1312" t="str">
        <f t="shared" si="163"/>
        <v>A</v>
      </c>
      <c r="E1312" t="str">
        <f t="shared" si="164"/>
        <v>A</v>
      </c>
      <c r="F1312" s="4" t="str">
        <f t="shared" si="166"/>
        <v>K</v>
      </c>
      <c r="G1312" s="4">
        <f t="shared" si="167"/>
        <v>5</v>
      </c>
      <c r="H1312" s="4">
        <f t="shared" si="168"/>
        <v>1</v>
      </c>
      <c r="I1312" s="4">
        <f t="shared" si="169"/>
        <v>1</v>
      </c>
      <c r="J1312" s="4">
        <f t="shared" si="170"/>
        <v>11</v>
      </c>
    </row>
    <row r="1313" spans="1:10" x14ac:dyDescent="0.25">
      <c r="A1313">
        <v>1311</v>
      </c>
      <c r="B1313" s="4" t="str">
        <f t="shared" si="165"/>
        <v>NOK</v>
      </c>
      <c r="C1313" t="str">
        <f t="shared" si="162"/>
        <v>E</v>
      </c>
      <c r="D1313" t="str">
        <f t="shared" si="163"/>
        <v>A</v>
      </c>
      <c r="E1313" t="str">
        <f t="shared" si="164"/>
        <v>A</v>
      </c>
      <c r="F1313" s="4" t="str">
        <f t="shared" si="166"/>
        <v>L</v>
      </c>
      <c r="G1313" s="4">
        <f t="shared" si="167"/>
        <v>5</v>
      </c>
      <c r="H1313" s="4">
        <f t="shared" si="168"/>
        <v>1</v>
      </c>
      <c r="I1313" s="4">
        <f t="shared" si="169"/>
        <v>1</v>
      </c>
      <c r="J1313" s="4">
        <f t="shared" si="170"/>
        <v>12</v>
      </c>
    </row>
    <row r="1314" spans="1:10" x14ac:dyDescent="0.25">
      <c r="A1314">
        <v>1312</v>
      </c>
      <c r="B1314" s="4" t="str">
        <f t="shared" si="165"/>
        <v>NOK</v>
      </c>
      <c r="C1314" t="str">
        <f t="shared" si="162"/>
        <v>E</v>
      </c>
      <c r="D1314" t="str">
        <f t="shared" si="163"/>
        <v>A</v>
      </c>
      <c r="E1314" t="str">
        <f t="shared" si="164"/>
        <v>A</v>
      </c>
      <c r="F1314" s="4" t="str">
        <f t="shared" si="166"/>
        <v>M</v>
      </c>
      <c r="G1314" s="4">
        <f t="shared" si="167"/>
        <v>5</v>
      </c>
      <c r="H1314" s="4">
        <f t="shared" si="168"/>
        <v>1</v>
      </c>
      <c r="I1314" s="4">
        <f t="shared" si="169"/>
        <v>1</v>
      </c>
      <c r="J1314" s="4">
        <f t="shared" si="170"/>
        <v>13</v>
      </c>
    </row>
    <row r="1315" spans="1:10" x14ac:dyDescent="0.25">
      <c r="A1315">
        <v>1313</v>
      </c>
      <c r="B1315" s="4" t="str">
        <f t="shared" si="165"/>
        <v>NOK</v>
      </c>
      <c r="C1315" t="str">
        <f t="shared" si="162"/>
        <v>E</v>
      </c>
      <c r="D1315" t="str">
        <f t="shared" si="163"/>
        <v>A</v>
      </c>
      <c r="E1315" t="str">
        <f t="shared" si="164"/>
        <v>B</v>
      </c>
      <c r="F1315" s="4" t="str">
        <f t="shared" si="166"/>
        <v>A</v>
      </c>
      <c r="G1315" s="4">
        <f t="shared" si="167"/>
        <v>5</v>
      </c>
      <c r="H1315" s="4">
        <f t="shared" si="168"/>
        <v>1</v>
      </c>
      <c r="I1315" s="4">
        <f t="shared" si="169"/>
        <v>2</v>
      </c>
      <c r="J1315" s="4">
        <f t="shared" si="170"/>
        <v>1</v>
      </c>
    </row>
    <row r="1316" spans="1:10" x14ac:dyDescent="0.25">
      <c r="A1316">
        <v>1314</v>
      </c>
      <c r="B1316" s="4" t="str">
        <f t="shared" si="165"/>
        <v>NOK</v>
      </c>
      <c r="C1316" t="str">
        <f t="shared" si="162"/>
        <v>E</v>
      </c>
      <c r="D1316" t="str">
        <f t="shared" si="163"/>
        <v>A</v>
      </c>
      <c r="E1316" t="str">
        <f t="shared" si="164"/>
        <v>B</v>
      </c>
      <c r="F1316" s="4" t="str">
        <f t="shared" si="166"/>
        <v>B</v>
      </c>
      <c r="G1316" s="4">
        <f t="shared" si="167"/>
        <v>5</v>
      </c>
      <c r="H1316" s="4">
        <f t="shared" si="168"/>
        <v>1</v>
      </c>
      <c r="I1316" s="4">
        <f t="shared" si="169"/>
        <v>2</v>
      </c>
      <c r="J1316" s="4">
        <f t="shared" si="170"/>
        <v>2</v>
      </c>
    </row>
    <row r="1317" spans="1:10" x14ac:dyDescent="0.25">
      <c r="A1317">
        <v>1315</v>
      </c>
      <c r="B1317" s="4" t="str">
        <f t="shared" si="165"/>
        <v>NOK</v>
      </c>
      <c r="C1317" t="str">
        <f t="shared" si="162"/>
        <v>E</v>
      </c>
      <c r="D1317" t="str">
        <f t="shared" si="163"/>
        <v>A</v>
      </c>
      <c r="E1317" t="str">
        <f t="shared" si="164"/>
        <v>B</v>
      </c>
      <c r="F1317" s="4" t="str">
        <f t="shared" si="166"/>
        <v>C</v>
      </c>
      <c r="G1317" s="4">
        <f t="shared" si="167"/>
        <v>5</v>
      </c>
      <c r="H1317" s="4">
        <f t="shared" si="168"/>
        <v>1</v>
      </c>
      <c r="I1317" s="4">
        <f t="shared" si="169"/>
        <v>2</v>
      </c>
      <c r="J1317" s="4">
        <f t="shared" si="170"/>
        <v>3</v>
      </c>
    </row>
    <row r="1318" spans="1:10" x14ac:dyDescent="0.25">
      <c r="A1318">
        <v>1316</v>
      </c>
      <c r="B1318" s="4" t="str">
        <f t="shared" si="165"/>
        <v>NOK</v>
      </c>
      <c r="C1318" t="str">
        <f t="shared" si="162"/>
        <v>E</v>
      </c>
      <c r="D1318" t="str">
        <f t="shared" si="163"/>
        <v>A</v>
      </c>
      <c r="E1318" t="str">
        <f t="shared" si="164"/>
        <v>B</v>
      </c>
      <c r="F1318" s="4" t="str">
        <f t="shared" si="166"/>
        <v>D</v>
      </c>
      <c r="G1318" s="4">
        <f t="shared" si="167"/>
        <v>5</v>
      </c>
      <c r="H1318" s="4">
        <f t="shared" si="168"/>
        <v>1</v>
      </c>
      <c r="I1318" s="4">
        <f t="shared" si="169"/>
        <v>2</v>
      </c>
      <c r="J1318" s="4">
        <f t="shared" si="170"/>
        <v>4</v>
      </c>
    </row>
    <row r="1319" spans="1:10" x14ac:dyDescent="0.25">
      <c r="A1319">
        <v>1317</v>
      </c>
      <c r="B1319" s="4" t="str">
        <f t="shared" si="165"/>
        <v>NOK</v>
      </c>
      <c r="C1319" t="str">
        <f t="shared" ref="C1319:C1382" si="171">IF(G1319=1,"A",IF(G1319=2,"B",IF(G1319=3,"C",IF(G1319=4,"D",IF(G1319=5,"E","ERRO")))))</f>
        <v>E</v>
      </c>
      <c r="D1319" t="str">
        <f t="shared" ref="D1319:D1382" si="172">IF(H1319=1,"A",IF(H1319=2,"B",IF(H1319=3,"C",IF(H1319=4,"D",IF(H1319=5,"E","ERRO")))))</f>
        <v>A</v>
      </c>
      <c r="E1319" t="str">
        <f t="shared" ref="E1319:E1382" si="173">IF(I1319=1,"A",IF(I1319=2,"B",IF(I1319=3,"C",IF(I1319=4,"D",IF(I1319=5,"E","ERRO")))))</f>
        <v>B</v>
      </c>
      <c r="F1319" s="4" t="str">
        <f t="shared" si="166"/>
        <v>E</v>
      </c>
      <c r="G1319" s="4">
        <f t="shared" si="167"/>
        <v>5</v>
      </c>
      <c r="H1319" s="4">
        <f t="shared" si="168"/>
        <v>1</v>
      </c>
      <c r="I1319" s="4">
        <f t="shared" si="169"/>
        <v>2</v>
      </c>
      <c r="J1319" s="4">
        <f t="shared" si="170"/>
        <v>5</v>
      </c>
    </row>
    <row r="1320" spans="1:10" x14ac:dyDescent="0.25">
      <c r="A1320">
        <v>1318</v>
      </c>
      <c r="B1320" s="4" t="str">
        <f t="shared" si="165"/>
        <v>OK</v>
      </c>
      <c r="C1320" t="str">
        <f t="shared" si="171"/>
        <v>E</v>
      </c>
      <c r="D1320" t="str">
        <f t="shared" si="172"/>
        <v>A</v>
      </c>
      <c r="E1320" t="str">
        <f t="shared" si="173"/>
        <v>B</v>
      </c>
      <c r="F1320" s="4" t="str">
        <f t="shared" si="166"/>
        <v>F</v>
      </c>
      <c r="G1320" s="4">
        <f t="shared" si="167"/>
        <v>5</v>
      </c>
      <c r="H1320" s="4">
        <f t="shared" si="168"/>
        <v>1</v>
      </c>
      <c r="I1320" s="4">
        <f t="shared" si="169"/>
        <v>2</v>
      </c>
      <c r="J1320" s="4">
        <f t="shared" si="170"/>
        <v>6</v>
      </c>
    </row>
    <row r="1321" spans="1:10" x14ac:dyDescent="0.25">
      <c r="A1321">
        <v>1319</v>
      </c>
      <c r="B1321" s="4" t="str">
        <f t="shared" si="165"/>
        <v>NOK</v>
      </c>
      <c r="C1321" t="str">
        <f t="shared" si="171"/>
        <v>E</v>
      </c>
      <c r="D1321" t="str">
        <f t="shared" si="172"/>
        <v>A</v>
      </c>
      <c r="E1321" t="str">
        <f t="shared" si="173"/>
        <v>B</v>
      </c>
      <c r="F1321" s="4" t="str">
        <f t="shared" si="166"/>
        <v>G</v>
      </c>
      <c r="G1321" s="4">
        <f t="shared" si="167"/>
        <v>5</v>
      </c>
      <c r="H1321" s="4">
        <f t="shared" si="168"/>
        <v>1</v>
      </c>
      <c r="I1321" s="4">
        <f t="shared" si="169"/>
        <v>2</v>
      </c>
      <c r="J1321" s="4">
        <f t="shared" si="170"/>
        <v>7</v>
      </c>
    </row>
    <row r="1322" spans="1:10" x14ac:dyDescent="0.25">
      <c r="A1322">
        <v>1320</v>
      </c>
      <c r="B1322" s="4" t="str">
        <f t="shared" si="165"/>
        <v>NOK</v>
      </c>
      <c r="C1322" t="str">
        <f t="shared" si="171"/>
        <v>E</v>
      </c>
      <c r="D1322" t="str">
        <f t="shared" si="172"/>
        <v>A</v>
      </c>
      <c r="E1322" t="str">
        <f t="shared" si="173"/>
        <v>B</v>
      </c>
      <c r="F1322" s="4" t="str">
        <f t="shared" si="166"/>
        <v>H</v>
      </c>
      <c r="G1322" s="4">
        <f t="shared" si="167"/>
        <v>5</v>
      </c>
      <c r="H1322" s="4">
        <f t="shared" si="168"/>
        <v>1</v>
      </c>
      <c r="I1322" s="4">
        <f t="shared" si="169"/>
        <v>2</v>
      </c>
      <c r="J1322" s="4">
        <f t="shared" si="170"/>
        <v>8</v>
      </c>
    </row>
    <row r="1323" spans="1:10" x14ac:dyDescent="0.25">
      <c r="A1323">
        <v>1321</v>
      </c>
      <c r="B1323" s="4" t="str">
        <f t="shared" si="165"/>
        <v>NOK</v>
      </c>
      <c r="C1323" t="str">
        <f t="shared" si="171"/>
        <v>E</v>
      </c>
      <c r="D1323" t="str">
        <f t="shared" si="172"/>
        <v>A</v>
      </c>
      <c r="E1323" t="str">
        <f t="shared" si="173"/>
        <v>B</v>
      </c>
      <c r="F1323" s="4" t="str">
        <f t="shared" si="166"/>
        <v>I</v>
      </c>
      <c r="G1323" s="4">
        <f t="shared" si="167"/>
        <v>5</v>
      </c>
      <c r="H1323" s="4">
        <f t="shared" si="168"/>
        <v>1</v>
      </c>
      <c r="I1323" s="4">
        <f t="shared" si="169"/>
        <v>2</v>
      </c>
      <c r="J1323" s="4">
        <f t="shared" si="170"/>
        <v>9</v>
      </c>
    </row>
    <row r="1324" spans="1:10" x14ac:dyDescent="0.25">
      <c r="A1324">
        <v>1322</v>
      </c>
      <c r="B1324" s="4" t="str">
        <f t="shared" si="165"/>
        <v>NOK</v>
      </c>
      <c r="C1324" t="str">
        <f t="shared" si="171"/>
        <v>E</v>
      </c>
      <c r="D1324" t="str">
        <f t="shared" si="172"/>
        <v>A</v>
      </c>
      <c r="E1324" t="str">
        <f t="shared" si="173"/>
        <v>B</v>
      </c>
      <c r="F1324" s="4" t="str">
        <f t="shared" si="166"/>
        <v>J</v>
      </c>
      <c r="G1324" s="4">
        <f t="shared" si="167"/>
        <v>5</v>
      </c>
      <c r="H1324" s="4">
        <f t="shared" si="168"/>
        <v>1</v>
      </c>
      <c r="I1324" s="4">
        <f t="shared" si="169"/>
        <v>2</v>
      </c>
      <c r="J1324" s="4">
        <f t="shared" si="170"/>
        <v>10</v>
      </c>
    </row>
    <row r="1325" spans="1:10" x14ac:dyDescent="0.25">
      <c r="A1325">
        <v>1323</v>
      </c>
      <c r="B1325" s="4" t="str">
        <f t="shared" si="165"/>
        <v>NOK</v>
      </c>
      <c r="C1325" t="str">
        <f t="shared" si="171"/>
        <v>E</v>
      </c>
      <c r="D1325" t="str">
        <f t="shared" si="172"/>
        <v>A</v>
      </c>
      <c r="E1325" t="str">
        <f t="shared" si="173"/>
        <v>B</v>
      </c>
      <c r="F1325" s="4" t="str">
        <f t="shared" si="166"/>
        <v>K</v>
      </c>
      <c r="G1325" s="4">
        <f t="shared" si="167"/>
        <v>5</v>
      </c>
      <c r="H1325" s="4">
        <f t="shared" si="168"/>
        <v>1</v>
      </c>
      <c r="I1325" s="4">
        <f t="shared" si="169"/>
        <v>2</v>
      </c>
      <c r="J1325" s="4">
        <f t="shared" si="170"/>
        <v>11</v>
      </c>
    </row>
    <row r="1326" spans="1:10" x14ac:dyDescent="0.25">
      <c r="A1326">
        <v>1324</v>
      </c>
      <c r="B1326" s="4" t="str">
        <f t="shared" si="165"/>
        <v>NOK</v>
      </c>
      <c r="C1326" t="str">
        <f t="shared" si="171"/>
        <v>E</v>
      </c>
      <c r="D1326" t="str">
        <f t="shared" si="172"/>
        <v>A</v>
      </c>
      <c r="E1326" t="str">
        <f t="shared" si="173"/>
        <v>B</v>
      </c>
      <c r="F1326" s="4" t="str">
        <f t="shared" si="166"/>
        <v>L</v>
      </c>
      <c r="G1326" s="4">
        <f t="shared" si="167"/>
        <v>5</v>
      </c>
      <c r="H1326" s="4">
        <f t="shared" si="168"/>
        <v>1</v>
      </c>
      <c r="I1326" s="4">
        <f t="shared" si="169"/>
        <v>2</v>
      </c>
      <c r="J1326" s="4">
        <f t="shared" si="170"/>
        <v>12</v>
      </c>
    </row>
    <row r="1327" spans="1:10" x14ac:dyDescent="0.25">
      <c r="A1327">
        <v>1325</v>
      </c>
      <c r="B1327" s="4" t="str">
        <f t="shared" si="165"/>
        <v>NOK</v>
      </c>
      <c r="C1327" t="str">
        <f t="shared" si="171"/>
        <v>E</v>
      </c>
      <c r="D1327" t="str">
        <f t="shared" si="172"/>
        <v>A</v>
      </c>
      <c r="E1327" t="str">
        <f t="shared" si="173"/>
        <v>B</v>
      </c>
      <c r="F1327" s="4" t="str">
        <f t="shared" si="166"/>
        <v>M</v>
      </c>
      <c r="G1327" s="4">
        <f t="shared" si="167"/>
        <v>5</v>
      </c>
      <c r="H1327" s="4">
        <f t="shared" si="168"/>
        <v>1</v>
      </c>
      <c r="I1327" s="4">
        <f t="shared" si="169"/>
        <v>2</v>
      </c>
      <c r="J1327" s="4">
        <f t="shared" si="170"/>
        <v>13</v>
      </c>
    </row>
    <row r="1328" spans="1:10" x14ac:dyDescent="0.25">
      <c r="A1328">
        <v>1326</v>
      </c>
      <c r="B1328" s="4" t="str">
        <f t="shared" si="165"/>
        <v>NOK</v>
      </c>
      <c r="C1328" t="str">
        <f t="shared" si="171"/>
        <v>E</v>
      </c>
      <c r="D1328" t="str">
        <f t="shared" si="172"/>
        <v>A</v>
      </c>
      <c r="E1328" t="str">
        <f t="shared" si="173"/>
        <v>C</v>
      </c>
      <c r="F1328" s="4" t="str">
        <f t="shared" si="166"/>
        <v>A</v>
      </c>
      <c r="G1328" s="4">
        <f t="shared" si="167"/>
        <v>5</v>
      </c>
      <c r="H1328" s="4">
        <f t="shared" si="168"/>
        <v>1</v>
      </c>
      <c r="I1328" s="4">
        <f t="shared" si="169"/>
        <v>3</v>
      </c>
      <c r="J1328" s="4">
        <f t="shared" si="170"/>
        <v>1</v>
      </c>
    </row>
    <row r="1329" spans="1:10" x14ac:dyDescent="0.25">
      <c r="A1329">
        <v>1327</v>
      </c>
      <c r="B1329" s="4" t="str">
        <f t="shared" si="165"/>
        <v>NOK</v>
      </c>
      <c r="C1329" t="str">
        <f t="shared" si="171"/>
        <v>E</v>
      </c>
      <c r="D1329" t="str">
        <f t="shared" si="172"/>
        <v>A</v>
      </c>
      <c r="E1329" t="str">
        <f t="shared" si="173"/>
        <v>C</v>
      </c>
      <c r="F1329" s="4" t="str">
        <f t="shared" si="166"/>
        <v>B</v>
      </c>
      <c r="G1329" s="4">
        <f t="shared" si="167"/>
        <v>5</v>
      </c>
      <c r="H1329" s="4">
        <f t="shared" si="168"/>
        <v>1</v>
      </c>
      <c r="I1329" s="4">
        <f t="shared" si="169"/>
        <v>3</v>
      </c>
      <c r="J1329" s="4">
        <f t="shared" si="170"/>
        <v>2</v>
      </c>
    </row>
    <row r="1330" spans="1:10" x14ac:dyDescent="0.25">
      <c r="A1330">
        <v>1328</v>
      </c>
      <c r="B1330" s="4" t="str">
        <f t="shared" si="165"/>
        <v>NOK</v>
      </c>
      <c r="C1330" t="str">
        <f t="shared" si="171"/>
        <v>E</v>
      </c>
      <c r="D1330" t="str">
        <f t="shared" si="172"/>
        <v>A</v>
      </c>
      <c r="E1330" t="str">
        <f t="shared" si="173"/>
        <v>C</v>
      </c>
      <c r="F1330" s="4" t="str">
        <f t="shared" si="166"/>
        <v>C</v>
      </c>
      <c r="G1330" s="4">
        <f t="shared" si="167"/>
        <v>5</v>
      </c>
      <c r="H1330" s="4">
        <f t="shared" si="168"/>
        <v>1</v>
      </c>
      <c r="I1330" s="4">
        <f t="shared" si="169"/>
        <v>3</v>
      </c>
      <c r="J1330" s="4">
        <f t="shared" si="170"/>
        <v>3</v>
      </c>
    </row>
    <row r="1331" spans="1:10" x14ac:dyDescent="0.25">
      <c r="A1331">
        <v>1329</v>
      </c>
      <c r="B1331" s="4" t="str">
        <f t="shared" si="165"/>
        <v>NOK</v>
      </c>
      <c r="C1331" t="str">
        <f t="shared" si="171"/>
        <v>E</v>
      </c>
      <c r="D1331" t="str">
        <f t="shared" si="172"/>
        <v>A</v>
      </c>
      <c r="E1331" t="str">
        <f t="shared" si="173"/>
        <v>C</v>
      </c>
      <c r="F1331" s="4" t="str">
        <f t="shared" si="166"/>
        <v>D</v>
      </c>
      <c r="G1331" s="4">
        <f t="shared" si="167"/>
        <v>5</v>
      </c>
      <c r="H1331" s="4">
        <f t="shared" si="168"/>
        <v>1</v>
      </c>
      <c r="I1331" s="4">
        <f t="shared" si="169"/>
        <v>3</v>
      </c>
      <c r="J1331" s="4">
        <f t="shared" si="170"/>
        <v>4</v>
      </c>
    </row>
    <row r="1332" spans="1:10" x14ac:dyDescent="0.25">
      <c r="A1332">
        <v>1330</v>
      </c>
      <c r="B1332" s="4" t="str">
        <f t="shared" si="165"/>
        <v>NOK</v>
      </c>
      <c r="C1332" t="str">
        <f t="shared" si="171"/>
        <v>E</v>
      </c>
      <c r="D1332" t="str">
        <f t="shared" si="172"/>
        <v>A</v>
      </c>
      <c r="E1332" t="str">
        <f t="shared" si="173"/>
        <v>C</v>
      </c>
      <c r="F1332" s="4" t="str">
        <f t="shared" si="166"/>
        <v>E</v>
      </c>
      <c r="G1332" s="4">
        <f t="shared" si="167"/>
        <v>5</v>
      </c>
      <c r="H1332" s="4">
        <f t="shared" si="168"/>
        <v>1</v>
      </c>
      <c r="I1332" s="4">
        <f t="shared" si="169"/>
        <v>3</v>
      </c>
      <c r="J1332" s="4">
        <f t="shared" si="170"/>
        <v>5</v>
      </c>
    </row>
    <row r="1333" spans="1:10" x14ac:dyDescent="0.25">
      <c r="A1333">
        <v>1331</v>
      </c>
      <c r="B1333" s="4" t="str">
        <f t="shared" si="165"/>
        <v>NOK</v>
      </c>
      <c r="C1333" t="str">
        <f t="shared" si="171"/>
        <v>E</v>
      </c>
      <c r="D1333" t="str">
        <f t="shared" si="172"/>
        <v>A</v>
      </c>
      <c r="E1333" t="str">
        <f t="shared" si="173"/>
        <v>C</v>
      </c>
      <c r="F1333" s="4" t="str">
        <f t="shared" si="166"/>
        <v>F</v>
      </c>
      <c r="G1333" s="4">
        <f t="shared" si="167"/>
        <v>5</v>
      </c>
      <c r="H1333" s="4">
        <f t="shared" si="168"/>
        <v>1</v>
      </c>
      <c r="I1333" s="4">
        <f t="shared" si="169"/>
        <v>3</v>
      </c>
      <c r="J1333" s="4">
        <f t="shared" si="170"/>
        <v>6</v>
      </c>
    </row>
    <row r="1334" spans="1:10" x14ac:dyDescent="0.25">
      <c r="A1334">
        <v>1332</v>
      </c>
      <c r="B1334" s="4" t="str">
        <f t="shared" si="165"/>
        <v>OK</v>
      </c>
      <c r="C1334" t="str">
        <f t="shared" si="171"/>
        <v>E</v>
      </c>
      <c r="D1334" t="str">
        <f t="shared" si="172"/>
        <v>A</v>
      </c>
      <c r="E1334" t="str">
        <f t="shared" si="173"/>
        <v>C</v>
      </c>
      <c r="F1334" s="4" t="str">
        <f t="shared" si="166"/>
        <v>G</v>
      </c>
      <c r="G1334" s="4">
        <f t="shared" si="167"/>
        <v>5</v>
      </c>
      <c r="H1334" s="4">
        <f t="shared" si="168"/>
        <v>1</v>
      </c>
      <c r="I1334" s="4">
        <f t="shared" si="169"/>
        <v>3</v>
      </c>
      <c r="J1334" s="4">
        <f t="shared" si="170"/>
        <v>7</v>
      </c>
    </row>
    <row r="1335" spans="1:10" x14ac:dyDescent="0.25">
      <c r="A1335">
        <v>1333</v>
      </c>
      <c r="B1335" s="4" t="str">
        <f t="shared" si="165"/>
        <v>NOK</v>
      </c>
      <c r="C1335" t="str">
        <f t="shared" si="171"/>
        <v>E</v>
      </c>
      <c r="D1335" t="str">
        <f t="shared" si="172"/>
        <v>A</v>
      </c>
      <c r="E1335" t="str">
        <f t="shared" si="173"/>
        <v>C</v>
      </c>
      <c r="F1335" s="4" t="str">
        <f t="shared" si="166"/>
        <v>H</v>
      </c>
      <c r="G1335" s="4">
        <f t="shared" si="167"/>
        <v>5</v>
      </c>
      <c r="H1335" s="4">
        <f t="shared" si="168"/>
        <v>1</v>
      </c>
      <c r="I1335" s="4">
        <f t="shared" si="169"/>
        <v>3</v>
      </c>
      <c r="J1335" s="4">
        <f t="shared" si="170"/>
        <v>8</v>
      </c>
    </row>
    <row r="1336" spans="1:10" x14ac:dyDescent="0.25">
      <c r="A1336">
        <v>1334</v>
      </c>
      <c r="B1336" s="4" t="str">
        <f t="shared" si="165"/>
        <v>NOK</v>
      </c>
      <c r="C1336" t="str">
        <f t="shared" si="171"/>
        <v>E</v>
      </c>
      <c r="D1336" t="str">
        <f t="shared" si="172"/>
        <v>A</v>
      </c>
      <c r="E1336" t="str">
        <f t="shared" si="173"/>
        <v>C</v>
      </c>
      <c r="F1336" s="4" t="str">
        <f t="shared" si="166"/>
        <v>I</v>
      </c>
      <c r="G1336" s="4">
        <f t="shared" si="167"/>
        <v>5</v>
      </c>
      <c r="H1336" s="4">
        <f t="shared" si="168"/>
        <v>1</v>
      </c>
      <c r="I1336" s="4">
        <f t="shared" si="169"/>
        <v>3</v>
      </c>
      <c r="J1336" s="4">
        <f t="shared" si="170"/>
        <v>9</v>
      </c>
    </row>
    <row r="1337" spans="1:10" x14ac:dyDescent="0.25">
      <c r="A1337">
        <v>1335</v>
      </c>
      <c r="B1337" s="4" t="str">
        <f t="shared" si="165"/>
        <v>NOK</v>
      </c>
      <c r="C1337" t="str">
        <f t="shared" si="171"/>
        <v>E</v>
      </c>
      <c r="D1337" t="str">
        <f t="shared" si="172"/>
        <v>A</v>
      </c>
      <c r="E1337" t="str">
        <f t="shared" si="173"/>
        <v>C</v>
      </c>
      <c r="F1337" s="4" t="str">
        <f t="shared" si="166"/>
        <v>J</v>
      </c>
      <c r="G1337" s="4">
        <f t="shared" si="167"/>
        <v>5</v>
      </c>
      <c r="H1337" s="4">
        <f t="shared" si="168"/>
        <v>1</v>
      </c>
      <c r="I1337" s="4">
        <f t="shared" si="169"/>
        <v>3</v>
      </c>
      <c r="J1337" s="4">
        <f t="shared" si="170"/>
        <v>10</v>
      </c>
    </row>
    <row r="1338" spans="1:10" x14ac:dyDescent="0.25">
      <c r="A1338">
        <v>1336</v>
      </c>
      <c r="B1338" s="4" t="str">
        <f t="shared" si="165"/>
        <v>NOK</v>
      </c>
      <c r="C1338" t="str">
        <f t="shared" si="171"/>
        <v>E</v>
      </c>
      <c r="D1338" t="str">
        <f t="shared" si="172"/>
        <v>A</v>
      </c>
      <c r="E1338" t="str">
        <f t="shared" si="173"/>
        <v>C</v>
      </c>
      <c r="F1338" s="4" t="str">
        <f t="shared" si="166"/>
        <v>K</v>
      </c>
      <c r="G1338" s="4">
        <f t="shared" si="167"/>
        <v>5</v>
      </c>
      <c r="H1338" s="4">
        <f t="shared" si="168"/>
        <v>1</v>
      </c>
      <c r="I1338" s="4">
        <f t="shared" si="169"/>
        <v>3</v>
      </c>
      <c r="J1338" s="4">
        <f t="shared" si="170"/>
        <v>11</v>
      </c>
    </row>
    <row r="1339" spans="1:10" x14ac:dyDescent="0.25">
      <c r="A1339">
        <v>1337</v>
      </c>
      <c r="B1339" s="4" t="str">
        <f t="shared" si="165"/>
        <v>NOK</v>
      </c>
      <c r="C1339" t="str">
        <f t="shared" si="171"/>
        <v>E</v>
      </c>
      <c r="D1339" t="str">
        <f t="shared" si="172"/>
        <v>A</v>
      </c>
      <c r="E1339" t="str">
        <f t="shared" si="173"/>
        <v>C</v>
      </c>
      <c r="F1339" s="4" t="str">
        <f t="shared" si="166"/>
        <v>L</v>
      </c>
      <c r="G1339" s="4">
        <f t="shared" si="167"/>
        <v>5</v>
      </c>
      <c r="H1339" s="4">
        <f t="shared" si="168"/>
        <v>1</v>
      </c>
      <c r="I1339" s="4">
        <f t="shared" si="169"/>
        <v>3</v>
      </c>
      <c r="J1339" s="4">
        <f t="shared" si="170"/>
        <v>12</v>
      </c>
    </row>
    <row r="1340" spans="1:10" x14ac:dyDescent="0.25">
      <c r="A1340">
        <v>1338</v>
      </c>
      <c r="B1340" s="4" t="str">
        <f t="shared" si="165"/>
        <v>NOK</v>
      </c>
      <c r="C1340" t="str">
        <f t="shared" si="171"/>
        <v>E</v>
      </c>
      <c r="D1340" t="str">
        <f t="shared" si="172"/>
        <v>A</v>
      </c>
      <c r="E1340" t="str">
        <f t="shared" si="173"/>
        <v>C</v>
      </c>
      <c r="F1340" s="4" t="str">
        <f t="shared" si="166"/>
        <v>M</v>
      </c>
      <c r="G1340" s="4">
        <f t="shared" si="167"/>
        <v>5</v>
      </c>
      <c r="H1340" s="4">
        <f t="shared" si="168"/>
        <v>1</v>
      </c>
      <c r="I1340" s="4">
        <f t="shared" si="169"/>
        <v>3</v>
      </c>
      <c r="J1340" s="4">
        <f t="shared" si="170"/>
        <v>13</v>
      </c>
    </row>
    <row r="1341" spans="1:10" x14ac:dyDescent="0.25">
      <c r="A1341">
        <v>1339</v>
      </c>
      <c r="B1341" s="4" t="str">
        <f t="shared" si="165"/>
        <v>NOK</v>
      </c>
      <c r="C1341" t="str">
        <f t="shared" si="171"/>
        <v>E</v>
      </c>
      <c r="D1341" t="str">
        <f t="shared" si="172"/>
        <v>A</v>
      </c>
      <c r="E1341" t="str">
        <f t="shared" si="173"/>
        <v>D</v>
      </c>
      <c r="F1341" s="4" t="str">
        <f t="shared" si="166"/>
        <v>A</v>
      </c>
      <c r="G1341" s="4">
        <f t="shared" si="167"/>
        <v>5</v>
      </c>
      <c r="H1341" s="4">
        <f t="shared" si="168"/>
        <v>1</v>
      </c>
      <c r="I1341" s="4">
        <f t="shared" si="169"/>
        <v>4</v>
      </c>
      <c r="J1341" s="4">
        <f t="shared" si="170"/>
        <v>1</v>
      </c>
    </row>
    <row r="1342" spans="1:10" x14ac:dyDescent="0.25">
      <c r="A1342">
        <v>1340</v>
      </c>
      <c r="B1342" s="4" t="str">
        <f t="shared" si="165"/>
        <v>NOK</v>
      </c>
      <c r="C1342" t="str">
        <f t="shared" si="171"/>
        <v>E</v>
      </c>
      <c r="D1342" t="str">
        <f t="shared" si="172"/>
        <v>A</v>
      </c>
      <c r="E1342" t="str">
        <f t="shared" si="173"/>
        <v>D</v>
      </c>
      <c r="F1342" s="4" t="str">
        <f t="shared" si="166"/>
        <v>B</v>
      </c>
      <c r="G1342" s="4">
        <f t="shared" si="167"/>
        <v>5</v>
      </c>
      <c r="H1342" s="4">
        <f t="shared" si="168"/>
        <v>1</v>
      </c>
      <c r="I1342" s="4">
        <f t="shared" si="169"/>
        <v>4</v>
      </c>
      <c r="J1342" s="4">
        <f t="shared" si="170"/>
        <v>2</v>
      </c>
    </row>
    <row r="1343" spans="1:10" x14ac:dyDescent="0.25">
      <c r="A1343">
        <v>1341</v>
      </c>
      <c r="B1343" s="4" t="str">
        <f t="shared" si="165"/>
        <v>NOK</v>
      </c>
      <c r="C1343" t="str">
        <f t="shared" si="171"/>
        <v>E</v>
      </c>
      <c r="D1343" t="str">
        <f t="shared" si="172"/>
        <v>A</v>
      </c>
      <c r="E1343" t="str">
        <f t="shared" si="173"/>
        <v>D</v>
      </c>
      <c r="F1343" s="4" t="str">
        <f t="shared" si="166"/>
        <v>C</v>
      </c>
      <c r="G1343" s="4">
        <f t="shared" si="167"/>
        <v>5</v>
      </c>
      <c r="H1343" s="4">
        <f t="shared" si="168"/>
        <v>1</v>
      </c>
      <c r="I1343" s="4">
        <f t="shared" si="169"/>
        <v>4</v>
      </c>
      <c r="J1343" s="4">
        <f t="shared" si="170"/>
        <v>3</v>
      </c>
    </row>
    <row r="1344" spans="1:10" x14ac:dyDescent="0.25">
      <c r="A1344">
        <v>1342</v>
      </c>
      <c r="B1344" s="4" t="str">
        <f t="shared" si="165"/>
        <v>NOK</v>
      </c>
      <c r="C1344" t="str">
        <f t="shared" si="171"/>
        <v>E</v>
      </c>
      <c r="D1344" t="str">
        <f t="shared" si="172"/>
        <v>A</v>
      </c>
      <c r="E1344" t="str">
        <f t="shared" si="173"/>
        <v>D</v>
      </c>
      <c r="F1344" s="4" t="str">
        <f t="shared" si="166"/>
        <v>D</v>
      </c>
      <c r="G1344" s="4">
        <f t="shared" si="167"/>
        <v>5</v>
      </c>
      <c r="H1344" s="4">
        <f t="shared" si="168"/>
        <v>1</v>
      </c>
      <c r="I1344" s="4">
        <f t="shared" si="169"/>
        <v>4</v>
      </c>
      <c r="J1344" s="4">
        <f t="shared" si="170"/>
        <v>4</v>
      </c>
    </row>
    <row r="1345" spans="1:10" x14ac:dyDescent="0.25">
      <c r="A1345">
        <v>1343</v>
      </c>
      <c r="B1345" s="4" t="str">
        <f t="shared" si="165"/>
        <v>NOK</v>
      </c>
      <c r="C1345" t="str">
        <f t="shared" si="171"/>
        <v>E</v>
      </c>
      <c r="D1345" t="str">
        <f t="shared" si="172"/>
        <v>A</v>
      </c>
      <c r="E1345" t="str">
        <f t="shared" si="173"/>
        <v>D</v>
      </c>
      <c r="F1345" s="4" t="str">
        <f t="shared" si="166"/>
        <v>E</v>
      </c>
      <c r="G1345" s="4">
        <f t="shared" si="167"/>
        <v>5</v>
      </c>
      <c r="H1345" s="4">
        <f t="shared" si="168"/>
        <v>1</v>
      </c>
      <c r="I1345" s="4">
        <f t="shared" si="169"/>
        <v>4</v>
      </c>
      <c r="J1345" s="4">
        <f t="shared" si="170"/>
        <v>5</v>
      </c>
    </row>
    <row r="1346" spans="1:10" x14ac:dyDescent="0.25">
      <c r="A1346">
        <v>1344</v>
      </c>
      <c r="B1346" s="4" t="str">
        <f t="shared" ref="B1346:B1409" si="174">IF(ROUND(_xlfn.XLOOKUP(C1346,$U$1:$U$5,$T$1:$T$5,,0,1)+_xlfn.XLOOKUP(D1346,$W$1:$W$5,$V$1:$V$5,,0,1)+_xlfn.XLOOKUP(E1346,$Y$1:$Y$5,$X$1:$X$5,,0,1)-_xlfn.XLOOKUP(F1346,$AA$1:$AA$13,$Z$1:$Z$13,,0,1),3)=0.325,"OK","NOK")</f>
        <v>NOK</v>
      </c>
      <c r="C1346" t="str">
        <f t="shared" si="171"/>
        <v>E</v>
      </c>
      <c r="D1346" t="str">
        <f t="shared" si="172"/>
        <v>A</v>
      </c>
      <c r="E1346" t="str">
        <f t="shared" si="173"/>
        <v>D</v>
      </c>
      <c r="F1346" s="4" t="str">
        <f t="shared" ref="F1346:F1409" si="175">IF(J1346=1,"A",IF(J1346=2,"B",IF(J1346=3,"C",IF(J1346=4,"D",IF(J1346=5,"E",IF(J1346=6,"F",IF(J1346=7,"G",IF(J1346=8,"H",IF(J1346=9,"I",IF(J1346=10,"J",IF(J1346=11,"K",IF(J1346=12,"L",IF(J1346=13,"M","ERRO")))))))))))))</f>
        <v>F</v>
      </c>
      <c r="G1346" s="4">
        <f t="shared" ref="G1346:G1409" si="176">INT($A1346/325)+1</f>
        <v>5</v>
      </c>
      <c r="H1346" s="4">
        <f t="shared" ref="H1346:H1409" si="177">INT(MOD($A1346,325)/65)+1</f>
        <v>1</v>
      </c>
      <c r="I1346" s="4">
        <f t="shared" ref="I1346:I1409" si="178">INT(MOD($A1346,65)/13)+1</f>
        <v>4</v>
      </c>
      <c r="J1346" s="4">
        <f t="shared" ref="J1346:J1409" si="179">MOD($A1346,13)+1</f>
        <v>6</v>
      </c>
    </row>
    <row r="1347" spans="1:10" x14ac:dyDescent="0.25">
      <c r="A1347">
        <v>1345</v>
      </c>
      <c r="B1347" s="4" t="str">
        <f t="shared" si="174"/>
        <v>NOK</v>
      </c>
      <c r="C1347" t="str">
        <f t="shared" si="171"/>
        <v>E</v>
      </c>
      <c r="D1347" t="str">
        <f t="shared" si="172"/>
        <v>A</v>
      </c>
      <c r="E1347" t="str">
        <f t="shared" si="173"/>
        <v>D</v>
      </c>
      <c r="F1347" s="4" t="str">
        <f t="shared" si="175"/>
        <v>G</v>
      </c>
      <c r="G1347" s="4">
        <f t="shared" si="176"/>
        <v>5</v>
      </c>
      <c r="H1347" s="4">
        <f t="shared" si="177"/>
        <v>1</v>
      </c>
      <c r="I1347" s="4">
        <f t="shared" si="178"/>
        <v>4</v>
      </c>
      <c r="J1347" s="4">
        <f t="shared" si="179"/>
        <v>7</v>
      </c>
    </row>
    <row r="1348" spans="1:10" x14ac:dyDescent="0.25">
      <c r="A1348">
        <v>1346</v>
      </c>
      <c r="B1348" s="4" t="str">
        <f t="shared" si="174"/>
        <v>OK</v>
      </c>
      <c r="C1348" t="str">
        <f t="shared" si="171"/>
        <v>E</v>
      </c>
      <c r="D1348" t="str">
        <f t="shared" si="172"/>
        <v>A</v>
      </c>
      <c r="E1348" t="str">
        <f t="shared" si="173"/>
        <v>D</v>
      </c>
      <c r="F1348" s="4" t="str">
        <f t="shared" si="175"/>
        <v>H</v>
      </c>
      <c r="G1348" s="4">
        <f t="shared" si="176"/>
        <v>5</v>
      </c>
      <c r="H1348" s="4">
        <f t="shared" si="177"/>
        <v>1</v>
      </c>
      <c r="I1348" s="4">
        <f t="shared" si="178"/>
        <v>4</v>
      </c>
      <c r="J1348" s="4">
        <f t="shared" si="179"/>
        <v>8</v>
      </c>
    </row>
    <row r="1349" spans="1:10" x14ac:dyDescent="0.25">
      <c r="A1349">
        <v>1347</v>
      </c>
      <c r="B1349" s="4" t="str">
        <f t="shared" si="174"/>
        <v>NOK</v>
      </c>
      <c r="C1349" t="str">
        <f t="shared" si="171"/>
        <v>E</v>
      </c>
      <c r="D1349" t="str">
        <f t="shared" si="172"/>
        <v>A</v>
      </c>
      <c r="E1349" t="str">
        <f t="shared" si="173"/>
        <v>D</v>
      </c>
      <c r="F1349" s="4" t="str">
        <f t="shared" si="175"/>
        <v>I</v>
      </c>
      <c r="G1349" s="4">
        <f t="shared" si="176"/>
        <v>5</v>
      </c>
      <c r="H1349" s="4">
        <f t="shared" si="177"/>
        <v>1</v>
      </c>
      <c r="I1349" s="4">
        <f t="shared" si="178"/>
        <v>4</v>
      </c>
      <c r="J1349" s="4">
        <f t="shared" si="179"/>
        <v>9</v>
      </c>
    </row>
    <row r="1350" spans="1:10" x14ac:dyDescent="0.25">
      <c r="A1350">
        <v>1348</v>
      </c>
      <c r="B1350" s="4" t="str">
        <f t="shared" si="174"/>
        <v>NOK</v>
      </c>
      <c r="C1350" t="str">
        <f t="shared" si="171"/>
        <v>E</v>
      </c>
      <c r="D1350" t="str">
        <f t="shared" si="172"/>
        <v>A</v>
      </c>
      <c r="E1350" t="str">
        <f t="shared" si="173"/>
        <v>D</v>
      </c>
      <c r="F1350" s="4" t="str">
        <f t="shared" si="175"/>
        <v>J</v>
      </c>
      <c r="G1350" s="4">
        <f t="shared" si="176"/>
        <v>5</v>
      </c>
      <c r="H1350" s="4">
        <f t="shared" si="177"/>
        <v>1</v>
      </c>
      <c r="I1350" s="4">
        <f t="shared" si="178"/>
        <v>4</v>
      </c>
      <c r="J1350" s="4">
        <f t="shared" si="179"/>
        <v>10</v>
      </c>
    </row>
    <row r="1351" spans="1:10" x14ac:dyDescent="0.25">
      <c r="A1351">
        <v>1349</v>
      </c>
      <c r="B1351" s="4" t="str">
        <f t="shared" si="174"/>
        <v>NOK</v>
      </c>
      <c r="C1351" t="str">
        <f t="shared" si="171"/>
        <v>E</v>
      </c>
      <c r="D1351" t="str">
        <f t="shared" si="172"/>
        <v>A</v>
      </c>
      <c r="E1351" t="str">
        <f t="shared" si="173"/>
        <v>D</v>
      </c>
      <c r="F1351" s="4" t="str">
        <f t="shared" si="175"/>
        <v>K</v>
      </c>
      <c r="G1351" s="4">
        <f t="shared" si="176"/>
        <v>5</v>
      </c>
      <c r="H1351" s="4">
        <f t="shared" si="177"/>
        <v>1</v>
      </c>
      <c r="I1351" s="4">
        <f t="shared" si="178"/>
        <v>4</v>
      </c>
      <c r="J1351" s="4">
        <f t="shared" si="179"/>
        <v>11</v>
      </c>
    </row>
    <row r="1352" spans="1:10" x14ac:dyDescent="0.25">
      <c r="A1352">
        <v>1350</v>
      </c>
      <c r="B1352" s="4" t="str">
        <f t="shared" si="174"/>
        <v>NOK</v>
      </c>
      <c r="C1352" t="str">
        <f t="shared" si="171"/>
        <v>E</v>
      </c>
      <c r="D1352" t="str">
        <f t="shared" si="172"/>
        <v>A</v>
      </c>
      <c r="E1352" t="str">
        <f t="shared" si="173"/>
        <v>D</v>
      </c>
      <c r="F1352" s="4" t="str">
        <f t="shared" si="175"/>
        <v>L</v>
      </c>
      <c r="G1352" s="4">
        <f t="shared" si="176"/>
        <v>5</v>
      </c>
      <c r="H1352" s="4">
        <f t="shared" si="177"/>
        <v>1</v>
      </c>
      <c r="I1352" s="4">
        <f t="shared" si="178"/>
        <v>4</v>
      </c>
      <c r="J1352" s="4">
        <f t="shared" si="179"/>
        <v>12</v>
      </c>
    </row>
    <row r="1353" spans="1:10" x14ac:dyDescent="0.25">
      <c r="A1353">
        <v>1351</v>
      </c>
      <c r="B1353" s="4" t="str">
        <f t="shared" si="174"/>
        <v>NOK</v>
      </c>
      <c r="C1353" t="str">
        <f t="shared" si="171"/>
        <v>E</v>
      </c>
      <c r="D1353" t="str">
        <f t="shared" si="172"/>
        <v>A</v>
      </c>
      <c r="E1353" t="str">
        <f t="shared" si="173"/>
        <v>D</v>
      </c>
      <c r="F1353" s="4" t="str">
        <f t="shared" si="175"/>
        <v>M</v>
      </c>
      <c r="G1353" s="4">
        <f t="shared" si="176"/>
        <v>5</v>
      </c>
      <c r="H1353" s="4">
        <f t="shared" si="177"/>
        <v>1</v>
      </c>
      <c r="I1353" s="4">
        <f t="shared" si="178"/>
        <v>4</v>
      </c>
      <c r="J1353" s="4">
        <f t="shared" si="179"/>
        <v>13</v>
      </c>
    </row>
    <row r="1354" spans="1:10" x14ac:dyDescent="0.25">
      <c r="A1354">
        <v>1352</v>
      </c>
      <c r="B1354" s="4" t="str">
        <f t="shared" si="174"/>
        <v>NOK</v>
      </c>
      <c r="C1354" t="str">
        <f t="shared" si="171"/>
        <v>E</v>
      </c>
      <c r="D1354" t="str">
        <f t="shared" si="172"/>
        <v>A</v>
      </c>
      <c r="E1354" t="str">
        <f t="shared" si="173"/>
        <v>E</v>
      </c>
      <c r="F1354" s="4" t="str">
        <f t="shared" si="175"/>
        <v>A</v>
      </c>
      <c r="G1354" s="4">
        <f t="shared" si="176"/>
        <v>5</v>
      </c>
      <c r="H1354" s="4">
        <f t="shared" si="177"/>
        <v>1</v>
      </c>
      <c r="I1354" s="4">
        <f t="shared" si="178"/>
        <v>5</v>
      </c>
      <c r="J1354" s="4">
        <f t="shared" si="179"/>
        <v>1</v>
      </c>
    </row>
    <row r="1355" spans="1:10" x14ac:dyDescent="0.25">
      <c r="A1355">
        <v>1353</v>
      </c>
      <c r="B1355" s="4" t="str">
        <f t="shared" si="174"/>
        <v>NOK</v>
      </c>
      <c r="C1355" t="str">
        <f t="shared" si="171"/>
        <v>E</v>
      </c>
      <c r="D1355" t="str">
        <f t="shared" si="172"/>
        <v>A</v>
      </c>
      <c r="E1355" t="str">
        <f t="shared" si="173"/>
        <v>E</v>
      </c>
      <c r="F1355" s="4" t="str">
        <f t="shared" si="175"/>
        <v>B</v>
      </c>
      <c r="G1355" s="4">
        <f t="shared" si="176"/>
        <v>5</v>
      </c>
      <c r="H1355" s="4">
        <f t="shared" si="177"/>
        <v>1</v>
      </c>
      <c r="I1355" s="4">
        <f t="shared" si="178"/>
        <v>5</v>
      </c>
      <c r="J1355" s="4">
        <f t="shared" si="179"/>
        <v>2</v>
      </c>
    </row>
    <row r="1356" spans="1:10" x14ac:dyDescent="0.25">
      <c r="A1356">
        <v>1354</v>
      </c>
      <c r="B1356" s="4" t="str">
        <f t="shared" si="174"/>
        <v>NOK</v>
      </c>
      <c r="C1356" t="str">
        <f t="shared" si="171"/>
        <v>E</v>
      </c>
      <c r="D1356" t="str">
        <f t="shared" si="172"/>
        <v>A</v>
      </c>
      <c r="E1356" t="str">
        <f t="shared" si="173"/>
        <v>E</v>
      </c>
      <c r="F1356" s="4" t="str">
        <f t="shared" si="175"/>
        <v>C</v>
      </c>
      <c r="G1356" s="4">
        <f t="shared" si="176"/>
        <v>5</v>
      </c>
      <c r="H1356" s="4">
        <f t="shared" si="177"/>
        <v>1</v>
      </c>
      <c r="I1356" s="4">
        <f t="shared" si="178"/>
        <v>5</v>
      </c>
      <c r="J1356" s="4">
        <f t="shared" si="179"/>
        <v>3</v>
      </c>
    </row>
    <row r="1357" spans="1:10" x14ac:dyDescent="0.25">
      <c r="A1357">
        <v>1355</v>
      </c>
      <c r="B1357" s="4" t="str">
        <f t="shared" si="174"/>
        <v>NOK</v>
      </c>
      <c r="C1357" t="str">
        <f t="shared" si="171"/>
        <v>E</v>
      </c>
      <c r="D1357" t="str">
        <f t="shared" si="172"/>
        <v>A</v>
      </c>
      <c r="E1357" t="str">
        <f t="shared" si="173"/>
        <v>E</v>
      </c>
      <c r="F1357" s="4" t="str">
        <f t="shared" si="175"/>
        <v>D</v>
      </c>
      <c r="G1357" s="4">
        <f t="shared" si="176"/>
        <v>5</v>
      </c>
      <c r="H1357" s="4">
        <f t="shared" si="177"/>
        <v>1</v>
      </c>
      <c r="I1357" s="4">
        <f t="shared" si="178"/>
        <v>5</v>
      </c>
      <c r="J1357" s="4">
        <f t="shared" si="179"/>
        <v>4</v>
      </c>
    </row>
    <row r="1358" spans="1:10" x14ac:dyDescent="0.25">
      <c r="A1358">
        <v>1356</v>
      </c>
      <c r="B1358" s="4" t="str">
        <f t="shared" si="174"/>
        <v>NOK</v>
      </c>
      <c r="C1358" t="str">
        <f t="shared" si="171"/>
        <v>E</v>
      </c>
      <c r="D1358" t="str">
        <f t="shared" si="172"/>
        <v>A</v>
      </c>
      <c r="E1358" t="str">
        <f t="shared" si="173"/>
        <v>E</v>
      </c>
      <c r="F1358" s="4" t="str">
        <f t="shared" si="175"/>
        <v>E</v>
      </c>
      <c r="G1358" s="4">
        <f t="shared" si="176"/>
        <v>5</v>
      </c>
      <c r="H1358" s="4">
        <f t="shared" si="177"/>
        <v>1</v>
      </c>
      <c r="I1358" s="4">
        <f t="shared" si="178"/>
        <v>5</v>
      </c>
      <c r="J1358" s="4">
        <f t="shared" si="179"/>
        <v>5</v>
      </c>
    </row>
    <row r="1359" spans="1:10" x14ac:dyDescent="0.25">
      <c r="A1359">
        <v>1357</v>
      </c>
      <c r="B1359" s="4" t="str">
        <f t="shared" si="174"/>
        <v>NOK</v>
      </c>
      <c r="C1359" t="str">
        <f t="shared" si="171"/>
        <v>E</v>
      </c>
      <c r="D1359" t="str">
        <f t="shared" si="172"/>
        <v>A</v>
      </c>
      <c r="E1359" t="str">
        <f t="shared" si="173"/>
        <v>E</v>
      </c>
      <c r="F1359" s="4" t="str">
        <f t="shared" si="175"/>
        <v>F</v>
      </c>
      <c r="G1359" s="4">
        <f t="shared" si="176"/>
        <v>5</v>
      </c>
      <c r="H1359" s="4">
        <f t="shared" si="177"/>
        <v>1</v>
      </c>
      <c r="I1359" s="4">
        <f t="shared" si="178"/>
        <v>5</v>
      </c>
      <c r="J1359" s="4">
        <f t="shared" si="179"/>
        <v>6</v>
      </c>
    </row>
    <row r="1360" spans="1:10" x14ac:dyDescent="0.25">
      <c r="A1360">
        <v>1358</v>
      </c>
      <c r="B1360" s="4" t="str">
        <f t="shared" si="174"/>
        <v>NOK</v>
      </c>
      <c r="C1360" t="str">
        <f t="shared" si="171"/>
        <v>E</v>
      </c>
      <c r="D1360" t="str">
        <f t="shared" si="172"/>
        <v>A</v>
      </c>
      <c r="E1360" t="str">
        <f t="shared" si="173"/>
        <v>E</v>
      </c>
      <c r="F1360" s="4" t="str">
        <f t="shared" si="175"/>
        <v>G</v>
      </c>
      <c r="G1360" s="4">
        <f t="shared" si="176"/>
        <v>5</v>
      </c>
      <c r="H1360" s="4">
        <f t="shared" si="177"/>
        <v>1</v>
      </c>
      <c r="I1360" s="4">
        <f t="shared" si="178"/>
        <v>5</v>
      </c>
      <c r="J1360" s="4">
        <f t="shared" si="179"/>
        <v>7</v>
      </c>
    </row>
    <row r="1361" spans="1:10" x14ac:dyDescent="0.25">
      <c r="A1361">
        <v>1359</v>
      </c>
      <c r="B1361" s="4" t="str">
        <f t="shared" si="174"/>
        <v>NOK</v>
      </c>
      <c r="C1361" t="str">
        <f t="shared" si="171"/>
        <v>E</v>
      </c>
      <c r="D1361" t="str">
        <f t="shared" si="172"/>
        <v>A</v>
      </c>
      <c r="E1361" t="str">
        <f t="shared" si="173"/>
        <v>E</v>
      </c>
      <c r="F1361" s="4" t="str">
        <f t="shared" si="175"/>
        <v>H</v>
      </c>
      <c r="G1361" s="4">
        <f t="shared" si="176"/>
        <v>5</v>
      </c>
      <c r="H1361" s="4">
        <f t="shared" si="177"/>
        <v>1</v>
      </c>
      <c r="I1361" s="4">
        <f t="shared" si="178"/>
        <v>5</v>
      </c>
      <c r="J1361" s="4">
        <f t="shared" si="179"/>
        <v>8</v>
      </c>
    </row>
    <row r="1362" spans="1:10" x14ac:dyDescent="0.25">
      <c r="A1362">
        <v>1360</v>
      </c>
      <c r="B1362" s="4" t="str">
        <f t="shared" si="174"/>
        <v>OK</v>
      </c>
      <c r="C1362" t="str">
        <f t="shared" si="171"/>
        <v>E</v>
      </c>
      <c r="D1362" t="str">
        <f t="shared" si="172"/>
        <v>A</v>
      </c>
      <c r="E1362" t="str">
        <f t="shared" si="173"/>
        <v>E</v>
      </c>
      <c r="F1362" s="4" t="str">
        <f t="shared" si="175"/>
        <v>I</v>
      </c>
      <c r="G1362" s="4">
        <f t="shared" si="176"/>
        <v>5</v>
      </c>
      <c r="H1362" s="4">
        <f t="shared" si="177"/>
        <v>1</v>
      </c>
      <c r="I1362" s="4">
        <f t="shared" si="178"/>
        <v>5</v>
      </c>
      <c r="J1362" s="4">
        <f t="shared" si="179"/>
        <v>9</v>
      </c>
    </row>
    <row r="1363" spans="1:10" x14ac:dyDescent="0.25">
      <c r="A1363">
        <v>1361</v>
      </c>
      <c r="B1363" s="4" t="str">
        <f t="shared" si="174"/>
        <v>NOK</v>
      </c>
      <c r="C1363" t="str">
        <f t="shared" si="171"/>
        <v>E</v>
      </c>
      <c r="D1363" t="str">
        <f t="shared" si="172"/>
        <v>A</v>
      </c>
      <c r="E1363" t="str">
        <f t="shared" si="173"/>
        <v>E</v>
      </c>
      <c r="F1363" s="4" t="str">
        <f t="shared" si="175"/>
        <v>J</v>
      </c>
      <c r="G1363" s="4">
        <f t="shared" si="176"/>
        <v>5</v>
      </c>
      <c r="H1363" s="4">
        <f t="shared" si="177"/>
        <v>1</v>
      </c>
      <c r="I1363" s="4">
        <f t="shared" si="178"/>
        <v>5</v>
      </c>
      <c r="J1363" s="4">
        <f t="shared" si="179"/>
        <v>10</v>
      </c>
    </row>
    <row r="1364" spans="1:10" x14ac:dyDescent="0.25">
      <c r="A1364">
        <v>1362</v>
      </c>
      <c r="B1364" s="4" t="str">
        <f t="shared" si="174"/>
        <v>NOK</v>
      </c>
      <c r="C1364" t="str">
        <f t="shared" si="171"/>
        <v>E</v>
      </c>
      <c r="D1364" t="str">
        <f t="shared" si="172"/>
        <v>A</v>
      </c>
      <c r="E1364" t="str">
        <f t="shared" si="173"/>
        <v>E</v>
      </c>
      <c r="F1364" s="4" t="str">
        <f t="shared" si="175"/>
        <v>K</v>
      </c>
      <c r="G1364" s="4">
        <f t="shared" si="176"/>
        <v>5</v>
      </c>
      <c r="H1364" s="4">
        <f t="shared" si="177"/>
        <v>1</v>
      </c>
      <c r="I1364" s="4">
        <f t="shared" si="178"/>
        <v>5</v>
      </c>
      <c r="J1364" s="4">
        <f t="shared" si="179"/>
        <v>11</v>
      </c>
    </row>
    <row r="1365" spans="1:10" x14ac:dyDescent="0.25">
      <c r="A1365">
        <v>1363</v>
      </c>
      <c r="B1365" s="4" t="str">
        <f t="shared" si="174"/>
        <v>NOK</v>
      </c>
      <c r="C1365" t="str">
        <f t="shared" si="171"/>
        <v>E</v>
      </c>
      <c r="D1365" t="str">
        <f t="shared" si="172"/>
        <v>A</v>
      </c>
      <c r="E1365" t="str">
        <f t="shared" si="173"/>
        <v>E</v>
      </c>
      <c r="F1365" s="4" t="str">
        <f t="shared" si="175"/>
        <v>L</v>
      </c>
      <c r="G1365" s="4">
        <f t="shared" si="176"/>
        <v>5</v>
      </c>
      <c r="H1365" s="4">
        <f t="shared" si="177"/>
        <v>1</v>
      </c>
      <c r="I1365" s="4">
        <f t="shared" si="178"/>
        <v>5</v>
      </c>
      <c r="J1365" s="4">
        <f t="shared" si="179"/>
        <v>12</v>
      </c>
    </row>
    <row r="1366" spans="1:10" x14ac:dyDescent="0.25">
      <c r="A1366">
        <v>1364</v>
      </c>
      <c r="B1366" s="4" t="str">
        <f t="shared" si="174"/>
        <v>NOK</v>
      </c>
      <c r="C1366" t="str">
        <f t="shared" si="171"/>
        <v>E</v>
      </c>
      <c r="D1366" t="str">
        <f t="shared" si="172"/>
        <v>A</v>
      </c>
      <c r="E1366" t="str">
        <f t="shared" si="173"/>
        <v>E</v>
      </c>
      <c r="F1366" s="4" t="str">
        <f t="shared" si="175"/>
        <v>M</v>
      </c>
      <c r="G1366" s="4">
        <f t="shared" si="176"/>
        <v>5</v>
      </c>
      <c r="H1366" s="4">
        <f t="shared" si="177"/>
        <v>1</v>
      </c>
      <c r="I1366" s="4">
        <f t="shared" si="178"/>
        <v>5</v>
      </c>
      <c r="J1366" s="4">
        <f t="shared" si="179"/>
        <v>13</v>
      </c>
    </row>
    <row r="1367" spans="1:10" x14ac:dyDescent="0.25">
      <c r="A1367">
        <v>1365</v>
      </c>
      <c r="B1367" s="4" t="str">
        <f t="shared" si="174"/>
        <v>NOK</v>
      </c>
      <c r="C1367" t="str">
        <f t="shared" si="171"/>
        <v>E</v>
      </c>
      <c r="D1367" t="str">
        <f t="shared" si="172"/>
        <v>B</v>
      </c>
      <c r="E1367" t="str">
        <f t="shared" si="173"/>
        <v>A</v>
      </c>
      <c r="F1367" s="4" t="str">
        <f t="shared" si="175"/>
        <v>A</v>
      </c>
      <c r="G1367" s="4">
        <f t="shared" si="176"/>
        <v>5</v>
      </c>
      <c r="H1367" s="4">
        <f t="shared" si="177"/>
        <v>2</v>
      </c>
      <c r="I1367" s="4">
        <f t="shared" si="178"/>
        <v>1</v>
      </c>
      <c r="J1367" s="4">
        <f t="shared" si="179"/>
        <v>1</v>
      </c>
    </row>
    <row r="1368" spans="1:10" x14ac:dyDescent="0.25">
      <c r="A1368">
        <v>1366</v>
      </c>
      <c r="B1368" s="4" t="str">
        <f t="shared" si="174"/>
        <v>NOK</v>
      </c>
      <c r="C1368" t="str">
        <f t="shared" si="171"/>
        <v>E</v>
      </c>
      <c r="D1368" t="str">
        <f t="shared" si="172"/>
        <v>B</v>
      </c>
      <c r="E1368" t="str">
        <f t="shared" si="173"/>
        <v>A</v>
      </c>
      <c r="F1368" s="4" t="str">
        <f t="shared" si="175"/>
        <v>B</v>
      </c>
      <c r="G1368" s="4">
        <f t="shared" si="176"/>
        <v>5</v>
      </c>
      <c r="H1368" s="4">
        <f t="shared" si="177"/>
        <v>2</v>
      </c>
      <c r="I1368" s="4">
        <f t="shared" si="178"/>
        <v>1</v>
      </c>
      <c r="J1368" s="4">
        <f t="shared" si="179"/>
        <v>2</v>
      </c>
    </row>
    <row r="1369" spans="1:10" x14ac:dyDescent="0.25">
      <c r="A1369">
        <v>1367</v>
      </c>
      <c r="B1369" s="4" t="str">
        <f t="shared" si="174"/>
        <v>NOK</v>
      </c>
      <c r="C1369" t="str">
        <f t="shared" si="171"/>
        <v>E</v>
      </c>
      <c r="D1369" t="str">
        <f t="shared" si="172"/>
        <v>B</v>
      </c>
      <c r="E1369" t="str">
        <f t="shared" si="173"/>
        <v>A</v>
      </c>
      <c r="F1369" s="4" t="str">
        <f t="shared" si="175"/>
        <v>C</v>
      </c>
      <c r="G1369" s="4">
        <f t="shared" si="176"/>
        <v>5</v>
      </c>
      <c r="H1369" s="4">
        <f t="shared" si="177"/>
        <v>2</v>
      </c>
      <c r="I1369" s="4">
        <f t="shared" si="178"/>
        <v>1</v>
      </c>
      <c r="J1369" s="4">
        <f t="shared" si="179"/>
        <v>3</v>
      </c>
    </row>
    <row r="1370" spans="1:10" x14ac:dyDescent="0.25">
      <c r="A1370">
        <v>1368</v>
      </c>
      <c r="B1370" s="4" t="str">
        <f t="shared" si="174"/>
        <v>NOK</v>
      </c>
      <c r="C1370" t="str">
        <f t="shared" si="171"/>
        <v>E</v>
      </c>
      <c r="D1370" t="str">
        <f t="shared" si="172"/>
        <v>B</v>
      </c>
      <c r="E1370" t="str">
        <f t="shared" si="173"/>
        <v>A</v>
      </c>
      <c r="F1370" s="4" t="str">
        <f t="shared" si="175"/>
        <v>D</v>
      </c>
      <c r="G1370" s="4">
        <f t="shared" si="176"/>
        <v>5</v>
      </c>
      <c r="H1370" s="4">
        <f t="shared" si="177"/>
        <v>2</v>
      </c>
      <c r="I1370" s="4">
        <f t="shared" si="178"/>
        <v>1</v>
      </c>
      <c r="J1370" s="4">
        <f t="shared" si="179"/>
        <v>4</v>
      </c>
    </row>
    <row r="1371" spans="1:10" x14ac:dyDescent="0.25">
      <c r="A1371">
        <v>1369</v>
      </c>
      <c r="B1371" s="4" t="str">
        <f t="shared" si="174"/>
        <v>NOK</v>
      </c>
      <c r="C1371" t="str">
        <f t="shared" si="171"/>
        <v>E</v>
      </c>
      <c r="D1371" t="str">
        <f t="shared" si="172"/>
        <v>B</v>
      </c>
      <c r="E1371" t="str">
        <f t="shared" si="173"/>
        <v>A</v>
      </c>
      <c r="F1371" s="4" t="str">
        <f t="shared" si="175"/>
        <v>E</v>
      </c>
      <c r="G1371" s="4">
        <f t="shared" si="176"/>
        <v>5</v>
      </c>
      <c r="H1371" s="4">
        <f t="shared" si="177"/>
        <v>2</v>
      </c>
      <c r="I1371" s="4">
        <f t="shared" si="178"/>
        <v>1</v>
      </c>
      <c r="J1371" s="4">
        <f t="shared" si="179"/>
        <v>5</v>
      </c>
    </row>
    <row r="1372" spans="1:10" x14ac:dyDescent="0.25">
      <c r="A1372">
        <v>1370</v>
      </c>
      <c r="B1372" s="4" t="str">
        <f t="shared" si="174"/>
        <v>OK</v>
      </c>
      <c r="C1372" t="str">
        <f t="shared" si="171"/>
        <v>E</v>
      </c>
      <c r="D1372" t="str">
        <f t="shared" si="172"/>
        <v>B</v>
      </c>
      <c r="E1372" t="str">
        <f t="shared" si="173"/>
        <v>A</v>
      </c>
      <c r="F1372" s="4" t="str">
        <f t="shared" si="175"/>
        <v>F</v>
      </c>
      <c r="G1372" s="4">
        <f t="shared" si="176"/>
        <v>5</v>
      </c>
      <c r="H1372" s="4">
        <f t="shared" si="177"/>
        <v>2</v>
      </c>
      <c r="I1372" s="4">
        <f t="shared" si="178"/>
        <v>1</v>
      </c>
      <c r="J1372" s="4">
        <f t="shared" si="179"/>
        <v>6</v>
      </c>
    </row>
    <row r="1373" spans="1:10" x14ac:dyDescent="0.25">
      <c r="A1373">
        <v>1371</v>
      </c>
      <c r="B1373" s="4" t="str">
        <f t="shared" si="174"/>
        <v>NOK</v>
      </c>
      <c r="C1373" t="str">
        <f t="shared" si="171"/>
        <v>E</v>
      </c>
      <c r="D1373" t="str">
        <f t="shared" si="172"/>
        <v>B</v>
      </c>
      <c r="E1373" t="str">
        <f t="shared" si="173"/>
        <v>A</v>
      </c>
      <c r="F1373" s="4" t="str">
        <f t="shared" si="175"/>
        <v>G</v>
      </c>
      <c r="G1373" s="4">
        <f t="shared" si="176"/>
        <v>5</v>
      </c>
      <c r="H1373" s="4">
        <f t="shared" si="177"/>
        <v>2</v>
      </c>
      <c r="I1373" s="4">
        <f t="shared" si="178"/>
        <v>1</v>
      </c>
      <c r="J1373" s="4">
        <f t="shared" si="179"/>
        <v>7</v>
      </c>
    </row>
    <row r="1374" spans="1:10" x14ac:dyDescent="0.25">
      <c r="A1374">
        <v>1372</v>
      </c>
      <c r="B1374" s="4" t="str">
        <f t="shared" si="174"/>
        <v>NOK</v>
      </c>
      <c r="C1374" t="str">
        <f t="shared" si="171"/>
        <v>E</v>
      </c>
      <c r="D1374" t="str">
        <f t="shared" si="172"/>
        <v>B</v>
      </c>
      <c r="E1374" t="str">
        <f t="shared" si="173"/>
        <v>A</v>
      </c>
      <c r="F1374" s="4" t="str">
        <f t="shared" si="175"/>
        <v>H</v>
      </c>
      <c r="G1374" s="4">
        <f t="shared" si="176"/>
        <v>5</v>
      </c>
      <c r="H1374" s="4">
        <f t="shared" si="177"/>
        <v>2</v>
      </c>
      <c r="I1374" s="4">
        <f t="shared" si="178"/>
        <v>1</v>
      </c>
      <c r="J1374" s="4">
        <f t="shared" si="179"/>
        <v>8</v>
      </c>
    </row>
    <row r="1375" spans="1:10" x14ac:dyDescent="0.25">
      <c r="A1375">
        <v>1373</v>
      </c>
      <c r="B1375" s="4" t="str">
        <f t="shared" si="174"/>
        <v>NOK</v>
      </c>
      <c r="C1375" t="str">
        <f t="shared" si="171"/>
        <v>E</v>
      </c>
      <c r="D1375" t="str">
        <f t="shared" si="172"/>
        <v>B</v>
      </c>
      <c r="E1375" t="str">
        <f t="shared" si="173"/>
        <v>A</v>
      </c>
      <c r="F1375" s="4" t="str">
        <f t="shared" si="175"/>
        <v>I</v>
      </c>
      <c r="G1375" s="4">
        <f t="shared" si="176"/>
        <v>5</v>
      </c>
      <c r="H1375" s="4">
        <f t="shared" si="177"/>
        <v>2</v>
      </c>
      <c r="I1375" s="4">
        <f t="shared" si="178"/>
        <v>1</v>
      </c>
      <c r="J1375" s="4">
        <f t="shared" si="179"/>
        <v>9</v>
      </c>
    </row>
    <row r="1376" spans="1:10" x14ac:dyDescent="0.25">
      <c r="A1376">
        <v>1374</v>
      </c>
      <c r="B1376" s="4" t="str">
        <f t="shared" si="174"/>
        <v>NOK</v>
      </c>
      <c r="C1376" t="str">
        <f t="shared" si="171"/>
        <v>E</v>
      </c>
      <c r="D1376" t="str">
        <f t="shared" si="172"/>
        <v>B</v>
      </c>
      <c r="E1376" t="str">
        <f t="shared" si="173"/>
        <v>A</v>
      </c>
      <c r="F1376" s="4" t="str">
        <f t="shared" si="175"/>
        <v>J</v>
      </c>
      <c r="G1376" s="4">
        <f t="shared" si="176"/>
        <v>5</v>
      </c>
      <c r="H1376" s="4">
        <f t="shared" si="177"/>
        <v>2</v>
      </c>
      <c r="I1376" s="4">
        <f t="shared" si="178"/>
        <v>1</v>
      </c>
      <c r="J1376" s="4">
        <f t="shared" si="179"/>
        <v>10</v>
      </c>
    </row>
    <row r="1377" spans="1:10" x14ac:dyDescent="0.25">
      <c r="A1377">
        <v>1375</v>
      </c>
      <c r="B1377" s="4" t="str">
        <f t="shared" si="174"/>
        <v>NOK</v>
      </c>
      <c r="C1377" t="str">
        <f t="shared" si="171"/>
        <v>E</v>
      </c>
      <c r="D1377" t="str">
        <f t="shared" si="172"/>
        <v>B</v>
      </c>
      <c r="E1377" t="str">
        <f t="shared" si="173"/>
        <v>A</v>
      </c>
      <c r="F1377" s="4" t="str">
        <f t="shared" si="175"/>
        <v>K</v>
      </c>
      <c r="G1377" s="4">
        <f t="shared" si="176"/>
        <v>5</v>
      </c>
      <c r="H1377" s="4">
        <f t="shared" si="177"/>
        <v>2</v>
      </c>
      <c r="I1377" s="4">
        <f t="shared" si="178"/>
        <v>1</v>
      </c>
      <c r="J1377" s="4">
        <f t="shared" si="179"/>
        <v>11</v>
      </c>
    </row>
    <row r="1378" spans="1:10" x14ac:dyDescent="0.25">
      <c r="A1378">
        <v>1376</v>
      </c>
      <c r="B1378" s="4" t="str">
        <f t="shared" si="174"/>
        <v>NOK</v>
      </c>
      <c r="C1378" t="str">
        <f t="shared" si="171"/>
        <v>E</v>
      </c>
      <c r="D1378" t="str">
        <f t="shared" si="172"/>
        <v>B</v>
      </c>
      <c r="E1378" t="str">
        <f t="shared" si="173"/>
        <v>A</v>
      </c>
      <c r="F1378" s="4" t="str">
        <f t="shared" si="175"/>
        <v>L</v>
      </c>
      <c r="G1378" s="4">
        <f t="shared" si="176"/>
        <v>5</v>
      </c>
      <c r="H1378" s="4">
        <f t="shared" si="177"/>
        <v>2</v>
      </c>
      <c r="I1378" s="4">
        <f t="shared" si="178"/>
        <v>1</v>
      </c>
      <c r="J1378" s="4">
        <f t="shared" si="179"/>
        <v>12</v>
      </c>
    </row>
    <row r="1379" spans="1:10" x14ac:dyDescent="0.25">
      <c r="A1379">
        <v>1377</v>
      </c>
      <c r="B1379" s="4" t="str">
        <f t="shared" si="174"/>
        <v>NOK</v>
      </c>
      <c r="C1379" t="str">
        <f t="shared" si="171"/>
        <v>E</v>
      </c>
      <c r="D1379" t="str">
        <f t="shared" si="172"/>
        <v>B</v>
      </c>
      <c r="E1379" t="str">
        <f t="shared" si="173"/>
        <v>A</v>
      </c>
      <c r="F1379" s="4" t="str">
        <f t="shared" si="175"/>
        <v>M</v>
      </c>
      <c r="G1379" s="4">
        <f t="shared" si="176"/>
        <v>5</v>
      </c>
      <c r="H1379" s="4">
        <f t="shared" si="177"/>
        <v>2</v>
      </c>
      <c r="I1379" s="4">
        <f t="shared" si="178"/>
        <v>1</v>
      </c>
      <c r="J1379" s="4">
        <f t="shared" si="179"/>
        <v>13</v>
      </c>
    </row>
    <row r="1380" spans="1:10" x14ac:dyDescent="0.25">
      <c r="A1380">
        <v>1378</v>
      </c>
      <c r="B1380" s="4" t="str">
        <f t="shared" si="174"/>
        <v>NOK</v>
      </c>
      <c r="C1380" t="str">
        <f t="shared" si="171"/>
        <v>E</v>
      </c>
      <c r="D1380" t="str">
        <f t="shared" si="172"/>
        <v>B</v>
      </c>
      <c r="E1380" t="str">
        <f t="shared" si="173"/>
        <v>B</v>
      </c>
      <c r="F1380" s="4" t="str">
        <f t="shared" si="175"/>
        <v>A</v>
      </c>
      <c r="G1380" s="4">
        <f t="shared" si="176"/>
        <v>5</v>
      </c>
      <c r="H1380" s="4">
        <f t="shared" si="177"/>
        <v>2</v>
      </c>
      <c r="I1380" s="4">
        <f t="shared" si="178"/>
        <v>2</v>
      </c>
      <c r="J1380" s="4">
        <f t="shared" si="179"/>
        <v>1</v>
      </c>
    </row>
    <row r="1381" spans="1:10" x14ac:dyDescent="0.25">
      <c r="A1381">
        <v>1379</v>
      </c>
      <c r="B1381" s="4" t="str">
        <f t="shared" si="174"/>
        <v>NOK</v>
      </c>
      <c r="C1381" t="str">
        <f t="shared" si="171"/>
        <v>E</v>
      </c>
      <c r="D1381" t="str">
        <f t="shared" si="172"/>
        <v>B</v>
      </c>
      <c r="E1381" t="str">
        <f t="shared" si="173"/>
        <v>B</v>
      </c>
      <c r="F1381" s="4" t="str">
        <f t="shared" si="175"/>
        <v>B</v>
      </c>
      <c r="G1381" s="4">
        <f t="shared" si="176"/>
        <v>5</v>
      </c>
      <c r="H1381" s="4">
        <f t="shared" si="177"/>
        <v>2</v>
      </c>
      <c r="I1381" s="4">
        <f t="shared" si="178"/>
        <v>2</v>
      </c>
      <c r="J1381" s="4">
        <f t="shared" si="179"/>
        <v>2</v>
      </c>
    </row>
    <row r="1382" spans="1:10" x14ac:dyDescent="0.25">
      <c r="A1382">
        <v>1380</v>
      </c>
      <c r="B1382" s="4" t="str">
        <f t="shared" si="174"/>
        <v>NOK</v>
      </c>
      <c r="C1382" t="str">
        <f t="shared" si="171"/>
        <v>E</v>
      </c>
      <c r="D1382" t="str">
        <f t="shared" si="172"/>
        <v>B</v>
      </c>
      <c r="E1382" t="str">
        <f t="shared" si="173"/>
        <v>B</v>
      </c>
      <c r="F1382" s="4" t="str">
        <f t="shared" si="175"/>
        <v>C</v>
      </c>
      <c r="G1382" s="4">
        <f t="shared" si="176"/>
        <v>5</v>
      </c>
      <c r="H1382" s="4">
        <f t="shared" si="177"/>
        <v>2</v>
      </c>
      <c r="I1382" s="4">
        <f t="shared" si="178"/>
        <v>2</v>
      </c>
      <c r="J1382" s="4">
        <f t="shared" si="179"/>
        <v>3</v>
      </c>
    </row>
    <row r="1383" spans="1:10" x14ac:dyDescent="0.25">
      <c r="A1383">
        <v>1381</v>
      </c>
      <c r="B1383" s="4" t="str">
        <f t="shared" si="174"/>
        <v>NOK</v>
      </c>
      <c r="C1383" t="str">
        <f t="shared" ref="C1383:C1446" si="180">IF(G1383=1,"A",IF(G1383=2,"B",IF(G1383=3,"C",IF(G1383=4,"D",IF(G1383=5,"E","ERRO")))))</f>
        <v>E</v>
      </c>
      <c r="D1383" t="str">
        <f t="shared" ref="D1383:D1446" si="181">IF(H1383=1,"A",IF(H1383=2,"B",IF(H1383=3,"C",IF(H1383=4,"D",IF(H1383=5,"E","ERRO")))))</f>
        <v>B</v>
      </c>
      <c r="E1383" t="str">
        <f t="shared" ref="E1383:E1446" si="182">IF(I1383=1,"A",IF(I1383=2,"B",IF(I1383=3,"C",IF(I1383=4,"D",IF(I1383=5,"E","ERRO")))))</f>
        <v>B</v>
      </c>
      <c r="F1383" s="4" t="str">
        <f t="shared" si="175"/>
        <v>D</v>
      </c>
      <c r="G1383" s="4">
        <f t="shared" si="176"/>
        <v>5</v>
      </c>
      <c r="H1383" s="4">
        <f t="shared" si="177"/>
        <v>2</v>
      </c>
      <c r="I1383" s="4">
        <f t="shared" si="178"/>
        <v>2</v>
      </c>
      <c r="J1383" s="4">
        <f t="shared" si="179"/>
        <v>4</v>
      </c>
    </row>
    <row r="1384" spans="1:10" x14ac:dyDescent="0.25">
      <c r="A1384">
        <v>1382</v>
      </c>
      <c r="B1384" s="4" t="str">
        <f t="shared" si="174"/>
        <v>NOK</v>
      </c>
      <c r="C1384" t="str">
        <f t="shared" si="180"/>
        <v>E</v>
      </c>
      <c r="D1384" t="str">
        <f t="shared" si="181"/>
        <v>B</v>
      </c>
      <c r="E1384" t="str">
        <f t="shared" si="182"/>
        <v>B</v>
      </c>
      <c r="F1384" s="4" t="str">
        <f t="shared" si="175"/>
        <v>E</v>
      </c>
      <c r="G1384" s="4">
        <f t="shared" si="176"/>
        <v>5</v>
      </c>
      <c r="H1384" s="4">
        <f t="shared" si="177"/>
        <v>2</v>
      </c>
      <c r="I1384" s="4">
        <f t="shared" si="178"/>
        <v>2</v>
      </c>
      <c r="J1384" s="4">
        <f t="shared" si="179"/>
        <v>5</v>
      </c>
    </row>
    <row r="1385" spans="1:10" x14ac:dyDescent="0.25">
      <c r="A1385">
        <v>1383</v>
      </c>
      <c r="B1385" s="4" t="str">
        <f t="shared" si="174"/>
        <v>NOK</v>
      </c>
      <c r="C1385" t="str">
        <f t="shared" si="180"/>
        <v>E</v>
      </c>
      <c r="D1385" t="str">
        <f t="shared" si="181"/>
        <v>B</v>
      </c>
      <c r="E1385" t="str">
        <f t="shared" si="182"/>
        <v>B</v>
      </c>
      <c r="F1385" s="4" t="str">
        <f t="shared" si="175"/>
        <v>F</v>
      </c>
      <c r="G1385" s="4">
        <f t="shared" si="176"/>
        <v>5</v>
      </c>
      <c r="H1385" s="4">
        <f t="shared" si="177"/>
        <v>2</v>
      </c>
      <c r="I1385" s="4">
        <f t="shared" si="178"/>
        <v>2</v>
      </c>
      <c r="J1385" s="4">
        <f t="shared" si="179"/>
        <v>6</v>
      </c>
    </row>
    <row r="1386" spans="1:10" x14ac:dyDescent="0.25">
      <c r="A1386">
        <v>1384</v>
      </c>
      <c r="B1386" s="4" t="str">
        <f t="shared" si="174"/>
        <v>OK</v>
      </c>
      <c r="C1386" t="str">
        <f t="shared" si="180"/>
        <v>E</v>
      </c>
      <c r="D1386" t="str">
        <f t="shared" si="181"/>
        <v>B</v>
      </c>
      <c r="E1386" t="str">
        <f t="shared" si="182"/>
        <v>B</v>
      </c>
      <c r="F1386" s="4" t="str">
        <f t="shared" si="175"/>
        <v>G</v>
      </c>
      <c r="G1386" s="4">
        <f t="shared" si="176"/>
        <v>5</v>
      </c>
      <c r="H1386" s="4">
        <f t="shared" si="177"/>
        <v>2</v>
      </c>
      <c r="I1386" s="4">
        <f t="shared" si="178"/>
        <v>2</v>
      </c>
      <c r="J1386" s="4">
        <f t="shared" si="179"/>
        <v>7</v>
      </c>
    </row>
    <row r="1387" spans="1:10" x14ac:dyDescent="0.25">
      <c r="A1387">
        <v>1385</v>
      </c>
      <c r="B1387" s="4" t="str">
        <f t="shared" si="174"/>
        <v>NOK</v>
      </c>
      <c r="C1387" t="str">
        <f t="shared" si="180"/>
        <v>E</v>
      </c>
      <c r="D1387" t="str">
        <f t="shared" si="181"/>
        <v>B</v>
      </c>
      <c r="E1387" t="str">
        <f t="shared" si="182"/>
        <v>B</v>
      </c>
      <c r="F1387" s="4" t="str">
        <f t="shared" si="175"/>
        <v>H</v>
      </c>
      <c r="G1387" s="4">
        <f t="shared" si="176"/>
        <v>5</v>
      </c>
      <c r="H1387" s="4">
        <f t="shared" si="177"/>
        <v>2</v>
      </c>
      <c r="I1387" s="4">
        <f t="shared" si="178"/>
        <v>2</v>
      </c>
      <c r="J1387" s="4">
        <f t="shared" si="179"/>
        <v>8</v>
      </c>
    </row>
    <row r="1388" spans="1:10" x14ac:dyDescent="0.25">
      <c r="A1388">
        <v>1386</v>
      </c>
      <c r="B1388" s="4" t="str">
        <f t="shared" si="174"/>
        <v>NOK</v>
      </c>
      <c r="C1388" t="str">
        <f t="shared" si="180"/>
        <v>E</v>
      </c>
      <c r="D1388" t="str">
        <f t="shared" si="181"/>
        <v>B</v>
      </c>
      <c r="E1388" t="str">
        <f t="shared" si="182"/>
        <v>B</v>
      </c>
      <c r="F1388" s="4" t="str">
        <f t="shared" si="175"/>
        <v>I</v>
      </c>
      <c r="G1388" s="4">
        <f t="shared" si="176"/>
        <v>5</v>
      </c>
      <c r="H1388" s="4">
        <f t="shared" si="177"/>
        <v>2</v>
      </c>
      <c r="I1388" s="4">
        <f t="shared" si="178"/>
        <v>2</v>
      </c>
      <c r="J1388" s="4">
        <f t="shared" si="179"/>
        <v>9</v>
      </c>
    </row>
    <row r="1389" spans="1:10" x14ac:dyDescent="0.25">
      <c r="A1389">
        <v>1387</v>
      </c>
      <c r="B1389" s="4" t="str">
        <f t="shared" si="174"/>
        <v>NOK</v>
      </c>
      <c r="C1389" t="str">
        <f t="shared" si="180"/>
        <v>E</v>
      </c>
      <c r="D1389" t="str">
        <f t="shared" si="181"/>
        <v>B</v>
      </c>
      <c r="E1389" t="str">
        <f t="shared" si="182"/>
        <v>B</v>
      </c>
      <c r="F1389" s="4" t="str">
        <f t="shared" si="175"/>
        <v>J</v>
      </c>
      <c r="G1389" s="4">
        <f t="shared" si="176"/>
        <v>5</v>
      </c>
      <c r="H1389" s="4">
        <f t="shared" si="177"/>
        <v>2</v>
      </c>
      <c r="I1389" s="4">
        <f t="shared" si="178"/>
        <v>2</v>
      </c>
      <c r="J1389" s="4">
        <f t="shared" si="179"/>
        <v>10</v>
      </c>
    </row>
    <row r="1390" spans="1:10" x14ac:dyDescent="0.25">
      <c r="A1390">
        <v>1388</v>
      </c>
      <c r="B1390" s="4" t="str">
        <f t="shared" si="174"/>
        <v>NOK</v>
      </c>
      <c r="C1390" t="str">
        <f t="shared" si="180"/>
        <v>E</v>
      </c>
      <c r="D1390" t="str">
        <f t="shared" si="181"/>
        <v>B</v>
      </c>
      <c r="E1390" t="str">
        <f t="shared" si="182"/>
        <v>B</v>
      </c>
      <c r="F1390" s="4" t="str">
        <f t="shared" si="175"/>
        <v>K</v>
      </c>
      <c r="G1390" s="4">
        <f t="shared" si="176"/>
        <v>5</v>
      </c>
      <c r="H1390" s="4">
        <f t="shared" si="177"/>
        <v>2</v>
      </c>
      <c r="I1390" s="4">
        <f t="shared" si="178"/>
        <v>2</v>
      </c>
      <c r="J1390" s="4">
        <f t="shared" si="179"/>
        <v>11</v>
      </c>
    </row>
    <row r="1391" spans="1:10" x14ac:dyDescent="0.25">
      <c r="A1391">
        <v>1389</v>
      </c>
      <c r="B1391" s="4" t="str">
        <f t="shared" si="174"/>
        <v>NOK</v>
      </c>
      <c r="C1391" t="str">
        <f t="shared" si="180"/>
        <v>E</v>
      </c>
      <c r="D1391" t="str">
        <f t="shared" si="181"/>
        <v>B</v>
      </c>
      <c r="E1391" t="str">
        <f t="shared" si="182"/>
        <v>B</v>
      </c>
      <c r="F1391" s="4" t="str">
        <f t="shared" si="175"/>
        <v>L</v>
      </c>
      <c r="G1391" s="4">
        <f t="shared" si="176"/>
        <v>5</v>
      </c>
      <c r="H1391" s="4">
        <f t="shared" si="177"/>
        <v>2</v>
      </c>
      <c r="I1391" s="4">
        <f t="shared" si="178"/>
        <v>2</v>
      </c>
      <c r="J1391" s="4">
        <f t="shared" si="179"/>
        <v>12</v>
      </c>
    </row>
    <row r="1392" spans="1:10" x14ac:dyDescent="0.25">
      <c r="A1392">
        <v>1390</v>
      </c>
      <c r="B1392" s="4" t="str">
        <f t="shared" si="174"/>
        <v>NOK</v>
      </c>
      <c r="C1392" t="str">
        <f t="shared" si="180"/>
        <v>E</v>
      </c>
      <c r="D1392" t="str">
        <f t="shared" si="181"/>
        <v>B</v>
      </c>
      <c r="E1392" t="str">
        <f t="shared" si="182"/>
        <v>B</v>
      </c>
      <c r="F1392" s="4" t="str">
        <f t="shared" si="175"/>
        <v>M</v>
      </c>
      <c r="G1392" s="4">
        <f t="shared" si="176"/>
        <v>5</v>
      </c>
      <c r="H1392" s="4">
        <f t="shared" si="177"/>
        <v>2</v>
      </c>
      <c r="I1392" s="4">
        <f t="shared" si="178"/>
        <v>2</v>
      </c>
      <c r="J1392" s="4">
        <f t="shared" si="179"/>
        <v>13</v>
      </c>
    </row>
    <row r="1393" spans="1:10" x14ac:dyDescent="0.25">
      <c r="A1393">
        <v>1391</v>
      </c>
      <c r="B1393" s="4" t="str">
        <f t="shared" si="174"/>
        <v>NOK</v>
      </c>
      <c r="C1393" t="str">
        <f t="shared" si="180"/>
        <v>E</v>
      </c>
      <c r="D1393" t="str">
        <f t="shared" si="181"/>
        <v>B</v>
      </c>
      <c r="E1393" t="str">
        <f t="shared" si="182"/>
        <v>C</v>
      </c>
      <c r="F1393" s="4" t="str">
        <f t="shared" si="175"/>
        <v>A</v>
      </c>
      <c r="G1393" s="4">
        <f t="shared" si="176"/>
        <v>5</v>
      </c>
      <c r="H1393" s="4">
        <f t="shared" si="177"/>
        <v>2</v>
      </c>
      <c r="I1393" s="4">
        <f t="shared" si="178"/>
        <v>3</v>
      </c>
      <c r="J1393" s="4">
        <f t="shared" si="179"/>
        <v>1</v>
      </c>
    </row>
    <row r="1394" spans="1:10" x14ac:dyDescent="0.25">
      <c r="A1394">
        <v>1392</v>
      </c>
      <c r="B1394" s="4" t="str">
        <f t="shared" si="174"/>
        <v>NOK</v>
      </c>
      <c r="C1394" t="str">
        <f t="shared" si="180"/>
        <v>E</v>
      </c>
      <c r="D1394" t="str">
        <f t="shared" si="181"/>
        <v>B</v>
      </c>
      <c r="E1394" t="str">
        <f t="shared" si="182"/>
        <v>C</v>
      </c>
      <c r="F1394" s="4" t="str">
        <f t="shared" si="175"/>
        <v>B</v>
      </c>
      <c r="G1394" s="4">
        <f t="shared" si="176"/>
        <v>5</v>
      </c>
      <c r="H1394" s="4">
        <f t="shared" si="177"/>
        <v>2</v>
      </c>
      <c r="I1394" s="4">
        <f t="shared" si="178"/>
        <v>3</v>
      </c>
      <c r="J1394" s="4">
        <f t="shared" si="179"/>
        <v>2</v>
      </c>
    </row>
    <row r="1395" spans="1:10" x14ac:dyDescent="0.25">
      <c r="A1395">
        <v>1393</v>
      </c>
      <c r="B1395" s="4" t="str">
        <f t="shared" si="174"/>
        <v>NOK</v>
      </c>
      <c r="C1395" t="str">
        <f t="shared" si="180"/>
        <v>E</v>
      </c>
      <c r="D1395" t="str">
        <f t="shared" si="181"/>
        <v>B</v>
      </c>
      <c r="E1395" t="str">
        <f t="shared" si="182"/>
        <v>C</v>
      </c>
      <c r="F1395" s="4" t="str">
        <f t="shared" si="175"/>
        <v>C</v>
      </c>
      <c r="G1395" s="4">
        <f t="shared" si="176"/>
        <v>5</v>
      </c>
      <c r="H1395" s="4">
        <f t="shared" si="177"/>
        <v>2</v>
      </c>
      <c r="I1395" s="4">
        <f t="shared" si="178"/>
        <v>3</v>
      </c>
      <c r="J1395" s="4">
        <f t="shared" si="179"/>
        <v>3</v>
      </c>
    </row>
    <row r="1396" spans="1:10" x14ac:dyDescent="0.25">
      <c r="A1396">
        <v>1394</v>
      </c>
      <c r="B1396" s="4" t="str">
        <f t="shared" si="174"/>
        <v>NOK</v>
      </c>
      <c r="C1396" t="str">
        <f t="shared" si="180"/>
        <v>E</v>
      </c>
      <c r="D1396" t="str">
        <f t="shared" si="181"/>
        <v>B</v>
      </c>
      <c r="E1396" t="str">
        <f t="shared" si="182"/>
        <v>C</v>
      </c>
      <c r="F1396" s="4" t="str">
        <f t="shared" si="175"/>
        <v>D</v>
      </c>
      <c r="G1396" s="4">
        <f t="shared" si="176"/>
        <v>5</v>
      </c>
      <c r="H1396" s="4">
        <f t="shared" si="177"/>
        <v>2</v>
      </c>
      <c r="I1396" s="4">
        <f t="shared" si="178"/>
        <v>3</v>
      </c>
      <c r="J1396" s="4">
        <f t="shared" si="179"/>
        <v>4</v>
      </c>
    </row>
    <row r="1397" spans="1:10" x14ac:dyDescent="0.25">
      <c r="A1397">
        <v>1395</v>
      </c>
      <c r="B1397" s="4" t="str">
        <f t="shared" si="174"/>
        <v>NOK</v>
      </c>
      <c r="C1397" t="str">
        <f t="shared" si="180"/>
        <v>E</v>
      </c>
      <c r="D1397" t="str">
        <f t="shared" si="181"/>
        <v>B</v>
      </c>
      <c r="E1397" t="str">
        <f t="shared" si="182"/>
        <v>C</v>
      </c>
      <c r="F1397" s="4" t="str">
        <f t="shared" si="175"/>
        <v>E</v>
      </c>
      <c r="G1397" s="4">
        <f t="shared" si="176"/>
        <v>5</v>
      </c>
      <c r="H1397" s="4">
        <f t="shared" si="177"/>
        <v>2</v>
      </c>
      <c r="I1397" s="4">
        <f t="shared" si="178"/>
        <v>3</v>
      </c>
      <c r="J1397" s="4">
        <f t="shared" si="179"/>
        <v>5</v>
      </c>
    </row>
    <row r="1398" spans="1:10" x14ac:dyDescent="0.25">
      <c r="A1398">
        <v>1396</v>
      </c>
      <c r="B1398" s="4" t="str">
        <f t="shared" si="174"/>
        <v>NOK</v>
      </c>
      <c r="C1398" t="str">
        <f t="shared" si="180"/>
        <v>E</v>
      </c>
      <c r="D1398" t="str">
        <f t="shared" si="181"/>
        <v>B</v>
      </c>
      <c r="E1398" t="str">
        <f t="shared" si="182"/>
        <v>C</v>
      </c>
      <c r="F1398" s="4" t="str">
        <f t="shared" si="175"/>
        <v>F</v>
      </c>
      <c r="G1398" s="4">
        <f t="shared" si="176"/>
        <v>5</v>
      </c>
      <c r="H1398" s="4">
        <f t="shared" si="177"/>
        <v>2</v>
      </c>
      <c r="I1398" s="4">
        <f t="shared" si="178"/>
        <v>3</v>
      </c>
      <c r="J1398" s="4">
        <f t="shared" si="179"/>
        <v>6</v>
      </c>
    </row>
    <row r="1399" spans="1:10" x14ac:dyDescent="0.25">
      <c r="A1399">
        <v>1397</v>
      </c>
      <c r="B1399" s="4" t="str">
        <f t="shared" si="174"/>
        <v>NOK</v>
      </c>
      <c r="C1399" t="str">
        <f t="shared" si="180"/>
        <v>E</v>
      </c>
      <c r="D1399" t="str">
        <f t="shared" si="181"/>
        <v>B</v>
      </c>
      <c r="E1399" t="str">
        <f t="shared" si="182"/>
        <v>C</v>
      </c>
      <c r="F1399" s="4" t="str">
        <f t="shared" si="175"/>
        <v>G</v>
      </c>
      <c r="G1399" s="4">
        <f t="shared" si="176"/>
        <v>5</v>
      </c>
      <c r="H1399" s="4">
        <f t="shared" si="177"/>
        <v>2</v>
      </c>
      <c r="I1399" s="4">
        <f t="shared" si="178"/>
        <v>3</v>
      </c>
      <c r="J1399" s="4">
        <f t="shared" si="179"/>
        <v>7</v>
      </c>
    </row>
    <row r="1400" spans="1:10" x14ac:dyDescent="0.25">
      <c r="A1400">
        <v>1398</v>
      </c>
      <c r="B1400" s="4" t="str">
        <f t="shared" si="174"/>
        <v>OK</v>
      </c>
      <c r="C1400" t="str">
        <f t="shared" si="180"/>
        <v>E</v>
      </c>
      <c r="D1400" t="str">
        <f t="shared" si="181"/>
        <v>B</v>
      </c>
      <c r="E1400" t="str">
        <f t="shared" si="182"/>
        <v>C</v>
      </c>
      <c r="F1400" s="4" t="str">
        <f t="shared" si="175"/>
        <v>H</v>
      </c>
      <c r="G1400" s="4">
        <f t="shared" si="176"/>
        <v>5</v>
      </c>
      <c r="H1400" s="4">
        <f t="shared" si="177"/>
        <v>2</v>
      </c>
      <c r="I1400" s="4">
        <f t="shared" si="178"/>
        <v>3</v>
      </c>
      <c r="J1400" s="4">
        <f t="shared" si="179"/>
        <v>8</v>
      </c>
    </row>
    <row r="1401" spans="1:10" x14ac:dyDescent="0.25">
      <c r="A1401">
        <v>1399</v>
      </c>
      <c r="B1401" s="4" t="str">
        <f t="shared" si="174"/>
        <v>NOK</v>
      </c>
      <c r="C1401" t="str">
        <f t="shared" si="180"/>
        <v>E</v>
      </c>
      <c r="D1401" t="str">
        <f t="shared" si="181"/>
        <v>B</v>
      </c>
      <c r="E1401" t="str">
        <f t="shared" si="182"/>
        <v>C</v>
      </c>
      <c r="F1401" s="4" t="str">
        <f t="shared" si="175"/>
        <v>I</v>
      </c>
      <c r="G1401" s="4">
        <f t="shared" si="176"/>
        <v>5</v>
      </c>
      <c r="H1401" s="4">
        <f t="shared" si="177"/>
        <v>2</v>
      </c>
      <c r="I1401" s="4">
        <f t="shared" si="178"/>
        <v>3</v>
      </c>
      <c r="J1401" s="4">
        <f t="shared" si="179"/>
        <v>9</v>
      </c>
    </row>
    <row r="1402" spans="1:10" x14ac:dyDescent="0.25">
      <c r="A1402">
        <v>1400</v>
      </c>
      <c r="B1402" s="4" t="str">
        <f t="shared" si="174"/>
        <v>NOK</v>
      </c>
      <c r="C1402" t="str">
        <f t="shared" si="180"/>
        <v>E</v>
      </c>
      <c r="D1402" t="str">
        <f t="shared" si="181"/>
        <v>B</v>
      </c>
      <c r="E1402" t="str">
        <f t="shared" si="182"/>
        <v>C</v>
      </c>
      <c r="F1402" s="4" t="str">
        <f t="shared" si="175"/>
        <v>J</v>
      </c>
      <c r="G1402" s="4">
        <f t="shared" si="176"/>
        <v>5</v>
      </c>
      <c r="H1402" s="4">
        <f t="shared" si="177"/>
        <v>2</v>
      </c>
      <c r="I1402" s="4">
        <f t="shared" si="178"/>
        <v>3</v>
      </c>
      <c r="J1402" s="4">
        <f t="shared" si="179"/>
        <v>10</v>
      </c>
    </row>
    <row r="1403" spans="1:10" x14ac:dyDescent="0.25">
      <c r="A1403">
        <v>1401</v>
      </c>
      <c r="B1403" s="4" t="str">
        <f t="shared" si="174"/>
        <v>NOK</v>
      </c>
      <c r="C1403" t="str">
        <f t="shared" si="180"/>
        <v>E</v>
      </c>
      <c r="D1403" t="str">
        <f t="shared" si="181"/>
        <v>B</v>
      </c>
      <c r="E1403" t="str">
        <f t="shared" si="182"/>
        <v>C</v>
      </c>
      <c r="F1403" s="4" t="str">
        <f t="shared" si="175"/>
        <v>K</v>
      </c>
      <c r="G1403" s="4">
        <f t="shared" si="176"/>
        <v>5</v>
      </c>
      <c r="H1403" s="4">
        <f t="shared" si="177"/>
        <v>2</v>
      </c>
      <c r="I1403" s="4">
        <f t="shared" si="178"/>
        <v>3</v>
      </c>
      <c r="J1403" s="4">
        <f t="shared" si="179"/>
        <v>11</v>
      </c>
    </row>
    <row r="1404" spans="1:10" x14ac:dyDescent="0.25">
      <c r="A1404">
        <v>1402</v>
      </c>
      <c r="B1404" s="4" t="str">
        <f t="shared" si="174"/>
        <v>NOK</v>
      </c>
      <c r="C1404" t="str">
        <f t="shared" si="180"/>
        <v>E</v>
      </c>
      <c r="D1404" t="str">
        <f t="shared" si="181"/>
        <v>B</v>
      </c>
      <c r="E1404" t="str">
        <f t="shared" si="182"/>
        <v>C</v>
      </c>
      <c r="F1404" s="4" t="str">
        <f t="shared" si="175"/>
        <v>L</v>
      </c>
      <c r="G1404" s="4">
        <f t="shared" si="176"/>
        <v>5</v>
      </c>
      <c r="H1404" s="4">
        <f t="shared" si="177"/>
        <v>2</v>
      </c>
      <c r="I1404" s="4">
        <f t="shared" si="178"/>
        <v>3</v>
      </c>
      <c r="J1404" s="4">
        <f t="shared" si="179"/>
        <v>12</v>
      </c>
    </row>
    <row r="1405" spans="1:10" x14ac:dyDescent="0.25">
      <c r="A1405">
        <v>1403</v>
      </c>
      <c r="B1405" s="4" t="str">
        <f t="shared" si="174"/>
        <v>NOK</v>
      </c>
      <c r="C1405" t="str">
        <f t="shared" si="180"/>
        <v>E</v>
      </c>
      <c r="D1405" t="str">
        <f t="shared" si="181"/>
        <v>B</v>
      </c>
      <c r="E1405" t="str">
        <f t="shared" si="182"/>
        <v>C</v>
      </c>
      <c r="F1405" s="4" t="str">
        <f t="shared" si="175"/>
        <v>M</v>
      </c>
      <c r="G1405" s="4">
        <f t="shared" si="176"/>
        <v>5</v>
      </c>
      <c r="H1405" s="4">
        <f t="shared" si="177"/>
        <v>2</v>
      </c>
      <c r="I1405" s="4">
        <f t="shared" si="178"/>
        <v>3</v>
      </c>
      <c r="J1405" s="4">
        <f t="shared" si="179"/>
        <v>13</v>
      </c>
    </row>
    <row r="1406" spans="1:10" x14ac:dyDescent="0.25">
      <c r="A1406">
        <v>1404</v>
      </c>
      <c r="B1406" s="4" t="str">
        <f t="shared" si="174"/>
        <v>NOK</v>
      </c>
      <c r="C1406" t="str">
        <f t="shared" si="180"/>
        <v>E</v>
      </c>
      <c r="D1406" t="str">
        <f t="shared" si="181"/>
        <v>B</v>
      </c>
      <c r="E1406" t="str">
        <f t="shared" si="182"/>
        <v>D</v>
      </c>
      <c r="F1406" s="4" t="str">
        <f t="shared" si="175"/>
        <v>A</v>
      </c>
      <c r="G1406" s="4">
        <f t="shared" si="176"/>
        <v>5</v>
      </c>
      <c r="H1406" s="4">
        <f t="shared" si="177"/>
        <v>2</v>
      </c>
      <c r="I1406" s="4">
        <f t="shared" si="178"/>
        <v>4</v>
      </c>
      <c r="J1406" s="4">
        <f t="shared" si="179"/>
        <v>1</v>
      </c>
    </row>
    <row r="1407" spans="1:10" x14ac:dyDescent="0.25">
      <c r="A1407">
        <v>1405</v>
      </c>
      <c r="B1407" s="4" t="str">
        <f t="shared" si="174"/>
        <v>NOK</v>
      </c>
      <c r="C1407" t="str">
        <f t="shared" si="180"/>
        <v>E</v>
      </c>
      <c r="D1407" t="str">
        <f t="shared" si="181"/>
        <v>B</v>
      </c>
      <c r="E1407" t="str">
        <f t="shared" si="182"/>
        <v>D</v>
      </c>
      <c r="F1407" s="4" t="str">
        <f t="shared" si="175"/>
        <v>B</v>
      </c>
      <c r="G1407" s="4">
        <f t="shared" si="176"/>
        <v>5</v>
      </c>
      <c r="H1407" s="4">
        <f t="shared" si="177"/>
        <v>2</v>
      </c>
      <c r="I1407" s="4">
        <f t="shared" si="178"/>
        <v>4</v>
      </c>
      <c r="J1407" s="4">
        <f t="shared" si="179"/>
        <v>2</v>
      </c>
    </row>
    <row r="1408" spans="1:10" x14ac:dyDescent="0.25">
      <c r="A1408">
        <v>1406</v>
      </c>
      <c r="B1408" s="4" t="str">
        <f t="shared" si="174"/>
        <v>NOK</v>
      </c>
      <c r="C1408" t="str">
        <f t="shared" si="180"/>
        <v>E</v>
      </c>
      <c r="D1408" t="str">
        <f t="shared" si="181"/>
        <v>B</v>
      </c>
      <c r="E1408" t="str">
        <f t="shared" si="182"/>
        <v>D</v>
      </c>
      <c r="F1408" s="4" t="str">
        <f t="shared" si="175"/>
        <v>C</v>
      </c>
      <c r="G1408" s="4">
        <f t="shared" si="176"/>
        <v>5</v>
      </c>
      <c r="H1408" s="4">
        <f t="shared" si="177"/>
        <v>2</v>
      </c>
      <c r="I1408" s="4">
        <f t="shared" si="178"/>
        <v>4</v>
      </c>
      <c r="J1408" s="4">
        <f t="shared" si="179"/>
        <v>3</v>
      </c>
    </row>
    <row r="1409" spans="1:10" x14ac:dyDescent="0.25">
      <c r="A1409">
        <v>1407</v>
      </c>
      <c r="B1409" s="4" t="str">
        <f t="shared" si="174"/>
        <v>NOK</v>
      </c>
      <c r="C1409" t="str">
        <f t="shared" si="180"/>
        <v>E</v>
      </c>
      <c r="D1409" t="str">
        <f t="shared" si="181"/>
        <v>B</v>
      </c>
      <c r="E1409" t="str">
        <f t="shared" si="182"/>
        <v>D</v>
      </c>
      <c r="F1409" s="4" t="str">
        <f t="shared" si="175"/>
        <v>D</v>
      </c>
      <c r="G1409" s="4">
        <f t="shared" si="176"/>
        <v>5</v>
      </c>
      <c r="H1409" s="4">
        <f t="shared" si="177"/>
        <v>2</v>
      </c>
      <c r="I1409" s="4">
        <f t="shared" si="178"/>
        <v>4</v>
      </c>
      <c r="J1409" s="4">
        <f t="shared" si="179"/>
        <v>4</v>
      </c>
    </row>
    <row r="1410" spans="1:10" x14ac:dyDescent="0.25">
      <c r="A1410">
        <v>1408</v>
      </c>
      <c r="B1410" s="4" t="str">
        <f t="shared" ref="B1410:B1473" si="183">IF(ROUND(_xlfn.XLOOKUP(C1410,$U$1:$U$5,$T$1:$T$5,,0,1)+_xlfn.XLOOKUP(D1410,$W$1:$W$5,$V$1:$V$5,,0,1)+_xlfn.XLOOKUP(E1410,$Y$1:$Y$5,$X$1:$X$5,,0,1)-_xlfn.XLOOKUP(F1410,$AA$1:$AA$13,$Z$1:$Z$13,,0,1),3)=0.325,"OK","NOK")</f>
        <v>NOK</v>
      </c>
      <c r="C1410" t="str">
        <f t="shared" si="180"/>
        <v>E</v>
      </c>
      <c r="D1410" t="str">
        <f t="shared" si="181"/>
        <v>B</v>
      </c>
      <c r="E1410" t="str">
        <f t="shared" si="182"/>
        <v>D</v>
      </c>
      <c r="F1410" s="4" t="str">
        <f t="shared" ref="F1410:F1473" si="184">IF(J1410=1,"A",IF(J1410=2,"B",IF(J1410=3,"C",IF(J1410=4,"D",IF(J1410=5,"E",IF(J1410=6,"F",IF(J1410=7,"G",IF(J1410=8,"H",IF(J1410=9,"I",IF(J1410=10,"J",IF(J1410=11,"K",IF(J1410=12,"L",IF(J1410=13,"M","ERRO")))))))))))))</f>
        <v>E</v>
      </c>
      <c r="G1410" s="4">
        <f t="shared" ref="G1410:G1473" si="185">INT($A1410/325)+1</f>
        <v>5</v>
      </c>
      <c r="H1410" s="4">
        <f t="shared" ref="H1410:H1473" si="186">INT(MOD($A1410,325)/65)+1</f>
        <v>2</v>
      </c>
      <c r="I1410" s="4">
        <f t="shared" ref="I1410:I1473" si="187">INT(MOD($A1410,65)/13)+1</f>
        <v>4</v>
      </c>
      <c r="J1410" s="4">
        <f t="shared" ref="J1410:J1473" si="188">MOD($A1410,13)+1</f>
        <v>5</v>
      </c>
    </row>
    <row r="1411" spans="1:10" x14ac:dyDescent="0.25">
      <c r="A1411">
        <v>1409</v>
      </c>
      <c r="B1411" s="4" t="str">
        <f t="shared" si="183"/>
        <v>NOK</v>
      </c>
      <c r="C1411" t="str">
        <f t="shared" si="180"/>
        <v>E</v>
      </c>
      <c r="D1411" t="str">
        <f t="shared" si="181"/>
        <v>B</v>
      </c>
      <c r="E1411" t="str">
        <f t="shared" si="182"/>
        <v>D</v>
      </c>
      <c r="F1411" s="4" t="str">
        <f t="shared" si="184"/>
        <v>F</v>
      </c>
      <c r="G1411" s="4">
        <f t="shared" si="185"/>
        <v>5</v>
      </c>
      <c r="H1411" s="4">
        <f t="shared" si="186"/>
        <v>2</v>
      </c>
      <c r="I1411" s="4">
        <f t="shared" si="187"/>
        <v>4</v>
      </c>
      <c r="J1411" s="4">
        <f t="shared" si="188"/>
        <v>6</v>
      </c>
    </row>
    <row r="1412" spans="1:10" x14ac:dyDescent="0.25">
      <c r="A1412">
        <v>1410</v>
      </c>
      <c r="B1412" s="4" t="str">
        <f t="shared" si="183"/>
        <v>NOK</v>
      </c>
      <c r="C1412" t="str">
        <f t="shared" si="180"/>
        <v>E</v>
      </c>
      <c r="D1412" t="str">
        <f t="shared" si="181"/>
        <v>B</v>
      </c>
      <c r="E1412" t="str">
        <f t="shared" si="182"/>
        <v>D</v>
      </c>
      <c r="F1412" s="4" t="str">
        <f t="shared" si="184"/>
        <v>G</v>
      </c>
      <c r="G1412" s="4">
        <f t="shared" si="185"/>
        <v>5</v>
      </c>
      <c r="H1412" s="4">
        <f t="shared" si="186"/>
        <v>2</v>
      </c>
      <c r="I1412" s="4">
        <f t="shared" si="187"/>
        <v>4</v>
      </c>
      <c r="J1412" s="4">
        <f t="shared" si="188"/>
        <v>7</v>
      </c>
    </row>
    <row r="1413" spans="1:10" x14ac:dyDescent="0.25">
      <c r="A1413">
        <v>1411</v>
      </c>
      <c r="B1413" s="4" t="str">
        <f t="shared" si="183"/>
        <v>NOK</v>
      </c>
      <c r="C1413" t="str">
        <f t="shared" si="180"/>
        <v>E</v>
      </c>
      <c r="D1413" t="str">
        <f t="shared" si="181"/>
        <v>B</v>
      </c>
      <c r="E1413" t="str">
        <f t="shared" si="182"/>
        <v>D</v>
      </c>
      <c r="F1413" s="4" t="str">
        <f t="shared" si="184"/>
        <v>H</v>
      </c>
      <c r="G1413" s="4">
        <f t="shared" si="185"/>
        <v>5</v>
      </c>
      <c r="H1413" s="4">
        <f t="shared" si="186"/>
        <v>2</v>
      </c>
      <c r="I1413" s="4">
        <f t="shared" si="187"/>
        <v>4</v>
      </c>
      <c r="J1413" s="4">
        <f t="shared" si="188"/>
        <v>8</v>
      </c>
    </row>
    <row r="1414" spans="1:10" x14ac:dyDescent="0.25">
      <c r="A1414">
        <v>1412</v>
      </c>
      <c r="B1414" s="4" t="str">
        <f t="shared" si="183"/>
        <v>OK</v>
      </c>
      <c r="C1414" t="str">
        <f t="shared" si="180"/>
        <v>E</v>
      </c>
      <c r="D1414" t="str">
        <f t="shared" si="181"/>
        <v>B</v>
      </c>
      <c r="E1414" t="str">
        <f t="shared" si="182"/>
        <v>D</v>
      </c>
      <c r="F1414" s="4" t="str">
        <f t="shared" si="184"/>
        <v>I</v>
      </c>
      <c r="G1414" s="4">
        <f t="shared" si="185"/>
        <v>5</v>
      </c>
      <c r="H1414" s="4">
        <f t="shared" si="186"/>
        <v>2</v>
      </c>
      <c r="I1414" s="4">
        <f t="shared" si="187"/>
        <v>4</v>
      </c>
      <c r="J1414" s="4">
        <f t="shared" si="188"/>
        <v>9</v>
      </c>
    </row>
    <row r="1415" spans="1:10" x14ac:dyDescent="0.25">
      <c r="A1415">
        <v>1413</v>
      </c>
      <c r="B1415" s="4" t="str">
        <f t="shared" si="183"/>
        <v>NOK</v>
      </c>
      <c r="C1415" t="str">
        <f t="shared" si="180"/>
        <v>E</v>
      </c>
      <c r="D1415" t="str">
        <f t="shared" si="181"/>
        <v>B</v>
      </c>
      <c r="E1415" t="str">
        <f t="shared" si="182"/>
        <v>D</v>
      </c>
      <c r="F1415" s="4" t="str">
        <f t="shared" si="184"/>
        <v>J</v>
      </c>
      <c r="G1415" s="4">
        <f t="shared" si="185"/>
        <v>5</v>
      </c>
      <c r="H1415" s="4">
        <f t="shared" si="186"/>
        <v>2</v>
      </c>
      <c r="I1415" s="4">
        <f t="shared" si="187"/>
        <v>4</v>
      </c>
      <c r="J1415" s="4">
        <f t="shared" si="188"/>
        <v>10</v>
      </c>
    </row>
    <row r="1416" spans="1:10" x14ac:dyDescent="0.25">
      <c r="A1416">
        <v>1414</v>
      </c>
      <c r="B1416" s="4" t="str">
        <f t="shared" si="183"/>
        <v>NOK</v>
      </c>
      <c r="C1416" t="str">
        <f t="shared" si="180"/>
        <v>E</v>
      </c>
      <c r="D1416" t="str">
        <f t="shared" si="181"/>
        <v>B</v>
      </c>
      <c r="E1416" t="str">
        <f t="shared" si="182"/>
        <v>D</v>
      </c>
      <c r="F1416" s="4" t="str">
        <f t="shared" si="184"/>
        <v>K</v>
      </c>
      <c r="G1416" s="4">
        <f t="shared" si="185"/>
        <v>5</v>
      </c>
      <c r="H1416" s="4">
        <f t="shared" si="186"/>
        <v>2</v>
      </c>
      <c r="I1416" s="4">
        <f t="shared" si="187"/>
        <v>4</v>
      </c>
      <c r="J1416" s="4">
        <f t="shared" si="188"/>
        <v>11</v>
      </c>
    </row>
    <row r="1417" spans="1:10" x14ac:dyDescent="0.25">
      <c r="A1417">
        <v>1415</v>
      </c>
      <c r="B1417" s="4" t="str">
        <f t="shared" si="183"/>
        <v>NOK</v>
      </c>
      <c r="C1417" t="str">
        <f t="shared" si="180"/>
        <v>E</v>
      </c>
      <c r="D1417" t="str">
        <f t="shared" si="181"/>
        <v>B</v>
      </c>
      <c r="E1417" t="str">
        <f t="shared" si="182"/>
        <v>D</v>
      </c>
      <c r="F1417" s="4" t="str">
        <f t="shared" si="184"/>
        <v>L</v>
      </c>
      <c r="G1417" s="4">
        <f t="shared" si="185"/>
        <v>5</v>
      </c>
      <c r="H1417" s="4">
        <f t="shared" si="186"/>
        <v>2</v>
      </c>
      <c r="I1417" s="4">
        <f t="shared" si="187"/>
        <v>4</v>
      </c>
      <c r="J1417" s="4">
        <f t="shared" si="188"/>
        <v>12</v>
      </c>
    </row>
    <row r="1418" spans="1:10" x14ac:dyDescent="0.25">
      <c r="A1418">
        <v>1416</v>
      </c>
      <c r="B1418" s="4" t="str">
        <f t="shared" si="183"/>
        <v>NOK</v>
      </c>
      <c r="C1418" t="str">
        <f t="shared" si="180"/>
        <v>E</v>
      </c>
      <c r="D1418" t="str">
        <f t="shared" si="181"/>
        <v>B</v>
      </c>
      <c r="E1418" t="str">
        <f t="shared" si="182"/>
        <v>D</v>
      </c>
      <c r="F1418" s="4" t="str">
        <f t="shared" si="184"/>
        <v>M</v>
      </c>
      <c r="G1418" s="4">
        <f t="shared" si="185"/>
        <v>5</v>
      </c>
      <c r="H1418" s="4">
        <f t="shared" si="186"/>
        <v>2</v>
      </c>
      <c r="I1418" s="4">
        <f t="shared" si="187"/>
        <v>4</v>
      </c>
      <c r="J1418" s="4">
        <f t="shared" si="188"/>
        <v>13</v>
      </c>
    </row>
    <row r="1419" spans="1:10" x14ac:dyDescent="0.25">
      <c r="A1419">
        <v>1417</v>
      </c>
      <c r="B1419" s="4" t="str">
        <f t="shared" si="183"/>
        <v>NOK</v>
      </c>
      <c r="C1419" t="str">
        <f t="shared" si="180"/>
        <v>E</v>
      </c>
      <c r="D1419" t="str">
        <f t="shared" si="181"/>
        <v>B</v>
      </c>
      <c r="E1419" t="str">
        <f t="shared" si="182"/>
        <v>E</v>
      </c>
      <c r="F1419" s="4" t="str">
        <f t="shared" si="184"/>
        <v>A</v>
      </c>
      <c r="G1419" s="4">
        <f t="shared" si="185"/>
        <v>5</v>
      </c>
      <c r="H1419" s="4">
        <f t="shared" si="186"/>
        <v>2</v>
      </c>
      <c r="I1419" s="4">
        <f t="shared" si="187"/>
        <v>5</v>
      </c>
      <c r="J1419" s="4">
        <f t="shared" si="188"/>
        <v>1</v>
      </c>
    </row>
    <row r="1420" spans="1:10" x14ac:dyDescent="0.25">
      <c r="A1420">
        <v>1418</v>
      </c>
      <c r="B1420" s="4" t="str">
        <f t="shared" si="183"/>
        <v>NOK</v>
      </c>
      <c r="C1420" t="str">
        <f t="shared" si="180"/>
        <v>E</v>
      </c>
      <c r="D1420" t="str">
        <f t="shared" si="181"/>
        <v>B</v>
      </c>
      <c r="E1420" t="str">
        <f t="shared" si="182"/>
        <v>E</v>
      </c>
      <c r="F1420" s="4" t="str">
        <f t="shared" si="184"/>
        <v>B</v>
      </c>
      <c r="G1420" s="4">
        <f t="shared" si="185"/>
        <v>5</v>
      </c>
      <c r="H1420" s="4">
        <f t="shared" si="186"/>
        <v>2</v>
      </c>
      <c r="I1420" s="4">
        <f t="shared" si="187"/>
        <v>5</v>
      </c>
      <c r="J1420" s="4">
        <f t="shared" si="188"/>
        <v>2</v>
      </c>
    </row>
    <row r="1421" spans="1:10" x14ac:dyDescent="0.25">
      <c r="A1421">
        <v>1419</v>
      </c>
      <c r="B1421" s="4" t="str">
        <f t="shared" si="183"/>
        <v>NOK</v>
      </c>
      <c r="C1421" t="str">
        <f t="shared" si="180"/>
        <v>E</v>
      </c>
      <c r="D1421" t="str">
        <f t="shared" si="181"/>
        <v>B</v>
      </c>
      <c r="E1421" t="str">
        <f t="shared" si="182"/>
        <v>E</v>
      </c>
      <c r="F1421" s="4" t="str">
        <f t="shared" si="184"/>
        <v>C</v>
      </c>
      <c r="G1421" s="4">
        <f t="shared" si="185"/>
        <v>5</v>
      </c>
      <c r="H1421" s="4">
        <f t="shared" si="186"/>
        <v>2</v>
      </c>
      <c r="I1421" s="4">
        <f t="shared" si="187"/>
        <v>5</v>
      </c>
      <c r="J1421" s="4">
        <f t="shared" si="188"/>
        <v>3</v>
      </c>
    </row>
    <row r="1422" spans="1:10" x14ac:dyDescent="0.25">
      <c r="A1422">
        <v>1420</v>
      </c>
      <c r="B1422" s="4" t="str">
        <f t="shared" si="183"/>
        <v>NOK</v>
      </c>
      <c r="C1422" t="str">
        <f t="shared" si="180"/>
        <v>E</v>
      </c>
      <c r="D1422" t="str">
        <f t="shared" si="181"/>
        <v>B</v>
      </c>
      <c r="E1422" t="str">
        <f t="shared" si="182"/>
        <v>E</v>
      </c>
      <c r="F1422" s="4" t="str">
        <f t="shared" si="184"/>
        <v>D</v>
      </c>
      <c r="G1422" s="4">
        <f t="shared" si="185"/>
        <v>5</v>
      </c>
      <c r="H1422" s="4">
        <f t="shared" si="186"/>
        <v>2</v>
      </c>
      <c r="I1422" s="4">
        <f t="shared" si="187"/>
        <v>5</v>
      </c>
      <c r="J1422" s="4">
        <f t="shared" si="188"/>
        <v>4</v>
      </c>
    </row>
    <row r="1423" spans="1:10" x14ac:dyDescent="0.25">
      <c r="A1423">
        <v>1421</v>
      </c>
      <c r="B1423" s="4" t="str">
        <f t="shared" si="183"/>
        <v>NOK</v>
      </c>
      <c r="C1423" t="str">
        <f t="shared" si="180"/>
        <v>E</v>
      </c>
      <c r="D1423" t="str">
        <f t="shared" si="181"/>
        <v>B</v>
      </c>
      <c r="E1423" t="str">
        <f t="shared" si="182"/>
        <v>E</v>
      </c>
      <c r="F1423" s="4" t="str">
        <f t="shared" si="184"/>
        <v>E</v>
      </c>
      <c r="G1423" s="4">
        <f t="shared" si="185"/>
        <v>5</v>
      </c>
      <c r="H1423" s="4">
        <f t="shared" si="186"/>
        <v>2</v>
      </c>
      <c r="I1423" s="4">
        <f t="shared" si="187"/>
        <v>5</v>
      </c>
      <c r="J1423" s="4">
        <f t="shared" si="188"/>
        <v>5</v>
      </c>
    </row>
    <row r="1424" spans="1:10" x14ac:dyDescent="0.25">
      <c r="A1424">
        <v>1422</v>
      </c>
      <c r="B1424" s="4" t="str">
        <f t="shared" si="183"/>
        <v>NOK</v>
      </c>
      <c r="C1424" t="str">
        <f t="shared" si="180"/>
        <v>E</v>
      </c>
      <c r="D1424" t="str">
        <f t="shared" si="181"/>
        <v>B</v>
      </c>
      <c r="E1424" t="str">
        <f t="shared" si="182"/>
        <v>E</v>
      </c>
      <c r="F1424" s="4" t="str">
        <f t="shared" si="184"/>
        <v>F</v>
      </c>
      <c r="G1424" s="4">
        <f t="shared" si="185"/>
        <v>5</v>
      </c>
      <c r="H1424" s="4">
        <f t="shared" si="186"/>
        <v>2</v>
      </c>
      <c r="I1424" s="4">
        <f t="shared" si="187"/>
        <v>5</v>
      </c>
      <c r="J1424" s="4">
        <f t="shared" si="188"/>
        <v>6</v>
      </c>
    </row>
    <row r="1425" spans="1:10" x14ac:dyDescent="0.25">
      <c r="A1425">
        <v>1423</v>
      </c>
      <c r="B1425" s="4" t="str">
        <f t="shared" si="183"/>
        <v>NOK</v>
      </c>
      <c r="C1425" t="str">
        <f t="shared" si="180"/>
        <v>E</v>
      </c>
      <c r="D1425" t="str">
        <f t="shared" si="181"/>
        <v>B</v>
      </c>
      <c r="E1425" t="str">
        <f t="shared" si="182"/>
        <v>E</v>
      </c>
      <c r="F1425" s="4" t="str">
        <f t="shared" si="184"/>
        <v>G</v>
      </c>
      <c r="G1425" s="4">
        <f t="shared" si="185"/>
        <v>5</v>
      </c>
      <c r="H1425" s="4">
        <f t="shared" si="186"/>
        <v>2</v>
      </c>
      <c r="I1425" s="4">
        <f t="shared" si="187"/>
        <v>5</v>
      </c>
      <c r="J1425" s="4">
        <f t="shared" si="188"/>
        <v>7</v>
      </c>
    </row>
    <row r="1426" spans="1:10" x14ac:dyDescent="0.25">
      <c r="A1426">
        <v>1424</v>
      </c>
      <c r="B1426" s="4" t="str">
        <f t="shared" si="183"/>
        <v>NOK</v>
      </c>
      <c r="C1426" t="str">
        <f t="shared" si="180"/>
        <v>E</v>
      </c>
      <c r="D1426" t="str">
        <f t="shared" si="181"/>
        <v>B</v>
      </c>
      <c r="E1426" t="str">
        <f t="shared" si="182"/>
        <v>E</v>
      </c>
      <c r="F1426" s="4" t="str">
        <f t="shared" si="184"/>
        <v>H</v>
      </c>
      <c r="G1426" s="4">
        <f t="shared" si="185"/>
        <v>5</v>
      </c>
      <c r="H1426" s="4">
        <f t="shared" si="186"/>
        <v>2</v>
      </c>
      <c r="I1426" s="4">
        <f t="shared" si="187"/>
        <v>5</v>
      </c>
      <c r="J1426" s="4">
        <f t="shared" si="188"/>
        <v>8</v>
      </c>
    </row>
    <row r="1427" spans="1:10" x14ac:dyDescent="0.25">
      <c r="A1427">
        <v>1425</v>
      </c>
      <c r="B1427" s="4" t="str">
        <f t="shared" si="183"/>
        <v>NOK</v>
      </c>
      <c r="C1427" t="str">
        <f t="shared" si="180"/>
        <v>E</v>
      </c>
      <c r="D1427" t="str">
        <f t="shared" si="181"/>
        <v>B</v>
      </c>
      <c r="E1427" t="str">
        <f t="shared" si="182"/>
        <v>E</v>
      </c>
      <c r="F1427" s="4" t="str">
        <f t="shared" si="184"/>
        <v>I</v>
      </c>
      <c r="G1427" s="4">
        <f t="shared" si="185"/>
        <v>5</v>
      </c>
      <c r="H1427" s="4">
        <f t="shared" si="186"/>
        <v>2</v>
      </c>
      <c r="I1427" s="4">
        <f t="shared" si="187"/>
        <v>5</v>
      </c>
      <c r="J1427" s="4">
        <f t="shared" si="188"/>
        <v>9</v>
      </c>
    </row>
    <row r="1428" spans="1:10" x14ac:dyDescent="0.25">
      <c r="A1428">
        <v>1426</v>
      </c>
      <c r="B1428" s="4" t="str">
        <f t="shared" si="183"/>
        <v>OK</v>
      </c>
      <c r="C1428" t="str">
        <f t="shared" si="180"/>
        <v>E</v>
      </c>
      <c r="D1428" t="str">
        <f t="shared" si="181"/>
        <v>B</v>
      </c>
      <c r="E1428" t="str">
        <f t="shared" si="182"/>
        <v>E</v>
      </c>
      <c r="F1428" s="4" t="str">
        <f t="shared" si="184"/>
        <v>J</v>
      </c>
      <c r="G1428" s="4">
        <f t="shared" si="185"/>
        <v>5</v>
      </c>
      <c r="H1428" s="4">
        <f t="shared" si="186"/>
        <v>2</v>
      </c>
      <c r="I1428" s="4">
        <f t="shared" si="187"/>
        <v>5</v>
      </c>
      <c r="J1428" s="4">
        <f t="shared" si="188"/>
        <v>10</v>
      </c>
    </row>
    <row r="1429" spans="1:10" x14ac:dyDescent="0.25">
      <c r="A1429">
        <v>1427</v>
      </c>
      <c r="B1429" s="4" t="str">
        <f t="shared" si="183"/>
        <v>NOK</v>
      </c>
      <c r="C1429" t="str">
        <f t="shared" si="180"/>
        <v>E</v>
      </c>
      <c r="D1429" t="str">
        <f t="shared" si="181"/>
        <v>B</v>
      </c>
      <c r="E1429" t="str">
        <f t="shared" si="182"/>
        <v>E</v>
      </c>
      <c r="F1429" s="4" t="str">
        <f t="shared" si="184"/>
        <v>K</v>
      </c>
      <c r="G1429" s="4">
        <f t="shared" si="185"/>
        <v>5</v>
      </c>
      <c r="H1429" s="4">
        <f t="shared" si="186"/>
        <v>2</v>
      </c>
      <c r="I1429" s="4">
        <f t="shared" si="187"/>
        <v>5</v>
      </c>
      <c r="J1429" s="4">
        <f t="shared" si="188"/>
        <v>11</v>
      </c>
    </row>
    <row r="1430" spans="1:10" x14ac:dyDescent="0.25">
      <c r="A1430">
        <v>1428</v>
      </c>
      <c r="B1430" s="4" t="str">
        <f t="shared" si="183"/>
        <v>NOK</v>
      </c>
      <c r="C1430" t="str">
        <f t="shared" si="180"/>
        <v>E</v>
      </c>
      <c r="D1430" t="str">
        <f t="shared" si="181"/>
        <v>B</v>
      </c>
      <c r="E1430" t="str">
        <f t="shared" si="182"/>
        <v>E</v>
      </c>
      <c r="F1430" s="4" t="str">
        <f t="shared" si="184"/>
        <v>L</v>
      </c>
      <c r="G1430" s="4">
        <f t="shared" si="185"/>
        <v>5</v>
      </c>
      <c r="H1430" s="4">
        <f t="shared" si="186"/>
        <v>2</v>
      </c>
      <c r="I1430" s="4">
        <f t="shared" si="187"/>
        <v>5</v>
      </c>
      <c r="J1430" s="4">
        <f t="shared" si="188"/>
        <v>12</v>
      </c>
    </row>
    <row r="1431" spans="1:10" x14ac:dyDescent="0.25">
      <c r="A1431">
        <v>1429</v>
      </c>
      <c r="B1431" s="4" t="str">
        <f t="shared" si="183"/>
        <v>NOK</v>
      </c>
      <c r="C1431" t="str">
        <f t="shared" si="180"/>
        <v>E</v>
      </c>
      <c r="D1431" t="str">
        <f t="shared" si="181"/>
        <v>B</v>
      </c>
      <c r="E1431" t="str">
        <f t="shared" si="182"/>
        <v>E</v>
      </c>
      <c r="F1431" s="4" t="str">
        <f t="shared" si="184"/>
        <v>M</v>
      </c>
      <c r="G1431" s="4">
        <f t="shared" si="185"/>
        <v>5</v>
      </c>
      <c r="H1431" s="4">
        <f t="shared" si="186"/>
        <v>2</v>
      </c>
      <c r="I1431" s="4">
        <f t="shared" si="187"/>
        <v>5</v>
      </c>
      <c r="J1431" s="4">
        <f t="shared" si="188"/>
        <v>13</v>
      </c>
    </row>
    <row r="1432" spans="1:10" x14ac:dyDescent="0.25">
      <c r="A1432">
        <v>1430</v>
      </c>
      <c r="B1432" s="4" t="str">
        <f t="shared" si="183"/>
        <v>NOK</v>
      </c>
      <c r="C1432" t="str">
        <f t="shared" si="180"/>
        <v>E</v>
      </c>
      <c r="D1432" t="str">
        <f t="shared" si="181"/>
        <v>C</v>
      </c>
      <c r="E1432" t="str">
        <f t="shared" si="182"/>
        <v>A</v>
      </c>
      <c r="F1432" s="4" t="str">
        <f t="shared" si="184"/>
        <v>A</v>
      </c>
      <c r="G1432" s="4">
        <f t="shared" si="185"/>
        <v>5</v>
      </c>
      <c r="H1432" s="4">
        <f t="shared" si="186"/>
        <v>3</v>
      </c>
      <c r="I1432" s="4">
        <f t="shared" si="187"/>
        <v>1</v>
      </c>
      <c r="J1432" s="4">
        <f t="shared" si="188"/>
        <v>1</v>
      </c>
    </row>
    <row r="1433" spans="1:10" x14ac:dyDescent="0.25">
      <c r="A1433">
        <v>1431</v>
      </c>
      <c r="B1433" s="4" t="str">
        <f t="shared" si="183"/>
        <v>NOK</v>
      </c>
      <c r="C1433" t="str">
        <f t="shared" si="180"/>
        <v>E</v>
      </c>
      <c r="D1433" t="str">
        <f t="shared" si="181"/>
        <v>C</v>
      </c>
      <c r="E1433" t="str">
        <f t="shared" si="182"/>
        <v>A</v>
      </c>
      <c r="F1433" s="4" t="str">
        <f t="shared" si="184"/>
        <v>B</v>
      </c>
      <c r="G1433" s="4">
        <f t="shared" si="185"/>
        <v>5</v>
      </c>
      <c r="H1433" s="4">
        <f t="shared" si="186"/>
        <v>3</v>
      </c>
      <c r="I1433" s="4">
        <f t="shared" si="187"/>
        <v>1</v>
      </c>
      <c r="J1433" s="4">
        <f t="shared" si="188"/>
        <v>2</v>
      </c>
    </row>
    <row r="1434" spans="1:10" x14ac:dyDescent="0.25">
      <c r="A1434">
        <v>1432</v>
      </c>
      <c r="B1434" s="4" t="str">
        <f t="shared" si="183"/>
        <v>NOK</v>
      </c>
      <c r="C1434" t="str">
        <f t="shared" si="180"/>
        <v>E</v>
      </c>
      <c r="D1434" t="str">
        <f t="shared" si="181"/>
        <v>C</v>
      </c>
      <c r="E1434" t="str">
        <f t="shared" si="182"/>
        <v>A</v>
      </c>
      <c r="F1434" s="4" t="str">
        <f t="shared" si="184"/>
        <v>C</v>
      </c>
      <c r="G1434" s="4">
        <f t="shared" si="185"/>
        <v>5</v>
      </c>
      <c r="H1434" s="4">
        <f t="shared" si="186"/>
        <v>3</v>
      </c>
      <c r="I1434" s="4">
        <f t="shared" si="187"/>
        <v>1</v>
      </c>
      <c r="J1434" s="4">
        <f t="shared" si="188"/>
        <v>3</v>
      </c>
    </row>
    <row r="1435" spans="1:10" x14ac:dyDescent="0.25">
      <c r="A1435">
        <v>1433</v>
      </c>
      <c r="B1435" s="4" t="str">
        <f t="shared" si="183"/>
        <v>NOK</v>
      </c>
      <c r="C1435" t="str">
        <f t="shared" si="180"/>
        <v>E</v>
      </c>
      <c r="D1435" t="str">
        <f t="shared" si="181"/>
        <v>C</v>
      </c>
      <c r="E1435" t="str">
        <f t="shared" si="182"/>
        <v>A</v>
      </c>
      <c r="F1435" s="4" t="str">
        <f t="shared" si="184"/>
        <v>D</v>
      </c>
      <c r="G1435" s="4">
        <f t="shared" si="185"/>
        <v>5</v>
      </c>
      <c r="H1435" s="4">
        <f t="shared" si="186"/>
        <v>3</v>
      </c>
      <c r="I1435" s="4">
        <f t="shared" si="187"/>
        <v>1</v>
      </c>
      <c r="J1435" s="4">
        <f t="shared" si="188"/>
        <v>4</v>
      </c>
    </row>
    <row r="1436" spans="1:10" x14ac:dyDescent="0.25">
      <c r="A1436">
        <v>1434</v>
      </c>
      <c r="B1436" s="4" t="str">
        <f t="shared" si="183"/>
        <v>NOK</v>
      </c>
      <c r="C1436" t="str">
        <f t="shared" si="180"/>
        <v>E</v>
      </c>
      <c r="D1436" t="str">
        <f t="shared" si="181"/>
        <v>C</v>
      </c>
      <c r="E1436" t="str">
        <f t="shared" si="182"/>
        <v>A</v>
      </c>
      <c r="F1436" s="4" t="str">
        <f t="shared" si="184"/>
        <v>E</v>
      </c>
      <c r="G1436" s="4">
        <f t="shared" si="185"/>
        <v>5</v>
      </c>
      <c r="H1436" s="4">
        <f t="shared" si="186"/>
        <v>3</v>
      </c>
      <c r="I1436" s="4">
        <f t="shared" si="187"/>
        <v>1</v>
      </c>
      <c r="J1436" s="4">
        <f t="shared" si="188"/>
        <v>5</v>
      </c>
    </row>
    <row r="1437" spans="1:10" x14ac:dyDescent="0.25">
      <c r="A1437">
        <v>1435</v>
      </c>
      <c r="B1437" s="4" t="str">
        <f t="shared" si="183"/>
        <v>NOK</v>
      </c>
      <c r="C1437" t="str">
        <f t="shared" si="180"/>
        <v>E</v>
      </c>
      <c r="D1437" t="str">
        <f t="shared" si="181"/>
        <v>C</v>
      </c>
      <c r="E1437" t="str">
        <f t="shared" si="182"/>
        <v>A</v>
      </c>
      <c r="F1437" s="4" t="str">
        <f t="shared" si="184"/>
        <v>F</v>
      </c>
      <c r="G1437" s="4">
        <f t="shared" si="185"/>
        <v>5</v>
      </c>
      <c r="H1437" s="4">
        <f t="shared" si="186"/>
        <v>3</v>
      </c>
      <c r="I1437" s="4">
        <f t="shared" si="187"/>
        <v>1</v>
      </c>
      <c r="J1437" s="4">
        <f t="shared" si="188"/>
        <v>6</v>
      </c>
    </row>
    <row r="1438" spans="1:10" x14ac:dyDescent="0.25">
      <c r="A1438">
        <v>1436</v>
      </c>
      <c r="B1438" s="4" t="str">
        <f t="shared" si="183"/>
        <v>OK</v>
      </c>
      <c r="C1438" t="str">
        <f t="shared" si="180"/>
        <v>E</v>
      </c>
      <c r="D1438" t="str">
        <f t="shared" si="181"/>
        <v>C</v>
      </c>
      <c r="E1438" t="str">
        <f t="shared" si="182"/>
        <v>A</v>
      </c>
      <c r="F1438" s="4" t="str">
        <f t="shared" si="184"/>
        <v>G</v>
      </c>
      <c r="G1438" s="4">
        <f t="shared" si="185"/>
        <v>5</v>
      </c>
      <c r="H1438" s="4">
        <f t="shared" si="186"/>
        <v>3</v>
      </c>
      <c r="I1438" s="4">
        <f t="shared" si="187"/>
        <v>1</v>
      </c>
      <c r="J1438" s="4">
        <f t="shared" si="188"/>
        <v>7</v>
      </c>
    </row>
    <row r="1439" spans="1:10" x14ac:dyDescent="0.25">
      <c r="A1439">
        <v>1437</v>
      </c>
      <c r="B1439" s="4" t="str">
        <f t="shared" si="183"/>
        <v>NOK</v>
      </c>
      <c r="C1439" t="str">
        <f t="shared" si="180"/>
        <v>E</v>
      </c>
      <c r="D1439" t="str">
        <f t="shared" si="181"/>
        <v>C</v>
      </c>
      <c r="E1439" t="str">
        <f t="shared" si="182"/>
        <v>A</v>
      </c>
      <c r="F1439" s="4" t="str">
        <f t="shared" si="184"/>
        <v>H</v>
      </c>
      <c r="G1439" s="4">
        <f t="shared" si="185"/>
        <v>5</v>
      </c>
      <c r="H1439" s="4">
        <f t="shared" si="186"/>
        <v>3</v>
      </c>
      <c r="I1439" s="4">
        <f t="shared" si="187"/>
        <v>1</v>
      </c>
      <c r="J1439" s="4">
        <f t="shared" si="188"/>
        <v>8</v>
      </c>
    </row>
    <row r="1440" spans="1:10" x14ac:dyDescent="0.25">
      <c r="A1440">
        <v>1438</v>
      </c>
      <c r="B1440" s="4" t="str">
        <f t="shared" si="183"/>
        <v>NOK</v>
      </c>
      <c r="C1440" t="str">
        <f t="shared" si="180"/>
        <v>E</v>
      </c>
      <c r="D1440" t="str">
        <f t="shared" si="181"/>
        <v>C</v>
      </c>
      <c r="E1440" t="str">
        <f t="shared" si="182"/>
        <v>A</v>
      </c>
      <c r="F1440" s="4" t="str">
        <f t="shared" si="184"/>
        <v>I</v>
      </c>
      <c r="G1440" s="4">
        <f t="shared" si="185"/>
        <v>5</v>
      </c>
      <c r="H1440" s="4">
        <f t="shared" si="186"/>
        <v>3</v>
      </c>
      <c r="I1440" s="4">
        <f t="shared" si="187"/>
        <v>1</v>
      </c>
      <c r="J1440" s="4">
        <f t="shared" si="188"/>
        <v>9</v>
      </c>
    </row>
    <row r="1441" spans="1:10" x14ac:dyDescent="0.25">
      <c r="A1441">
        <v>1439</v>
      </c>
      <c r="B1441" s="4" t="str">
        <f t="shared" si="183"/>
        <v>NOK</v>
      </c>
      <c r="C1441" t="str">
        <f t="shared" si="180"/>
        <v>E</v>
      </c>
      <c r="D1441" t="str">
        <f t="shared" si="181"/>
        <v>C</v>
      </c>
      <c r="E1441" t="str">
        <f t="shared" si="182"/>
        <v>A</v>
      </c>
      <c r="F1441" s="4" t="str">
        <f t="shared" si="184"/>
        <v>J</v>
      </c>
      <c r="G1441" s="4">
        <f t="shared" si="185"/>
        <v>5</v>
      </c>
      <c r="H1441" s="4">
        <f t="shared" si="186"/>
        <v>3</v>
      </c>
      <c r="I1441" s="4">
        <f t="shared" si="187"/>
        <v>1</v>
      </c>
      <c r="J1441" s="4">
        <f t="shared" si="188"/>
        <v>10</v>
      </c>
    </row>
    <row r="1442" spans="1:10" x14ac:dyDescent="0.25">
      <c r="A1442">
        <v>1440</v>
      </c>
      <c r="B1442" s="4" t="str">
        <f t="shared" si="183"/>
        <v>NOK</v>
      </c>
      <c r="C1442" t="str">
        <f t="shared" si="180"/>
        <v>E</v>
      </c>
      <c r="D1442" t="str">
        <f t="shared" si="181"/>
        <v>C</v>
      </c>
      <c r="E1442" t="str">
        <f t="shared" si="182"/>
        <v>A</v>
      </c>
      <c r="F1442" s="4" t="str">
        <f t="shared" si="184"/>
        <v>K</v>
      </c>
      <c r="G1442" s="4">
        <f t="shared" si="185"/>
        <v>5</v>
      </c>
      <c r="H1442" s="4">
        <f t="shared" si="186"/>
        <v>3</v>
      </c>
      <c r="I1442" s="4">
        <f t="shared" si="187"/>
        <v>1</v>
      </c>
      <c r="J1442" s="4">
        <f t="shared" si="188"/>
        <v>11</v>
      </c>
    </row>
    <row r="1443" spans="1:10" x14ac:dyDescent="0.25">
      <c r="A1443">
        <v>1441</v>
      </c>
      <c r="B1443" s="4" t="str">
        <f t="shared" si="183"/>
        <v>NOK</v>
      </c>
      <c r="C1443" t="str">
        <f t="shared" si="180"/>
        <v>E</v>
      </c>
      <c r="D1443" t="str">
        <f t="shared" si="181"/>
        <v>C</v>
      </c>
      <c r="E1443" t="str">
        <f t="shared" si="182"/>
        <v>A</v>
      </c>
      <c r="F1443" s="4" t="str">
        <f t="shared" si="184"/>
        <v>L</v>
      </c>
      <c r="G1443" s="4">
        <f t="shared" si="185"/>
        <v>5</v>
      </c>
      <c r="H1443" s="4">
        <f t="shared" si="186"/>
        <v>3</v>
      </c>
      <c r="I1443" s="4">
        <f t="shared" si="187"/>
        <v>1</v>
      </c>
      <c r="J1443" s="4">
        <f t="shared" si="188"/>
        <v>12</v>
      </c>
    </row>
    <row r="1444" spans="1:10" x14ac:dyDescent="0.25">
      <c r="A1444">
        <v>1442</v>
      </c>
      <c r="B1444" s="4" t="str">
        <f t="shared" si="183"/>
        <v>NOK</v>
      </c>
      <c r="C1444" t="str">
        <f t="shared" si="180"/>
        <v>E</v>
      </c>
      <c r="D1444" t="str">
        <f t="shared" si="181"/>
        <v>C</v>
      </c>
      <c r="E1444" t="str">
        <f t="shared" si="182"/>
        <v>A</v>
      </c>
      <c r="F1444" s="4" t="str">
        <f t="shared" si="184"/>
        <v>M</v>
      </c>
      <c r="G1444" s="4">
        <f t="shared" si="185"/>
        <v>5</v>
      </c>
      <c r="H1444" s="4">
        <f t="shared" si="186"/>
        <v>3</v>
      </c>
      <c r="I1444" s="4">
        <f t="shared" si="187"/>
        <v>1</v>
      </c>
      <c r="J1444" s="4">
        <f t="shared" si="188"/>
        <v>13</v>
      </c>
    </row>
    <row r="1445" spans="1:10" x14ac:dyDescent="0.25">
      <c r="A1445">
        <v>1443</v>
      </c>
      <c r="B1445" s="4" t="str">
        <f t="shared" si="183"/>
        <v>NOK</v>
      </c>
      <c r="C1445" t="str">
        <f t="shared" si="180"/>
        <v>E</v>
      </c>
      <c r="D1445" t="str">
        <f t="shared" si="181"/>
        <v>C</v>
      </c>
      <c r="E1445" t="str">
        <f t="shared" si="182"/>
        <v>B</v>
      </c>
      <c r="F1445" s="4" t="str">
        <f t="shared" si="184"/>
        <v>A</v>
      </c>
      <c r="G1445" s="4">
        <f t="shared" si="185"/>
        <v>5</v>
      </c>
      <c r="H1445" s="4">
        <f t="shared" si="186"/>
        <v>3</v>
      </c>
      <c r="I1445" s="4">
        <f t="shared" si="187"/>
        <v>2</v>
      </c>
      <c r="J1445" s="4">
        <f t="shared" si="188"/>
        <v>1</v>
      </c>
    </row>
    <row r="1446" spans="1:10" x14ac:dyDescent="0.25">
      <c r="A1446">
        <v>1444</v>
      </c>
      <c r="B1446" s="4" t="str">
        <f t="shared" si="183"/>
        <v>NOK</v>
      </c>
      <c r="C1446" t="str">
        <f t="shared" si="180"/>
        <v>E</v>
      </c>
      <c r="D1446" t="str">
        <f t="shared" si="181"/>
        <v>C</v>
      </c>
      <c r="E1446" t="str">
        <f t="shared" si="182"/>
        <v>B</v>
      </c>
      <c r="F1446" s="4" t="str">
        <f t="shared" si="184"/>
        <v>B</v>
      </c>
      <c r="G1446" s="4">
        <f t="shared" si="185"/>
        <v>5</v>
      </c>
      <c r="H1446" s="4">
        <f t="shared" si="186"/>
        <v>3</v>
      </c>
      <c r="I1446" s="4">
        <f t="shared" si="187"/>
        <v>2</v>
      </c>
      <c r="J1446" s="4">
        <f t="shared" si="188"/>
        <v>2</v>
      </c>
    </row>
    <row r="1447" spans="1:10" x14ac:dyDescent="0.25">
      <c r="A1447">
        <v>1445</v>
      </c>
      <c r="B1447" s="4" t="str">
        <f t="shared" si="183"/>
        <v>NOK</v>
      </c>
      <c r="C1447" t="str">
        <f t="shared" ref="C1447:C1510" si="189">IF(G1447=1,"A",IF(G1447=2,"B",IF(G1447=3,"C",IF(G1447=4,"D",IF(G1447=5,"E","ERRO")))))</f>
        <v>E</v>
      </c>
      <c r="D1447" t="str">
        <f t="shared" ref="D1447:D1510" si="190">IF(H1447=1,"A",IF(H1447=2,"B",IF(H1447=3,"C",IF(H1447=4,"D",IF(H1447=5,"E","ERRO")))))</f>
        <v>C</v>
      </c>
      <c r="E1447" t="str">
        <f t="shared" ref="E1447:E1510" si="191">IF(I1447=1,"A",IF(I1447=2,"B",IF(I1447=3,"C",IF(I1447=4,"D",IF(I1447=5,"E","ERRO")))))</f>
        <v>B</v>
      </c>
      <c r="F1447" s="4" t="str">
        <f t="shared" si="184"/>
        <v>C</v>
      </c>
      <c r="G1447" s="4">
        <f t="shared" si="185"/>
        <v>5</v>
      </c>
      <c r="H1447" s="4">
        <f t="shared" si="186"/>
        <v>3</v>
      </c>
      <c r="I1447" s="4">
        <f t="shared" si="187"/>
        <v>2</v>
      </c>
      <c r="J1447" s="4">
        <f t="shared" si="188"/>
        <v>3</v>
      </c>
    </row>
    <row r="1448" spans="1:10" x14ac:dyDescent="0.25">
      <c r="A1448">
        <v>1446</v>
      </c>
      <c r="B1448" s="4" t="str">
        <f t="shared" si="183"/>
        <v>NOK</v>
      </c>
      <c r="C1448" t="str">
        <f t="shared" si="189"/>
        <v>E</v>
      </c>
      <c r="D1448" t="str">
        <f t="shared" si="190"/>
        <v>C</v>
      </c>
      <c r="E1448" t="str">
        <f t="shared" si="191"/>
        <v>B</v>
      </c>
      <c r="F1448" s="4" t="str">
        <f t="shared" si="184"/>
        <v>D</v>
      </c>
      <c r="G1448" s="4">
        <f t="shared" si="185"/>
        <v>5</v>
      </c>
      <c r="H1448" s="4">
        <f t="shared" si="186"/>
        <v>3</v>
      </c>
      <c r="I1448" s="4">
        <f t="shared" si="187"/>
        <v>2</v>
      </c>
      <c r="J1448" s="4">
        <f t="shared" si="188"/>
        <v>4</v>
      </c>
    </row>
    <row r="1449" spans="1:10" x14ac:dyDescent="0.25">
      <c r="A1449">
        <v>1447</v>
      </c>
      <c r="B1449" s="4" t="str">
        <f t="shared" si="183"/>
        <v>NOK</v>
      </c>
      <c r="C1449" t="str">
        <f t="shared" si="189"/>
        <v>E</v>
      </c>
      <c r="D1449" t="str">
        <f t="shared" si="190"/>
        <v>C</v>
      </c>
      <c r="E1449" t="str">
        <f t="shared" si="191"/>
        <v>B</v>
      </c>
      <c r="F1449" s="4" t="str">
        <f t="shared" si="184"/>
        <v>E</v>
      </c>
      <c r="G1449" s="4">
        <f t="shared" si="185"/>
        <v>5</v>
      </c>
      <c r="H1449" s="4">
        <f t="shared" si="186"/>
        <v>3</v>
      </c>
      <c r="I1449" s="4">
        <f t="shared" si="187"/>
        <v>2</v>
      </c>
      <c r="J1449" s="4">
        <f t="shared" si="188"/>
        <v>5</v>
      </c>
    </row>
    <row r="1450" spans="1:10" x14ac:dyDescent="0.25">
      <c r="A1450">
        <v>1448</v>
      </c>
      <c r="B1450" s="4" t="str">
        <f t="shared" si="183"/>
        <v>NOK</v>
      </c>
      <c r="C1450" t="str">
        <f t="shared" si="189"/>
        <v>E</v>
      </c>
      <c r="D1450" t="str">
        <f t="shared" si="190"/>
        <v>C</v>
      </c>
      <c r="E1450" t="str">
        <f t="shared" si="191"/>
        <v>B</v>
      </c>
      <c r="F1450" s="4" t="str">
        <f t="shared" si="184"/>
        <v>F</v>
      </c>
      <c r="G1450" s="4">
        <f t="shared" si="185"/>
        <v>5</v>
      </c>
      <c r="H1450" s="4">
        <f t="shared" si="186"/>
        <v>3</v>
      </c>
      <c r="I1450" s="4">
        <f t="shared" si="187"/>
        <v>2</v>
      </c>
      <c r="J1450" s="4">
        <f t="shared" si="188"/>
        <v>6</v>
      </c>
    </row>
    <row r="1451" spans="1:10" x14ac:dyDescent="0.25">
      <c r="A1451">
        <v>1449</v>
      </c>
      <c r="B1451" s="4" t="str">
        <f t="shared" si="183"/>
        <v>NOK</v>
      </c>
      <c r="C1451" t="str">
        <f t="shared" si="189"/>
        <v>E</v>
      </c>
      <c r="D1451" t="str">
        <f t="shared" si="190"/>
        <v>C</v>
      </c>
      <c r="E1451" t="str">
        <f t="shared" si="191"/>
        <v>B</v>
      </c>
      <c r="F1451" s="4" t="str">
        <f t="shared" si="184"/>
        <v>G</v>
      </c>
      <c r="G1451" s="4">
        <f t="shared" si="185"/>
        <v>5</v>
      </c>
      <c r="H1451" s="4">
        <f t="shared" si="186"/>
        <v>3</v>
      </c>
      <c r="I1451" s="4">
        <f t="shared" si="187"/>
        <v>2</v>
      </c>
      <c r="J1451" s="4">
        <f t="shared" si="188"/>
        <v>7</v>
      </c>
    </row>
    <row r="1452" spans="1:10" x14ac:dyDescent="0.25">
      <c r="A1452">
        <v>1450</v>
      </c>
      <c r="B1452" s="4" t="str">
        <f t="shared" si="183"/>
        <v>OK</v>
      </c>
      <c r="C1452" t="str">
        <f t="shared" si="189"/>
        <v>E</v>
      </c>
      <c r="D1452" t="str">
        <f t="shared" si="190"/>
        <v>C</v>
      </c>
      <c r="E1452" t="str">
        <f t="shared" si="191"/>
        <v>B</v>
      </c>
      <c r="F1452" s="4" t="str">
        <f t="shared" si="184"/>
        <v>H</v>
      </c>
      <c r="G1452" s="4">
        <f t="shared" si="185"/>
        <v>5</v>
      </c>
      <c r="H1452" s="4">
        <f t="shared" si="186"/>
        <v>3</v>
      </c>
      <c r="I1452" s="4">
        <f t="shared" si="187"/>
        <v>2</v>
      </c>
      <c r="J1452" s="4">
        <f t="shared" si="188"/>
        <v>8</v>
      </c>
    </row>
    <row r="1453" spans="1:10" x14ac:dyDescent="0.25">
      <c r="A1453">
        <v>1451</v>
      </c>
      <c r="B1453" s="4" t="str">
        <f t="shared" si="183"/>
        <v>NOK</v>
      </c>
      <c r="C1453" t="str">
        <f t="shared" si="189"/>
        <v>E</v>
      </c>
      <c r="D1453" t="str">
        <f t="shared" si="190"/>
        <v>C</v>
      </c>
      <c r="E1453" t="str">
        <f t="shared" si="191"/>
        <v>B</v>
      </c>
      <c r="F1453" s="4" t="str">
        <f t="shared" si="184"/>
        <v>I</v>
      </c>
      <c r="G1453" s="4">
        <f t="shared" si="185"/>
        <v>5</v>
      </c>
      <c r="H1453" s="4">
        <f t="shared" si="186"/>
        <v>3</v>
      </c>
      <c r="I1453" s="4">
        <f t="shared" si="187"/>
        <v>2</v>
      </c>
      <c r="J1453" s="4">
        <f t="shared" si="188"/>
        <v>9</v>
      </c>
    </row>
    <row r="1454" spans="1:10" x14ac:dyDescent="0.25">
      <c r="A1454">
        <v>1452</v>
      </c>
      <c r="B1454" s="4" t="str">
        <f t="shared" si="183"/>
        <v>NOK</v>
      </c>
      <c r="C1454" t="str">
        <f t="shared" si="189"/>
        <v>E</v>
      </c>
      <c r="D1454" t="str">
        <f t="shared" si="190"/>
        <v>C</v>
      </c>
      <c r="E1454" t="str">
        <f t="shared" si="191"/>
        <v>B</v>
      </c>
      <c r="F1454" s="4" t="str">
        <f t="shared" si="184"/>
        <v>J</v>
      </c>
      <c r="G1454" s="4">
        <f t="shared" si="185"/>
        <v>5</v>
      </c>
      <c r="H1454" s="4">
        <f t="shared" si="186"/>
        <v>3</v>
      </c>
      <c r="I1454" s="4">
        <f t="shared" si="187"/>
        <v>2</v>
      </c>
      <c r="J1454" s="4">
        <f t="shared" si="188"/>
        <v>10</v>
      </c>
    </row>
    <row r="1455" spans="1:10" x14ac:dyDescent="0.25">
      <c r="A1455">
        <v>1453</v>
      </c>
      <c r="B1455" s="4" t="str">
        <f t="shared" si="183"/>
        <v>NOK</v>
      </c>
      <c r="C1455" t="str">
        <f t="shared" si="189"/>
        <v>E</v>
      </c>
      <c r="D1455" t="str">
        <f t="shared" si="190"/>
        <v>C</v>
      </c>
      <c r="E1455" t="str">
        <f t="shared" si="191"/>
        <v>B</v>
      </c>
      <c r="F1455" s="4" t="str">
        <f t="shared" si="184"/>
        <v>K</v>
      </c>
      <c r="G1455" s="4">
        <f t="shared" si="185"/>
        <v>5</v>
      </c>
      <c r="H1455" s="4">
        <f t="shared" si="186"/>
        <v>3</v>
      </c>
      <c r="I1455" s="4">
        <f t="shared" si="187"/>
        <v>2</v>
      </c>
      <c r="J1455" s="4">
        <f t="shared" si="188"/>
        <v>11</v>
      </c>
    </row>
    <row r="1456" spans="1:10" x14ac:dyDescent="0.25">
      <c r="A1456">
        <v>1454</v>
      </c>
      <c r="B1456" s="4" t="str">
        <f t="shared" si="183"/>
        <v>NOK</v>
      </c>
      <c r="C1456" t="str">
        <f t="shared" si="189"/>
        <v>E</v>
      </c>
      <c r="D1456" t="str">
        <f t="shared" si="190"/>
        <v>C</v>
      </c>
      <c r="E1456" t="str">
        <f t="shared" si="191"/>
        <v>B</v>
      </c>
      <c r="F1456" s="4" t="str">
        <f t="shared" si="184"/>
        <v>L</v>
      </c>
      <c r="G1456" s="4">
        <f t="shared" si="185"/>
        <v>5</v>
      </c>
      <c r="H1456" s="4">
        <f t="shared" si="186"/>
        <v>3</v>
      </c>
      <c r="I1456" s="4">
        <f t="shared" si="187"/>
        <v>2</v>
      </c>
      <c r="J1456" s="4">
        <f t="shared" si="188"/>
        <v>12</v>
      </c>
    </row>
    <row r="1457" spans="1:10" x14ac:dyDescent="0.25">
      <c r="A1457">
        <v>1455</v>
      </c>
      <c r="B1457" s="4" t="str">
        <f t="shared" si="183"/>
        <v>NOK</v>
      </c>
      <c r="C1457" t="str">
        <f t="shared" si="189"/>
        <v>E</v>
      </c>
      <c r="D1457" t="str">
        <f t="shared" si="190"/>
        <v>C</v>
      </c>
      <c r="E1457" t="str">
        <f t="shared" si="191"/>
        <v>B</v>
      </c>
      <c r="F1457" s="4" t="str">
        <f t="shared" si="184"/>
        <v>M</v>
      </c>
      <c r="G1457" s="4">
        <f t="shared" si="185"/>
        <v>5</v>
      </c>
      <c r="H1457" s="4">
        <f t="shared" si="186"/>
        <v>3</v>
      </c>
      <c r="I1457" s="4">
        <f t="shared" si="187"/>
        <v>2</v>
      </c>
      <c r="J1457" s="4">
        <f t="shared" si="188"/>
        <v>13</v>
      </c>
    </row>
    <row r="1458" spans="1:10" x14ac:dyDescent="0.25">
      <c r="A1458">
        <v>1456</v>
      </c>
      <c r="B1458" s="4" t="str">
        <f t="shared" si="183"/>
        <v>NOK</v>
      </c>
      <c r="C1458" t="str">
        <f t="shared" si="189"/>
        <v>E</v>
      </c>
      <c r="D1458" t="str">
        <f t="shared" si="190"/>
        <v>C</v>
      </c>
      <c r="E1458" t="str">
        <f t="shared" si="191"/>
        <v>C</v>
      </c>
      <c r="F1458" s="4" t="str">
        <f t="shared" si="184"/>
        <v>A</v>
      </c>
      <c r="G1458" s="4">
        <f t="shared" si="185"/>
        <v>5</v>
      </c>
      <c r="H1458" s="4">
        <f t="shared" si="186"/>
        <v>3</v>
      </c>
      <c r="I1458" s="4">
        <f t="shared" si="187"/>
        <v>3</v>
      </c>
      <c r="J1458" s="4">
        <f t="shared" si="188"/>
        <v>1</v>
      </c>
    </row>
    <row r="1459" spans="1:10" x14ac:dyDescent="0.25">
      <c r="A1459">
        <v>1457</v>
      </c>
      <c r="B1459" s="4" t="str">
        <f t="shared" si="183"/>
        <v>NOK</v>
      </c>
      <c r="C1459" t="str">
        <f t="shared" si="189"/>
        <v>E</v>
      </c>
      <c r="D1459" t="str">
        <f t="shared" si="190"/>
        <v>C</v>
      </c>
      <c r="E1459" t="str">
        <f t="shared" si="191"/>
        <v>C</v>
      </c>
      <c r="F1459" s="4" t="str">
        <f t="shared" si="184"/>
        <v>B</v>
      </c>
      <c r="G1459" s="4">
        <f t="shared" si="185"/>
        <v>5</v>
      </c>
      <c r="H1459" s="4">
        <f t="shared" si="186"/>
        <v>3</v>
      </c>
      <c r="I1459" s="4">
        <f t="shared" si="187"/>
        <v>3</v>
      </c>
      <c r="J1459" s="4">
        <f t="shared" si="188"/>
        <v>2</v>
      </c>
    </row>
    <row r="1460" spans="1:10" x14ac:dyDescent="0.25">
      <c r="A1460">
        <v>1458</v>
      </c>
      <c r="B1460" s="4" t="str">
        <f t="shared" si="183"/>
        <v>NOK</v>
      </c>
      <c r="C1460" t="str">
        <f t="shared" si="189"/>
        <v>E</v>
      </c>
      <c r="D1460" t="str">
        <f t="shared" si="190"/>
        <v>C</v>
      </c>
      <c r="E1460" t="str">
        <f t="shared" si="191"/>
        <v>C</v>
      </c>
      <c r="F1460" s="4" t="str">
        <f t="shared" si="184"/>
        <v>C</v>
      </c>
      <c r="G1460" s="4">
        <f t="shared" si="185"/>
        <v>5</v>
      </c>
      <c r="H1460" s="4">
        <f t="shared" si="186"/>
        <v>3</v>
      </c>
      <c r="I1460" s="4">
        <f t="shared" si="187"/>
        <v>3</v>
      </c>
      <c r="J1460" s="4">
        <f t="shared" si="188"/>
        <v>3</v>
      </c>
    </row>
    <row r="1461" spans="1:10" x14ac:dyDescent="0.25">
      <c r="A1461">
        <v>1459</v>
      </c>
      <c r="B1461" s="4" t="str">
        <f t="shared" si="183"/>
        <v>NOK</v>
      </c>
      <c r="C1461" t="str">
        <f t="shared" si="189"/>
        <v>E</v>
      </c>
      <c r="D1461" t="str">
        <f t="shared" si="190"/>
        <v>C</v>
      </c>
      <c r="E1461" t="str">
        <f t="shared" si="191"/>
        <v>C</v>
      </c>
      <c r="F1461" s="4" t="str">
        <f t="shared" si="184"/>
        <v>D</v>
      </c>
      <c r="G1461" s="4">
        <f t="shared" si="185"/>
        <v>5</v>
      </c>
      <c r="H1461" s="4">
        <f t="shared" si="186"/>
        <v>3</v>
      </c>
      <c r="I1461" s="4">
        <f t="shared" si="187"/>
        <v>3</v>
      </c>
      <c r="J1461" s="4">
        <f t="shared" si="188"/>
        <v>4</v>
      </c>
    </row>
    <row r="1462" spans="1:10" x14ac:dyDescent="0.25">
      <c r="A1462">
        <v>1460</v>
      </c>
      <c r="B1462" s="4" t="str">
        <f t="shared" si="183"/>
        <v>NOK</v>
      </c>
      <c r="C1462" t="str">
        <f t="shared" si="189"/>
        <v>E</v>
      </c>
      <c r="D1462" t="str">
        <f t="shared" si="190"/>
        <v>C</v>
      </c>
      <c r="E1462" t="str">
        <f t="shared" si="191"/>
        <v>C</v>
      </c>
      <c r="F1462" s="4" t="str">
        <f t="shared" si="184"/>
        <v>E</v>
      </c>
      <c r="G1462" s="4">
        <f t="shared" si="185"/>
        <v>5</v>
      </c>
      <c r="H1462" s="4">
        <f t="shared" si="186"/>
        <v>3</v>
      </c>
      <c r="I1462" s="4">
        <f t="shared" si="187"/>
        <v>3</v>
      </c>
      <c r="J1462" s="4">
        <f t="shared" si="188"/>
        <v>5</v>
      </c>
    </row>
    <row r="1463" spans="1:10" x14ac:dyDescent="0.25">
      <c r="A1463">
        <v>1461</v>
      </c>
      <c r="B1463" s="4" t="str">
        <f t="shared" si="183"/>
        <v>NOK</v>
      </c>
      <c r="C1463" t="str">
        <f t="shared" si="189"/>
        <v>E</v>
      </c>
      <c r="D1463" t="str">
        <f t="shared" si="190"/>
        <v>C</v>
      </c>
      <c r="E1463" t="str">
        <f t="shared" si="191"/>
        <v>C</v>
      </c>
      <c r="F1463" s="4" t="str">
        <f t="shared" si="184"/>
        <v>F</v>
      </c>
      <c r="G1463" s="4">
        <f t="shared" si="185"/>
        <v>5</v>
      </c>
      <c r="H1463" s="4">
        <f t="shared" si="186"/>
        <v>3</v>
      </c>
      <c r="I1463" s="4">
        <f t="shared" si="187"/>
        <v>3</v>
      </c>
      <c r="J1463" s="4">
        <f t="shared" si="188"/>
        <v>6</v>
      </c>
    </row>
    <row r="1464" spans="1:10" x14ac:dyDescent="0.25">
      <c r="A1464">
        <v>1462</v>
      </c>
      <c r="B1464" s="4" t="str">
        <f t="shared" si="183"/>
        <v>NOK</v>
      </c>
      <c r="C1464" t="str">
        <f t="shared" si="189"/>
        <v>E</v>
      </c>
      <c r="D1464" t="str">
        <f t="shared" si="190"/>
        <v>C</v>
      </c>
      <c r="E1464" t="str">
        <f t="shared" si="191"/>
        <v>C</v>
      </c>
      <c r="F1464" s="4" t="str">
        <f t="shared" si="184"/>
        <v>G</v>
      </c>
      <c r="G1464" s="4">
        <f t="shared" si="185"/>
        <v>5</v>
      </c>
      <c r="H1464" s="4">
        <f t="shared" si="186"/>
        <v>3</v>
      </c>
      <c r="I1464" s="4">
        <f t="shared" si="187"/>
        <v>3</v>
      </c>
      <c r="J1464" s="4">
        <f t="shared" si="188"/>
        <v>7</v>
      </c>
    </row>
    <row r="1465" spans="1:10" x14ac:dyDescent="0.25">
      <c r="A1465">
        <v>1463</v>
      </c>
      <c r="B1465" s="4" t="str">
        <f t="shared" si="183"/>
        <v>NOK</v>
      </c>
      <c r="C1465" t="str">
        <f t="shared" si="189"/>
        <v>E</v>
      </c>
      <c r="D1465" t="str">
        <f t="shared" si="190"/>
        <v>C</v>
      </c>
      <c r="E1465" t="str">
        <f t="shared" si="191"/>
        <v>C</v>
      </c>
      <c r="F1465" s="4" t="str">
        <f t="shared" si="184"/>
        <v>H</v>
      </c>
      <c r="G1465" s="4">
        <f t="shared" si="185"/>
        <v>5</v>
      </c>
      <c r="H1465" s="4">
        <f t="shared" si="186"/>
        <v>3</v>
      </c>
      <c r="I1465" s="4">
        <f t="shared" si="187"/>
        <v>3</v>
      </c>
      <c r="J1465" s="4">
        <f t="shared" si="188"/>
        <v>8</v>
      </c>
    </row>
    <row r="1466" spans="1:10" x14ac:dyDescent="0.25">
      <c r="A1466">
        <v>1464</v>
      </c>
      <c r="B1466" s="4" t="str">
        <f t="shared" si="183"/>
        <v>OK</v>
      </c>
      <c r="C1466" t="str">
        <f t="shared" si="189"/>
        <v>E</v>
      </c>
      <c r="D1466" t="str">
        <f t="shared" si="190"/>
        <v>C</v>
      </c>
      <c r="E1466" t="str">
        <f t="shared" si="191"/>
        <v>C</v>
      </c>
      <c r="F1466" s="4" t="str">
        <f t="shared" si="184"/>
        <v>I</v>
      </c>
      <c r="G1466" s="4">
        <f t="shared" si="185"/>
        <v>5</v>
      </c>
      <c r="H1466" s="4">
        <f t="shared" si="186"/>
        <v>3</v>
      </c>
      <c r="I1466" s="4">
        <f t="shared" si="187"/>
        <v>3</v>
      </c>
      <c r="J1466" s="4">
        <f t="shared" si="188"/>
        <v>9</v>
      </c>
    </row>
    <row r="1467" spans="1:10" x14ac:dyDescent="0.25">
      <c r="A1467">
        <v>1465</v>
      </c>
      <c r="B1467" s="4" t="str">
        <f t="shared" si="183"/>
        <v>NOK</v>
      </c>
      <c r="C1467" t="str">
        <f t="shared" si="189"/>
        <v>E</v>
      </c>
      <c r="D1467" t="str">
        <f t="shared" si="190"/>
        <v>C</v>
      </c>
      <c r="E1467" t="str">
        <f t="shared" si="191"/>
        <v>C</v>
      </c>
      <c r="F1467" s="4" t="str">
        <f t="shared" si="184"/>
        <v>J</v>
      </c>
      <c r="G1467" s="4">
        <f t="shared" si="185"/>
        <v>5</v>
      </c>
      <c r="H1467" s="4">
        <f t="shared" si="186"/>
        <v>3</v>
      </c>
      <c r="I1467" s="4">
        <f t="shared" si="187"/>
        <v>3</v>
      </c>
      <c r="J1467" s="4">
        <f t="shared" si="188"/>
        <v>10</v>
      </c>
    </row>
    <row r="1468" spans="1:10" x14ac:dyDescent="0.25">
      <c r="A1468">
        <v>1466</v>
      </c>
      <c r="B1468" s="4" t="str">
        <f t="shared" si="183"/>
        <v>NOK</v>
      </c>
      <c r="C1468" t="str">
        <f t="shared" si="189"/>
        <v>E</v>
      </c>
      <c r="D1468" t="str">
        <f t="shared" si="190"/>
        <v>C</v>
      </c>
      <c r="E1468" t="str">
        <f t="shared" si="191"/>
        <v>C</v>
      </c>
      <c r="F1468" s="4" t="str">
        <f t="shared" si="184"/>
        <v>K</v>
      </c>
      <c r="G1468" s="4">
        <f t="shared" si="185"/>
        <v>5</v>
      </c>
      <c r="H1468" s="4">
        <f t="shared" si="186"/>
        <v>3</v>
      </c>
      <c r="I1468" s="4">
        <f t="shared" si="187"/>
        <v>3</v>
      </c>
      <c r="J1468" s="4">
        <f t="shared" si="188"/>
        <v>11</v>
      </c>
    </row>
    <row r="1469" spans="1:10" x14ac:dyDescent="0.25">
      <c r="A1469">
        <v>1467</v>
      </c>
      <c r="B1469" s="4" t="str">
        <f t="shared" si="183"/>
        <v>NOK</v>
      </c>
      <c r="C1469" t="str">
        <f t="shared" si="189"/>
        <v>E</v>
      </c>
      <c r="D1469" t="str">
        <f t="shared" si="190"/>
        <v>C</v>
      </c>
      <c r="E1469" t="str">
        <f t="shared" si="191"/>
        <v>C</v>
      </c>
      <c r="F1469" s="4" t="str">
        <f t="shared" si="184"/>
        <v>L</v>
      </c>
      <c r="G1469" s="4">
        <f t="shared" si="185"/>
        <v>5</v>
      </c>
      <c r="H1469" s="4">
        <f t="shared" si="186"/>
        <v>3</v>
      </c>
      <c r="I1469" s="4">
        <f t="shared" si="187"/>
        <v>3</v>
      </c>
      <c r="J1469" s="4">
        <f t="shared" si="188"/>
        <v>12</v>
      </c>
    </row>
    <row r="1470" spans="1:10" x14ac:dyDescent="0.25">
      <c r="A1470">
        <v>1468</v>
      </c>
      <c r="B1470" s="4" t="str">
        <f t="shared" si="183"/>
        <v>NOK</v>
      </c>
      <c r="C1470" t="str">
        <f t="shared" si="189"/>
        <v>E</v>
      </c>
      <c r="D1470" t="str">
        <f t="shared" si="190"/>
        <v>C</v>
      </c>
      <c r="E1470" t="str">
        <f t="shared" si="191"/>
        <v>C</v>
      </c>
      <c r="F1470" s="4" t="str">
        <f t="shared" si="184"/>
        <v>M</v>
      </c>
      <c r="G1470" s="4">
        <f t="shared" si="185"/>
        <v>5</v>
      </c>
      <c r="H1470" s="4">
        <f t="shared" si="186"/>
        <v>3</v>
      </c>
      <c r="I1470" s="4">
        <f t="shared" si="187"/>
        <v>3</v>
      </c>
      <c r="J1470" s="4">
        <f t="shared" si="188"/>
        <v>13</v>
      </c>
    </row>
    <row r="1471" spans="1:10" x14ac:dyDescent="0.25">
      <c r="A1471">
        <v>1469</v>
      </c>
      <c r="B1471" s="4" t="str">
        <f t="shared" si="183"/>
        <v>NOK</v>
      </c>
      <c r="C1471" t="str">
        <f t="shared" si="189"/>
        <v>E</v>
      </c>
      <c r="D1471" t="str">
        <f t="shared" si="190"/>
        <v>C</v>
      </c>
      <c r="E1471" t="str">
        <f t="shared" si="191"/>
        <v>D</v>
      </c>
      <c r="F1471" s="4" t="str">
        <f t="shared" si="184"/>
        <v>A</v>
      </c>
      <c r="G1471" s="4">
        <f t="shared" si="185"/>
        <v>5</v>
      </c>
      <c r="H1471" s="4">
        <f t="shared" si="186"/>
        <v>3</v>
      </c>
      <c r="I1471" s="4">
        <f t="shared" si="187"/>
        <v>4</v>
      </c>
      <c r="J1471" s="4">
        <f t="shared" si="188"/>
        <v>1</v>
      </c>
    </row>
    <row r="1472" spans="1:10" x14ac:dyDescent="0.25">
      <c r="A1472">
        <v>1470</v>
      </c>
      <c r="B1472" s="4" t="str">
        <f t="shared" si="183"/>
        <v>NOK</v>
      </c>
      <c r="C1472" t="str">
        <f t="shared" si="189"/>
        <v>E</v>
      </c>
      <c r="D1472" t="str">
        <f t="shared" si="190"/>
        <v>C</v>
      </c>
      <c r="E1472" t="str">
        <f t="shared" si="191"/>
        <v>D</v>
      </c>
      <c r="F1472" s="4" t="str">
        <f t="shared" si="184"/>
        <v>B</v>
      </c>
      <c r="G1472" s="4">
        <f t="shared" si="185"/>
        <v>5</v>
      </c>
      <c r="H1472" s="4">
        <f t="shared" si="186"/>
        <v>3</v>
      </c>
      <c r="I1472" s="4">
        <f t="shared" si="187"/>
        <v>4</v>
      </c>
      <c r="J1472" s="4">
        <f t="shared" si="188"/>
        <v>2</v>
      </c>
    </row>
    <row r="1473" spans="1:10" x14ac:dyDescent="0.25">
      <c r="A1473">
        <v>1471</v>
      </c>
      <c r="B1473" s="4" t="str">
        <f t="shared" si="183"/>
        <v>NOK</v>
      </c>
      <c r="C1473" t="str">
        <f t="shared" si="189"/>
        <v>E</v>
      </c>
      <c r="D1473" t="str">
        <f t="shared" si="190"/>
        <v>C</v>
      </c>
      <c r="E1473" t="str">
        <f t="shared" si="191"/>
        <v>D</v>
      </c>
      <c r="F1473" s="4" t="str">
        <f t="shared" si="184"/>
        <v>C</v>
      </c>
      <c r="G1473" s="4">
        <f t="shared" si="185"/>
        <v>5</v>
      </c>
      <c r="H1473" s="4">
        <f t="shared" si="186"/>
        <v>3</v>
      </c>
      <c r="I1473" s="4">
        <f t="shared" si="187"/>
        <v>4</v>
      </c>
      <c r="J1473" s="4">
        <f t="shared" si="188"/>
        <v>3</v>
      </c>
    </row>
    <row r="1474" spans="1:10" x14ac:dyDescent="0.25">
      <c r="A1474">
        <v>1472</v>
      </c>
      <c r="B1474" s="4" t="str">
        <f t="shared" ref="B1474:B1537" si="192">IF(ROUND(_xlfn.XLOOKUP(C1474,$U$1:$U$5,$T$1:$T$5,,0,1)+_xlfn.XLOOKUP(D1474,$W$1:$W$5,$V$1:$V$5,,0,1)+_xlfn.XLOOKUP(E1474,$Y$1:$Y$5,$X$1:$X$5,,0,1)-_xlfn.XLOOKUP(F1474,$AA$1:$AA$13,$Z$1:$Z$13,,0,1),3)=0.325,"OK","NOK")</f>
        <v>NOK</v>
      </c>
      <c r="C1474" t="str">
        <f t="shared" si="189"/>
        <v>E</v>
      </c>
      <c r="D1474" t="str">
        <f t="shared" si="190"/>
        <v>C</v>
      </c>
      <c r="E1474" t="str">
        <f t="shared" si="191"/>
        <v>D</v>
      </c>
      <c r="F1474" s="4" t="str">
        <f t="shared" ref="F1474:F1537" si="193">IF(J1474=1,"A",IF(J1474=2,"B",IF(J1474=3,"C",IF(J1474=4,"D",IF(J1474=5,"E",IF(J1474=6,"F",IF(J1474=7,"G",IF(J1474=8,"H",IF(J1474=9,"I",IF(J1474=10,"J",IF(J1474=11,"K",IF(J1474=12,"L",IF(J1474=13,"M","ERRO")))))))))))))</f>
        <v>D</v>
      </c>
      <c r="G1474" s="4">
        <f t="shared" ref="G1474:G1537" si="194">INT($A1474/325)+1</f>
        <v>5</v>
      </c>
      <c r="H1474" s="4">
        <f t="shared" ref="H1474:H1537" si="195">INT(MOD($A1474,325)/65)+1</f>
        <v>3</v>
      </c>
      <c r="I1474" s="4">
        <f t="shared" ref="I1474:I1537" si="196">INT(MOD($A1474,65)/13)+1</f>
        <v>4</v>
      </c>
      <c r="J1474" s="4">
        <f t="shared" ref="J1474:J1537" si="197">MOD($A1474,13)+1</f>
        <v>4</v>
      </c>
    </row>
    <row r="1475" spans="1:10" x14ac:dyDescent="0.25">
      <c r="A1475">
        <v>1473</v>
      </c>
      <c r="B1475" s="4" t="str">
        <f t="shared" si="192"/>
        <v>NOK</v>
      </c>
      <c r="C1475" t="str">
        <f t="shared" si="189"/>
        <v>E</v>
      </c>
      <c r="D1475" t="str">
        <f t="shared" si="190"/>
        <v>C</v>
      </c>
      <c r="E1475" t="str">
        <f t="shared" si="191"/>
        <v>D</v>
      </c>
      <c r="F1475" s="4" t="str">
        <f t="shared" si="193"/>
        <v>E</v>
      </c>
      <c r="G1475" s="4">
        <f t="shared" si="194"/>
        <v>5</v>
      </c>
      <c r="H1475" s="4">
        <f t="shared" si="195"/>
        <v>3</v>
      </c>
      <c r="I1475" s="4">
        <f t="shared" si="196"/>
        <v>4</v>
      </c>
      <c r="J1475" s="4">
        <f t="shared" si="197"/>
        <v>5</v>
      </c>
    </row>
    <row r="1476" spans="1:10" x14ac:dyDescent="0.25">
      <c r="A1476">
        <v>1474</v>
      </c>
      <c r="B1476" s="4" t="str">
        <f t="shared" si="192"/>
        <v>NOK</v>
      </c>
      <c r="C1476" t="str">
        <f t="shared" si="189"/>
        <v>E</v>
      </c>
      <c r="D1476" t="str">
        <f t="shared" si="190"/>
        <v>C</v>
      </c>
      <c r="E1476" t="str">
        <f t="shared" si="191"/>
        <v>D</v>
      </c>
      <c r="F1476" s="4" t="str">
        <f t="shared" si="193"/>
        <v>F</v>
      </c>
      <c r="G1476" s="4">
        <f t="shared" si="194"/>
        <v>5</v>
      </c>
      <c r="H1476" s="4">
        <f t="shared" si="195"/>
        <v>3</v>
      </c>
      <c r="I1476" s="4">
        <f t="shared" si="196"/>
        <v>4</v>
      </c>
      <c r="J1476" s="4">
        <f t="shared" si="197"/>
        <v>6</v>
      </c>
    </row>
    <row r="1477" spans="1:10" x14ac:dyDescent="0.25">
      <c r="A1477">
        <v>1475</v>
      </c>
      <c r="B1477" s="4" t="str">
        <f t="shared" si="192"/>
        <v>NOK</v>
      </c>
      <c r="C1477" t="str">
        <f t="shared" si="189"/>
        <v>E</v>
      </c>
      <c r="D1477" t="str">
        <f t="shared" si="190"/>
        <v>C</v>
      </c>
      <c r="E1477" t="str">
        <f t="shared" si="191"/>
        <v>D</v>
      </c>
      <c r="F1477" s="4" t="str">
        <f t="shared" si="193"/>
        <v>G</v>
      </c>
      <c r="G1477" s="4">
        <f t="shared" si="194"/>
        <v>5</v>
      </c>
      <c r="H1477" s="4">
        <f t="shared" si="195"/>
        <v>3</v>
      </c>
      <c r="I1477" s="4">
        <f t="shared" si="196"/>
        <v>4</v>
      </c>
      <c r="J1477" s="4">
        <f t="shared" si="197"/>
        <v>7</v>
      </c>
    </row>
    <row r="1478" spans="1:10" x14ac:dyDescent="0.25">
      <c r="A1478">
        <v>1476</v>
      </c>
      <c r="B1478" s="4" t="str">
        <f t="shared" si="192"/>
        <v>NOK</v>
      </c>
      <c r="C1478" t="str">
        <f t="shared" si="189"/>
        <v>E</v>
      </c>
      <c r="D1478" t="str">
        <f t="shared" si="190"/>
        <v>C</v>
      </c>
      <c r="E1478" t="str">
        <f t="shared" si="191"/>
        <v>D</v>
      </c>
      <c r="F1478" s="4" t="str">
        <f t="shared" si="193"/>
        <v>H</v>
      </c>
      <c r="G1478" s="4">
        <f t="shared" si="194"/>
        <v>5</v>
      </c>
      <c r="H1478" s="4">
        <f t="shared" si="195"/>
        <v>3</v>
      </c>
      <c r="I1478" s="4">
        <f t="shared" si="196"/>
        <v>4</v>
      </c>
      <c r="J1478" s="4">
        <f t="shared" si="197"/>
        <v>8</v>
      </c>
    </row>
    <row r="1479" spans="1:10" x14ac:dyDescent="0.25">
      <c r="A1479">
        <v>1477</v>
      </c>
      <c r="B1479" s="4" t="str">
        <f t="shared" si="192"/>
        <v>NOK</v>
      </c>
      <c r="C1479" t="str">
        <f t="shared" si="189"/>
        <v>E</v>
      </c>
      <c r="D1479" t="str">
        <f t="shared" si="190"/>
        <v>C</v>
      </c>
      <c r="E1479" t="str">
        <f t="shared" si="191"/>
        <v>D</v>
      </c>
      <c r="F1479" s="4" t="str">
        <f t="shared" si="193"/>
        <v>I</v>
      </c>
      <c r="G1479" s="4">
        <f t="shared" si="194"/>
        <v>5</v>
      </c>
      <c r="H1479" s="4">
        <f t="shared" si="195"/>
        <v>3</v>
      </c>
      <c r="I1479" s="4">
        <f t="shared" si="196"/>
        <v>4</v>
      </c>
      <c r="J1479" s="4">
        <f t="shared" si="197"/>
        <v>9</v>
      </c>
    </row>
    <row r="1480" spans="1:10" x14ac:dyDescent="0.25">
      <c r="A1480">
        <v>1478</v>
      </c>
      <c r="B1480" s="4" t="str">
        <f t="shared" si="192"/>
        <v>OK</v>
      </c>
      <c r="C1480" t="str">
        <f t="shared" si="189"/>
        <v>E</v>
      </c>
      <c r="D1480" t="str">
        <f t="shared" si="190"/>
        <v>C</v>
      </c>
      <c r="E1480" t="str">
        <f t="shared" si="191"/>
        <v>D</v>
      </c>
      <c r="F1480" s="4" t="str">
        <f t="shared" si="193"/>
        <v>J</v>
      </c>
      <c r="G1480" s="4">
        <f t="shared" si="194"/>
        <v>5</v>
      </c>
      <c r="H1480" s="4">
        <f t="shared" si="195"/>
        <v>3</v>
      </c>
      <c r="I1480" s="4">
        <f t="shared" si="196"/>
        <v>4</v>
      </c>
      <c r="J1480" s="4">
        <f t="shared" si="197"/>
        <v>10</v>
      </c>
    </row>
    <row r="1481" spans="1:10" x14ac:dyDescent="0.25">
      <c r="A1481">
        <v>1479</v>
      </c>
      <c r="B1481" s="4" t="str">
        <f t="shared" si="192"/>
        <v>NOK</v>
      </c>
      <c r="C1481" t="str">
        <f t="shared" si="189"/>
        <v>E</v>
      </c>
      <c r="D1481" t="str">
        <f t="shared" si="190"/>
        <v>C</v>
      </c>
      <c r="E1481" t="str">
        <f t="shared" si="191"/>
        <v>D</v>
      </c>
      <c r="F1481" s="4" t="str">
        <f t="shared" si="193"/>
        <v>K</v>
      </c>
      <c r="G1481" s="4">
        <f t="shared" si="194"/>
        <v>5</v>
      </c>
      <c r="H1481" s="4">
        <f t="shared" si="195"/>
        <v>3</v>
      </c>
      <c r="I1481" s="4">
        <f t="shared" si="196"/>
        <v>4</v>
      </c>
      <c r="J1481" s="4">
        <f t="shared" si="197"/>
        <v>11</v>
      </c>
    </row>
    <row r="1482" spans="1:10" x14ac:dyDescent="0.25">
      <c r="A1482">
        <v>1480</v>
      </c>
      <c r="B1482" s="4" t="str">
        <f t="shared" si="192"/>
        <v>NOK</v>
      </c>
      <c r="C1482" t="str">
        <f t="shared" si="189"/>
        <v>E</v>
      </c>
      <c r="D1482" t="str">
        <f t="shared" si="190"/>
        <v>C</v>
      </c>
      <c r="E1482" t="str">
        <f t="shared" si="191"/>
        <v>D</v>
      </c>
      <c r="F1482" s="4" t="str">
        <f t="shared" si="193"/>
        <v>L</v>
      </c>
      <c r="G1482" s="4">
        <f t="shared" si="194"/>
        <v>5</v>
      </c>
      <c r="H1482" s="4">
        <f t="shared" si="195"/>
        <v>3</v>
      </c>
      <c r="I1482" s="4">
        <f t="shared" si="196"/>
        <v>4</v>
      </c>
      <c r="J1482" s="4">
        <f t="shared" si="197"/>
        <v>12</v>
      </c>
    </row>
    <row r="1483" spans="1:10" x14ac:dyDescent="0.25">
      <c r="A1483">
        <v>1481</v>
      </c>
      <c r="B1483" s="4" t="str">
        <f t="shared" si="192"/>
        <v>NOK</v>
      </c>
      <c r="C1483" t="str">
        <f t="shared" si="189"/>
        <v>E</v>
      </c>
      <c r="D1483" t="str">
        <f t="shared" si="190"/>
        <v>C</v>
      </c>
      <c r="E1483" t="str">
        <f t="shared" si="191"/>
        <v>D</v>
      </c>
      <c r="F1483" s="4" t="str">
        <f t="shared" si="193"/>
        <v>M</v>
      </c>
      <c r="G1483" s="4">
        <f t="shared" si="194"/>
        <v>5</v>
      </c>
      <c r="H1483" s="4">
        <f t="shared" si="195"/>
        <v>3</v>
      </c>
      <c r="I1483" s="4">
        <f t="shared" si="196"/>
        <v>4</v>
      </c>
      <c r="J1483" s="4">
        <f t="shared" si="197"/>
        <v>13</v>
      </c>
    </row>
    <row r="1484" spans="1:10" x14ac:dyDescent="0.25">
      <c r="A1484">
        <v>1482</v>
      </c>
      <c r="B1484" s="4" t="str">
        <f t="shared" si="192"/>
        <v>NOK</v>
      </c>
      <c r="C1484" t="str">
        <f t="shared" si="189"/>
        <v>E</v>
      </c>
      <c r="D1484" t="str">
        <f t="shared" si="190"/>
        <v>C</v>
      </c>
      <c r="E1484" t="str">
        <f t="shared" si="191"/>
        <v>E</v>
      </c>
      <c r="F1484" s="4" t="str">
        <f t="shared" si="193"/>
        <v>A</v>
      </c>
      <c r="G1484" s="4">
        <f t="shared" si="194"/>
        <v>5</v>
      </c>
      <c r="H1484" s="4">
        <f t="shared" si="195"/>
        <v>3</v>
      </c>
      <c r="I1484" s="4">
        <f t="shared" si="196"/>
        <v>5</v>
      </c>
      <c r="J1484" s="4">
        <f t="shared" si="197"/>
        <v>1</v>
      </c>
    </row>
    <row r="1485" spans="1:10" x14ac:dyDescent="0.25">
      <c r="A1485">
        <v>1483</v>
      </c>
      <c r="B1485" s="4" t="str">
        <f t="shared" si="192"/>
        <v>NOK</v>
      </c>
      <c r="C1485" t="str">
        <f t="shared" si="189"/>
        <v>E</v>
      </c>
      <c r="D1485" t="str">
        <f t="shared" si="190"/>
        <v>C</v>
      </c>
      <c r="E1485" t="str">
        <f t="shared" si="191"/>
        <v>E</v>
      </c>
      <c r="F1485" s="4" t="str">
        <f t="shared" si="193"/>
        <v>B</v>
      </c>
      <c r="G1485" s="4">
        <f t="shared" si="194"/>
        <v>5</v>
      </c>
      <c r="H1485" s="4">
        <f t="shared" si="195"/>
        <v>3</v>
      </c>
      <c r="I1485" s="4">
        <f t="shared" si="196"/>
        <v>5</v>
      </c>
      <c r="J1485" s="4">
        <f t="shared" si="197"/>
        <v>2</v>
      </c>
    </row>
    <row r="1486" spans="1:10" x14ac:dyDescent="0.25">
      <c r="A1486">
        <v>1484</v>
      </c>
      <c r="B1486" s="4" t="str">
        <f t="shared" si="192"/>
        <v>NOK</v>
      </c>
      <c r="C1486" t="str">
        <f t="shared" si="189"/>
        <v>E</v>
      </c>
      <c r="D1486" t="str">
        <f t="shared" si="190"/>
        <v>C</v>
      </c>
      <c r="E1486" t="str">
        <f t="shared" si="191"/>
        <v>E</v>
      </c>
      <c r="F1486" s="4" t="str">
        <f t="shared" si="193"/>
        <v>C</v>
      </c>
      <c r="G1486" s="4">
        <f t="shared" si="194"/>
        <v>5</v>
      </c>
      <c r="H1486" s="4">
        <f t="shared" si="195"/>
        <v>3</v>
      </c>
      <c r="I1486" s="4">
        <f t="shared" si="196"/>
        <v>5</v>
      </c>
      <c r="J1486" s="4">
        <f t="shared" si="197"/>
        <v>3</v>
      </c>
    </row>
    <row r="1487" spans="1:10" x14ac:dyDescent="0.25">
      <c r="A1487">
        <v>1485</v>
      </c>
      <c r="B1487" s="4" t="str">
        <f t="shared" si="192"/>
        <v>NOK</v>
      </c>
      <c r="C1487" t="str">
        <f t="shared" si="189"/>
        <v>E</v>
      </c>
      <c r="D1487" t="str">
        <f t="shared" si="190"/>
        <v>C</v>
      </c>
      <c r="E1487" t="str">
        <f t="shared" si="191"/>
        <v>E</v>
      </c>
      <c r="F1487" s="4" t="str">
        <f t="shared" si="193"/>
        <v>D</v>
      </c>
      <c r="G1487" s="4">
        <f t="shared" si="194"/>
        <v>5</v>
      </c>
      <c r="H1487" s="4">
        <f t="shared" si="195"/>
        <v>3</v>
      </c>
      <c r="I1487" s="4">
        <f t="shared" si="196"/>
        <v>5</v>
      </c>
      <c r="J1487" s="4">
        <f t="shared" si="197"/>
        <v>4</v>
      </c>
    </row>
    <row r="1488" spans="1:10" x14ac:dyDescent="0.25">
      <c r="A1488">
        <v>1486</v>
      </c>
      <c r="B1488" s="4" t="str">
        <f t="shared" si="192"/>
        <v>NOK</v>
      </c>
      <c r="C1488" t="str">
        <f t="shared" si="189"/>
        <v>E</v>
      </c>
      <c r="D1488" t="str">
        <f t="shared" si="190"/>
        <v>C</v>
      </c>
      <c r="E1488" t="str">
        <f t="shared" si="191"/>
        <v>E</v>
      </c>
      <c r="F1488" s="4" t="str">
        <f t="shared" si="193"/>
        <v>E</v>
      </c>
      <c r="G1488" s="4">
        <f t="shared" si="194"/>
        <v>5</v>
      </c>
      <c r="H1488" s="4">
        <f t="shared" si="195"/>
        <v>3</v>
      </c>
      <c r="I1488" s="4">
        <f t="shared" si="196"/>
        <v>5</v>
      </c>
      <c r="J1488" s="4">
        <f t="shared" si="197"/>
        <v>5</v>
      </c>
    </row>
    <row r="1489" spans="1:10" x14ac:dyDescent="0.25">
      <c r="A1489">
        <v>1487</v>
      </c>
      <c r="B1489" s="4" t="str">
        <f t="shared" si="192"/>
        <v>NOK</v>
      </c>
      <c r="C1489" t="str">
        <f t="shared" si="189"/>
        <v>E</v>
      </c>
      <c r="D1489" t="str">
        <f t="shared" si="190"/>
        <v>C</v>
      </c>
      <c r="E1489" t="str">
        <f t="shared" si="191"/>
        <v>E</v>
      </c>
      <c r="F1489" s="4" t="str">
        <f t="shared" si="193"/>
        <v>F</v>
      </c>
      <c r="G1489" s="4">
        <f t="shared" si="194"/>
        <v>5</v>
      </c>
      <c r="H1489" s="4">
        <f t="shared" si="195"/>
        <v>3</v>
      </c>
      <c r="I1489" s="4">
        <f t="shared" si="196"/>
        <v>5</v>
      </c>
      <c r="J1489" s="4">
        <f t="shared" si="197"/>
        <v>6</v>
      </c>
    </row>
    <row r="1490" spans="1:10" x14ac:dyDescent="0.25">
      <c r="A1490">
        <v>1488</v>
      </c>
      <c r="B1490" s="4" t="str">
        <f t="shared" si="192"/>
        <v>NOK</v>
      </c>
      <c r="C1490" t="str">
        <f t="shared" si="189"/>
        <v>E</v>
      </c>
      <c r="D1490" t="str">
        <f t="shared" si="190"/>
        <v>C</v>
      </c>
      <c r="E1490" t="str">
        <f t="shared" si="191"/>
        <v>E</v>
      </c>
      <c r="F1490" s="4" t="str">
        <f t="shared" si="193"/>
        <v>G</v>
      </c>
      <c r="G1490" s="4">
        <f t="shared" si="194"/>
        <v>5</v>
      </c>
      <c r="H1490" s="4">
        <f t="shared" si="195"/>
        <v>3</v>
      </c>
      <c r="I1490" s="4">
        <f t="shared" si="196"/>
        <v>5</v>
      </c>
      <c r="J1490" s="4">
        <f t="shared" si="197"/>
        <v>7</v>
      </c>
    </row>
    <row r="1491" spans="1:10" x14ac:dyDescent="0.25">
      <c r="A1491">
        <v>1489</v>
      </c>
      <c r="B1491" s="4" t="str">
        <f t="shared" si="192"/>
        <v>NOK</v>
      </c>
      <c r="C1491" t="str">
        <f t="shared" si="189"/>
        <v>E</v>
      </c>
      <c r="D1491" t="str">
        <f t="shared" si="190"/>
        <v>C</v>
      </c>
      <c r="E1491" t="str">
        <f t="shared" si="191"/>
        <v>E</v>
      </c>
      <c r="F1491" s="4" t="str">
        <f t="shared" si="193"/>
        <v>H</v>
      </c>
      <c r="G1491" s="4">
        <f t="shared" si="194"/>
        <v>5</v>
      </c>
      <c r="H1491" s="4">
        <f t="shared" si="195"/>
        <v>3</v>
      </c>
      <c r="I1491" s="4">
        <f t="shared" si="196"/>
        <v>5</v>
      </c>
      <c r="J1491" s="4">
        <f t="shared" si="197"/>
        <v>8</v>
      </c>
    </row>
    <row r="1492" spans="1:10" x14ac:dyDescent="0.25">
      <c r="A1492">
        <v>1490</v>
      </c>
      <c r="B1492" s="4" t="str">
        <f t="shared" si="192"/>
        <v>NOK</v>
      </c>
      <c r="C1492" t="str">
        <f t="shared" si="189"/>
        <v>E</v>
      </c>
      <c r="D1492" t="str">
        <f t="shared" si="190"/>
        <v>C</v>
      </c>
      <c r="E1492" t="str">
        <f t="shared" si="191"/>
        <v>E</v>
      </c>
      <c r="F1492" s="4" t="str">
        <f t="shared" si="193"/>
        <v>I</v>
      </c>
      <c r="G1492" s="4">
        <f t="shared" si="194"/>
        <v>5</v>
      </c>
      <c r="H1492" s="4">
        <f t="shared" si="195"/>
        <v>3</v>
      </c>
      <c r="I1492" s="4">
        <f t="shared" si="196"/>
        <v>5</v>
      </c>
      <c r="J1492" s="4">
        <f t="shared" si="197"/>
        <v>9</v>
      </c>
    </row>
    <row r="1493" spans="1:10" x14ac:dyDescent="0.25">
      <c r="A1493">
        <v>1491</v>
      </c>
      <c r="B1493" s="4" t="str">
        <f t="shared" si="192"/>
        <v>NOK</v>
      </c>
      <c r="C1493" t="str">
        <f t="shared" si="189"/>
        <v>E</v>
      </c>
      <c r="D1493" t="str">
        <f t="shared" si="190"/>
        <v>C</v>
      </c>
      <c r="E1493" t="str">
        <f t="shared" si="191"/>
        <v>E</v>
      </c>
      <c r="F1493" s="4" t="str">
        <f t="shared" si="193"/>
        <v>J</v>
      </c>
      <c r="G1493" s="4">
        <f t="shared" si="194"/>
        <v>5</v>
      </c>
      <c r="H1493" s="4">
        <f t="shared" si="195"/>
        <v>3</v>
      </c>
      <c r="I1493" s="4">
        <f t="shared" si="196"/>
        <v>5</v>
      </c>
      <c r="J1493" s="4">
        <f t="shared" si="197"/>
        <v>10</v>
      </c>
    </row>
    <row r="1494" spans="1:10" x14ac:dyDescent="0.25">
      <c r="A1494">
        <v>1492</v>
      </c>
      <c r="B1494" s="4" t="str">
        <f t="shared" si="192"/>
        <v>OK</v>
      </c>
      <c r="C1494" t="str">
        <f t="shared" si="189"/>
        <v>E</v>
      </c>
      <c r="D1494" t="str">
        <f t="shared" si="190"/>
        <v>C</v>
      </c>
      <c r="E1494" t="str">
        <f t="shared" si="191"/>
        <v>E</v>
      </c>
      <c r="F1494" s="4" t="str">
        <f t="shared" si="193"/>
        <v>K</v>
      </c>
      <c r="G1494" s="4">
        <f t="shared" si="194"/>
        <v>5</v>
      </c>
      <c r="H1494" s="4">
        <f t="shared" si="195"/>
        <v>3</v>
      </c>
      <c r="I1494" s="4">
        <f t="shared" si="196"/>
        <v>5</v>
      </c>
      <c r="J1494" s="4">
        <f t="shared" si="197"/>
        <v>11</v>
      </c>
    </row>
    <row r="1495" spans="1:10" x14ac:dyDescent="0.25">
      <c r="A1495">
        <v>1493</v>
      </c>
      <c r="B1495" s="4" t="str">
        <f t="shared" si="192"/>
        <v>NOK</v>
      </c>
      <c r="C1495" t="str">
        <f t="shared" si="189"/>
        <v>E</v>
      </c>
      <c r="D1495" t="str">
        <f t="shared" si="190"/>
        <v>C</v>
      </c>
      <c r="E1495" t="str">
        <f t="shared" si="191"/>
        <v>E</v>
      </c>
      <c r="F1495" s="4" t="str">
        <f t="shared" si="193"/>
        <v>L</v>
      </c>
      <c r="G1495" s="4">
        <f t="shared" si="194"/>
        <v>5</v>
      </c>
      <c r="H1495" s="4">
        <f t="shared" si="195"/>
        <v>3</v>
      </c>
      <c r="I1495" s="4">
        <f t="shared" si="196"/>
        <v>5</v>
      </c>
      <c r="J1495" s="4">
        <f t="shared" si="197"/>
        <v>12</v>
      </c>
    </row>
    <row r="1496" spans="1:10" x14ac:dyDescent="0.25">
      <c r="A1496">
        <v>1494</v>
      </c>
      <c r="B1496" s="4" t="str">
        <f t="shared" si="192"/>
        <v>NOK</v>
      </c>
      <c r="C1496" t="str">
        <f t="shared" si="189"/>
        <v>E</v>
      </c>
      <c r="D1496" t="str">
        <f t="shared" si="190"/>
        <v>C</v>
      </c>
      <c r="E1496" t="str">
        <f t="shared" si="191"/>
        <v>E</v>
      </c>
      <c r="F1496" s="4" t="str">
        <f t="shared" si="193"/>
        <v>M</v>
      </c>
      <c r="G1496" s="4">
        <f t="shared" si="194"/>
        <v>5</v>
      </c>
      <c r="H1496" s="4">
        <f t="shared" si="195"/>
        <v>3</v>
      </c>
      <c r="I1496" s="4">
        <f t="shared" si="196"/>
        <v>5</v>
      </c>
      <c r="J1496" s="4">
        <f t="shared" si="197"/>
        <v>13</v>
      </c>
    </row>
    <row r="1497" spans="1:10" x14ac:dyDescent="0.25">
      <c r="A1497">
        <v>1495</v>
      </c>
      <c r="B1497" s="4" t="str">
        <f t="shared" si="192"/>
        <v>NOK</v>
      </c>
      <c r="C1497" t="str">
        <f t="shared" si="189"/>
        <v>E</v>
      </c>
      <c r="D1497" t="str">
        <f t="shared" si="190"/>
        <v>D</v>
      </c>
      <c r="E1497" t="str">
        <f t="shared" si="191"/>
        <v>A</v>
      </c>
      <c r="F1497" s="4" t="str">
        <f t="shared" si="193"/>
        <v>A</v>
      </c>
      <c r="G1497" s="4">
        <f t="shared" si="194"/>
        <v>5</v>
      </c>
      <c r="H1497" s="4">
        <f t="shared" si="195"/>
        <v>4</v>
      </c>
      <c r="I1497" s="4">
        <f t="shared" si="196"/>
        <v>1</v>
      </c>
      <c r="J1497" s="4">
        <f t="shared" si="197"/>
        <v>1</v>
      </c>
    </row>
    <row r="1498" spans="1:10" x14ac:dyDescent="0.25">
      <c r="A1498">
        <v>1496</v>
      </c>
      <c r="B1498" s="4" t="str">
        <f t="shared" si="192"/>
        <v>NOK</v>
      </c>
      <c r="C1498" t="str">
        <f t="shared" si="189"/>
        <v>E</v>
      </c>
      <c r="D1498" t="str">
        <f t="shared" si="190"/>
        <v>D</v>
      </c>
      <c r="E1498" t="str">
        <f t="shared" si="191"/>
        <v>A</v>
      </c>
      <c r="F1498" s="4" t="str">
        <f t="shared" si="193"/>
        <v>B</v>
      </c>
      <c r="G1498" s="4">
        <f t="shared" si="194"/>
        <v>5</v>
      </c>
      <c r="H1498" s="4">
        <f t="shared" si="195"/>
        <v>4</v>
      </c>
      <c r="I1498" s="4">
        <f t="shared" si="196"/>
        <v>1</v>
      </c>
      <c r="J1498" s="4">
        <f t="shared" si="197"/>
        <v>2</v>
      </c>
    </row>
    <row r="1499" spans="1:10" x14ac:dyDescent="0.25">
      <c r="A1499">
        <v>1497</v>
      </c>
      <c r="B1499" s="4" t="str">
        <f t="shared" si="192"/>
        <v>NOK</v>
      </c>
      <c r="C1499" t="str">
        <f t="shared" si="189"/>
        <v>E</v>
      </c>
      <c r="D1499" t="str">
        <f t="shared" si="190"/>
        <v>D</v>
      </c>
      <c r="E1499" t="str">
        <f t="shared" si="191"/>
        <v>A</v>
      </c>
      <c r="F1499" s="4" t="str">
        <f t="shared" si="193"/>
        <v>C</v>
      </c>
      <c r="G1499" s="4">
        <f t="shared" si="194"/>
        <v>5</v>
      </c>
      <c r="H1499" s="4">
        <f t="shared" si="195"/>
        <v>4</v>
      </c>
      <c r="I1499" s="4">
        <f t="shared" si="196"/>
        <v>1</v>
      </c>
      <c r="J1499" s="4">
        <f t="shared" si="197"/>
        <v>3</v>
      </c>
    </row>
    <row r="1500" spans="1:10" x14ac:dyDescent="0.25">
      <c r="A1500">
        <v>1498</v>
      </c>
      <c r="B1500" s="4" t="str">
        <f t="shared" si="192"/>
        <v>NOK</v>
      </c>
      <c r="C1500" t="str">
        <f t="shared" si="189"/>
        <v>E</v>
      </c>
      <c r="D1500" t="str">
        <f t="shared" si="190"/>
        <v>D</v>
      </c>
      <c r="E1500" t="str">
        <f t="shared" si="191"/>
        <v>A</v>
      </c>
      <c r="F1500" s="4" t="str">
        <f t="shared" si="193"/>
        <v>D</v>
      </c>
      <c r="G1500" s="4">
        <f t="shared" si="194"/>
        <v>5</v>
      </c>
      <c r="H1500" s="4">
        <f t="shared" si="195"/>
        <v>4</v>
      </c>
      <c r="I1500" s="4">
        <f t="shared" si="196"/>
        <v>1</v>
      </c>
      <c r="J1500" s="4">
        <f t="shared" si="197"/>
        <v>4</v>
      </c>
    </row>
    <row r="1501" spans="1:10" x14ac:dyDescent="0.25">
      <c r="A1501">
        <v>1499</v>
      </c>
      <c r="B1501" s="4" t="str">
        <f t="shared" si="192"/>
        <v>NOK</v>
      </c>
      <c r="C1501" t="str">
        <f t="shared" si="189"/>
        <v>E</v>
      </c>
      <c r="D1501" t="str">
        <f t="shared" si="190"/>
        <v>D</v>
      </c>
      <c r="E1501" t="str">
        <f t="shared" si="191"/>
        <v>A</v>
      </c>
      <c r="F1501" s="4" t="str">
        <f t="shared" si="193"/>
        <v>E</v>
      </c>
      <c r="G1501" s="4">
        <f t="shared" si="194"/>
        <v>5</v>
      </c>
      <c r="H1501" s="4">
        <f t="shared" si="195"/>
        <v>4</v>
      </c>
      <c r="I1501" s="4">
        <f t="shared" si="196"/>
        <v>1</v>
      </c>
      <c r="J1501" s="4">
        <f t="shared" si="197"/>
        <v>5</v>
      </c>
    </row>
    <row r="1502" spans="1:10" x14ac:dyDescent="0.25">
      <c r="A1502">
        <v>1500</v>
      </c>
      <c r="B1502" s="4" t="str">
        <f t="shared" si="192"/>
        <v>NOK</v>
      </c>
      <c r="C1502" t="str">
        <f t="shared" si="189"/>
        <v>E</v>
      </c>
      <c r="D1502" t="str">
        <f t="shared" si="190"/>
        <v>D</v>
      </c>
      <c r="E1502" t="str">
        <f t="shared" si="191"/>
        <v>A</v>
      </c>
      <c r="F1502" s="4" t="str">
        <f t="shared" si="193"/>
        <v>F</v>
      </c>
      <c r="G1502" s="4">
        <f t="shared" si="194"/>
        <v>5</v>
      </c>
      <c r="H1502" s="4">
        <f t="shared" si="195"/>
        <v>4</v>
      </c>
      <c r="I1502" s="4">
        <f t="shared" si="196"/>
        <v>1</v>
      </c>
      <c r="J1502" s="4">
        <f t="shared" si="197"/>
        <v>6</v>
      </c>
    </row>
    <row r="1503" spans="1:10" x14ac:dyDescent="0.25">
      <c r="A1503">
        <v>1501</v>
      </c>
      <c r="B1503" s="4" t="str">
        <f t="shared" si="192"/>
        <v>NOK</v>
      </c>
      <c r="C1503" t="str">
        <f t="shared" si="189"/>
        <v>E</v>
      </c>
      <c r="D1503" t="str">
        <f t="shared" si="190"/>
        <v>D</v>
      </c>
      <c r="E1503" t="str">
        <f t="shared" si="191"/>
        <v>A</v>
      </c>
      <c r="F1503" s="4" t="str">
        <f t="shared" si="193"/>
        <v>G</v>
      </c>
      <c r="G1503" s="4">
        <f t="shared" si="194"/>
        <v>5</v>
      </c>
      <c r="H1503" s="4">
        <f t="shared" si="195"/>
        <v>4</v>
      </c>
      <c r="I1503" s="4">
        <f t="shared" si="196"/>
        <v>1</v>
      </c>
      <c r="J1503" s="4">
        <f t="shared" si="197"/>
        <v>7</v>
      </c>
    </row>
    <row r="1504" spans="1:10" x14ac:dyDescent="0.25">
      <c r="A1504">
        <v>1502</v>
      </c>
      <c r="B1504" s="4" t="str">
        <f t="shared" si="192"/>
        <v>OK</v>
      </c>
      <c r="C1504" t="str">
        <f t="shared" si="189"/>
        <v>E</v>
      </c>
      <c r="D1504" t="str">
        <f t="shared" si="190"/>
        <v>D</v>
      </c>
      <c r="E1504" t="str">
        <f t="shared" si="191"/>
        <v>A</v>
      </c>
      <c r="F1504" s="4" t="str">
        <f t="shared" si="193"/>
        <v>H</v>
      </c>
      <c r="G1504" s="4">
        <f t="shared" si="194"/>
        <v>5</v>
      </c>
      <c r="H1504" s="4">
        <f t="shared" si="195"/>
        <v>4</v>
      </c>
      <c r="I1504" s="4">
        <f t="shared" si="196"/>
        <v>1</v>
      </c>
      <c r="J1504" s="4">
        <f t="shared" si="197"/>
        <v>8</v>
      </c>
    </row>
    <row r="1505" spans="1:10" x14ac:dyDescent="0.25">
      <c r="A1505">
        <v>1503</v>
      </c>
      <c r="B1505" s="4" t="str">
        <f t="shared" si="192"/>
        <v>NOK</v>
      </c>
      <c r="C1505" t="str">
        <f t="shared" si="189"/>
        <v>E</v>
      </c>
      <c r="D1505" t="str">
        <f t="shared" si="190"/>
        <v>D</v>
      </c>
      <c r="E1505" t="str">
        <f t="shared" si="191"/>
        <v>A</v>
      </c>
      <c r="F1505" s="4" t="str">
        <f t="shared" si="193"/>
        <v>I</v>
      </c>
      <c r="G1505" s="4">
        <f t="shared" si="194"/>
        <v>5</v>
      </c>
      <c r="H1505" s="4">
        <f t="shared" si="195"/>
        <v>4</v>
      </c>
      <c r="I1505" s="4">
        <f t="shared" si="196"/>
        <v>1</v>
      </c>
      <c r="J1505" s="4">
        <f t="shared" si="197"/>
        <v>9</v>
      </c>
    </row>
    <row r="1506" spans="1:10" x14ac:dyDescent="0.25">
      <c r="A1506">
        <v>1504</v>
      </c>
      <c r="B1506" s="4" t="str">
        <f t="shared" si="192"/>
        <v>NOK</v>
      </c>
      <c r="C1506" t="str">
        <f t="shared" si="189"/>
        <v>E</v>
      </c>
      <c r="D1506" t="str">
        <f t="shared" si="190"/>
        <v>D</v>
      </c>
      <c r="E1506" t="str">
        <f t="shared" si="191"/>
        <v>A</v>
      </c>
      <c r="F1506" s="4" t="str">
        <f t="shared" si="193"/>
        <v>J</v>
      </c>
      <c r="G1506" s="4">
        <f t="shared" si="194"/>
        <v>5</v>
      </c>
      <c r="H1506" s="4">
        <f t="shared" si="195"/>
        <v>4</v>
      </c>
      <c r="I1506" s="4">
        <f t="shared" si="196"/>
        <v>1</v>
      </c>
      <c r="J1506" s="4">
        <f t="shared" si="197"/>
        <v>10</v>
      </c>
    </row>
    <row r="1507" spans="1:10" x14ac:dyDescent="0.25">
      <c r="A1507">
        <v>1505</v>
      </c>
      <c r="B1507" s="4" t="str">
        <f t="shared" si="192"/>
        <v>NOK</v>
      </c>
      <c r="C1507" t="str">
        <f t="shared" si="189"/>
        <v>E</v>
      </c>
      <c r="D1507" t="str">
        <f t="shared" si="190"/>
        <v>D</v>
      </c>
      <c r="E1507" t="str">
        <f t="shared" si="191"/>
        <v>A</v>
      </c>
      <c r="F1507" s="4" t="str">
        <f t="shared" si="193"/>
        <v>K</v>
      </c>
      <c r="G1507" s="4">
        <f t="shared" si="194"/>
        <v>5</v>
      </c>
      <c r="H1507" s="4">
        <f t="shared" si="195"/>
        <v>4</v>
      </c>
      <c r="I1507" s="4">
        <f t="shared" si="196"/>
        <v>1</v>
      </c>
      <c r="J1507" s="4">
        <f t="shared" si="197"/>
        <v>11</v>
      </c>
    </row>
    <row r="1508" spans="1:10" x14ac:dyDescent="0.25">
      <c r="A1508">
        <v>1506</v>
      </c>
      <c r="B1508" s="4" t="str">
        <f t="shared" si="192"/>
        <v>NOK</v>
      </c>
      <c r="C1508" t="str">
        <f t="shared" si="189"/>
        <v>E</v>
      </c>
      <c r="D1508" t="str">
        <f t="shared" si="190"/>
        <v>D</v>
      </c>
      <c r="E1508" t="str">
        <f t="shared" si="191"/>
        <v>A</v>
      </c>
      <c r="F1508" s="4" t="str">
        <f t="shared" si="193"/>
        <v>L</v>
      </c>
      <c r="G1508" s="4">
        <f t="shared" si="194"/>
        <v>5</v>
      </c>
      <c r="H1508" s="4">
        <f t="shared" si="195"/>
        <v>4</v>
      </c>
      <c r="I1508" s="4">
        <f t="shared" si="196"/>
        <v>1</v>
      </c>
      <c r="J1508" s="4">
        <f t="shared" si="197"/>
        <v>12</v>
      </c>
    </row>
    <row r="1509" spans="1:10" x14ac:dyDescent="0.25">
      <c r="A1509">
        <v>1507</v>
      </c>
      <c r="B1509" s="4" t="str">
        <f t="shared" si="192"/>
        <v>NOK</v>
      </c>
      <c r="C1509" t="str">
        <f t="shared" si="189"/>
        <v>E</v>
      </c>
      <c r="D1509" t="str">
        <f t="shared" si="190"/>
        <v>D</v>
      </c>
      <c r="E1509" t="str">
        <f t="shared" si="191"/>
        <v>A</v>
      </c>
      <c r="F1509" s="4" t="str">
        <f t="shared" si="193"/>
        <v>M</v>
      </c>
      <c r="G1509" s="4">
        <f t="shared" si="194"/>
        <v>5</v>
      </c>
      <c r="H1509" s="4">
        <f t="shared" si="195"/>
        <v>4</v>
      </c>
      <c r="I1509" s="4">
        <f t="shared" si="196"/>
        <v>1</v>
      </c>
      <c r="J1509" s="4">
        <f t="shared" si="197"/>
        <v>13</v>
      </c>
    </row>
    <row r="1510" spans="1:10" x14ac:dyDescent="0.25">
      <c r="A1510">
        <v>1508</v>
      </c>
      <c r="B1510" s="4" t="str">
        <f t="shared" si="192"/>
        <v>NOK</v>
      </c>
      <c r="C1510" t="str">
        <f t="shared" si="189"/>
        <v>E</v>
      </c>
      <c r="D1510" t="str">
        <f t="shared" si="190"/>
        <v>D</v>
      </c>
      <c r="E1510" t="str">
        <f t="shared" si="191"/>
        <v>B</v>
      </c>
      <c r="F1510" s="4" t="str">
        <f t="shared" si="193"/>
        <v>A</v>
      </c>
      <c r="G1510" s="4">
        <f t="shared" si="194"/>
        <v>5</v>
      </c>
      <c r="H1510" s="4">
        <f t="shared" si="195"/>
        <v>4</v>
      </c>
      <c r="I1510" s="4">
        <f t="shared" si="196"/>
        <v>2</v>
      </c>
      <c r="J1510" s="4">
        <f t="shared" si="197"/>
        <v>1</v>
      </c>
    </row>
    <row r="1511" spans="1:10" x14ac:dyDescent="0.25">
      <c r="A1511">
        <v>1509</v>
      </c>
      <c r="B1511" s="4" t="str">
        <f t="shared" si="192"/>
        <v>NOK</v>
      </c>
      <c r="C1511" t="str">
        <f t="shared" ref="C1511:C1574" si="198">IF(G1511=1,"A",IF(G1511=2,"B",IF(G1511=3,"C",IF(G1511=4,"D",IF(G1511=5,"E","ERRO")))))</f>
        <v>E</v>
      </c>
      <c r="D1511" t="str">
        <f t="shared" ref="D1511:D1574" si="199">IF(H1511=1,"A",IF(H1511=2,"B",IF(H1511=3,"C",IF(H1511=4,"D",IF(H1511=5,"E","ERRO")))))</f>
        <v>D</v>
      </c>
      <c r="E1511" t="str">
        <f t="shared" ref="E1511:E1574" si="200">IF(I1511=1,"A",IF(I1511=2,"B",IF(I1511=3,"C",IF(I1511=4,"D",IF(I1511=5,"E","ERRO")))))</f>
        <v>B</v>
      </c>
      <c r="F1511" s="4" t="str">
        <f t="shared" si="193"/>
        <v>B</v>
      </c>
      <c r="G1511" s="4">
        <f t="shared" si="194"/>
        <v>5</v>
      </c>
      <c r="H1511" s="4">
        <f t="shared" si="195"/>
        <v>4</v>
      </c>
      <c r="I1511" s="4">
        <f t="shared" si="196"/>
        <v>2</v>
      </c>
      <c r="J1511" s="4">
        <f t="shared" si="197"/>
        <v>2</v>
      </c>
    </row>
    <row r="1512" spans="1:10" x14ac:dyDescent="0.25">
      <c r="A1512">
        <v>1510</v>
      </c>
      <c r="B1512" s="4" t="str">
        <f t="shared" si="192"/>
        <v>NOK</v>
      </c>
      <c r="C1512" t="str">
        <f t="shared" si="198"/>
        <v>E</v>
      </c>
      <c r="D1512" t="str">
        <f t="shared" si="199"/>
        <v>D</v>
      </c>
      <c r="E1512" t="str">
        <f t="shared" si="200"/>
        <v>B</v>
      </c>
      <c r="F1512" s="4" t="str">
        <f t="shared" si="193"/>
        <v>C</v>
      </c>
      <c r="G1512" s="4">
        <f t="shared" si="194"/>
        <v>5</v>
      </c>
      <c r="H1512" s="4">
        <f t="shared" si="195"/>
        <v>4</v>
      </c>
      <c r="I1512" s="4">
        <f t="shared" si="196"/>
        <v>2</v>
      </c>
      <c r="J1512" s="4">
        <f t="shared" si="197"/>
        <v>3</v>
      </c>
    </row>
    <row r="1513" spans="1:10" x14ac:dyDescent="0.25">
      <c r="A1513">
        <v>1511</v>
      </c>
      <c r="B1513" s="4" t="str">
        <f t="shared" si="192"/>
        <v>NOK</v>
      </c>
      <c r="C1513" t="str">
        <f t="shared" si="198"/>
        <v>E</v>
      </c>
      <c r="D1513" t="str">
        <f t="shared" si="199"/>
        <v>D</v>
      </c>
      <c r="E1513" t="str">
        <f t="shared" si="200"/>
        <v>B</v>
      </c>
      <c r="F1513" s="4" t="str">
        <f t="shared" si="193"/>
        <v>D</v>
      </c>
      <c r="G1513" s="4">
        <f t="shared" si="194"/>
        <v>5</v>
      </c>
      <c r="H1513" s="4">
        <f t="shared" si="195"/>
        <v>4</v>
      </c>
      <c r="I1513" s="4">
        <f t="shared" si="196"/>
        <v>2</v>
      </c>
      <c r="J1513" s="4">
        <f t="shared" si="197"/>
        <v>4</v>
      </c>
    </row>
    <row r="1514" spans="1:10" x14ac:dyDescent="0.25">
      <c r="A1514">
        <v>1512</v>
      </c>
      <c r="B1514" s="4" t="str">
        <f t="shared" si="192"/>
        <v>NOK</v>
      </c>
      <c r="C1514" t="str">
        <f t="shared" si="198"/>
        <v>E</v>
      </c>
      <c r="D1514" t="str">
        <f t="shared" si="199"/>
        <v>D</v>
      </c>
      <c r="E1514" t="str">
        <f t="shared" si="200"/>
        <v>B</v>
      </c>
      <c r="F1514" s="4" t="str">
        <f t="shared" si="193"/>
        <v>E</v>
      </c>
      <c r="G1514" s="4">
        <f t="shared" si="194"/>
        <v>5</v>
      </c>
      <c r="H1514" s="4">
        <f t="shared" si="195"/>
        <v>4</v>
      </c>
      <c r="I1514" s="4">
        <f t="shared" si="196"/>
        <v>2</v>
      </c>
      <c r="J1514" s="4">
        <f t="shared" si="197"/>
        <v>5</v>
      </c>
    </row>
    <row r="1515" spans="1:10" x14ac:dyDescent="0.25">
      <c r="A1515">
        <v>1513</v>
      </c>
      <c r="B1515" s="4" t="str">
        <f t="shared" si="192"/>
        <v>NOK</v>
      </c>
      <c r="C1515" t="str">
        <f t="shared" si="198"/>
        <v>E</v>
      </c>
      <c r="D1515" t="str">
        <f t="shared" si="199"/>
        <v>D</v>
      </c>
      <c r="E1515" t="str">
        <f t="shared" si="200"/>
        <v>B</v>
      </c>
      <c r="F1515" s="4" t="str">
        <f t="shared" si="193"/>
        <v>F</v>
      </c>
      <c r="G1515" s="4">
        <f t="shared" si="194"/>
        <v>5</v>
      </c>
      <c r="H1515" s="4">
        <f t="shared" si="195"/>
        <v>4</v>
      </c>
      <c r="I1515" s="4">
        <f t="shared" si="196"/>
        <v>2</v>
      </c>
      <c r="J1515" s="4">
        <f t="shared" si="197"/>
        <v>6</v>
      </c>
    </row>
    <row r="1516" spans="1:10" x14ac:dyDescent="0.25">
      <c r="A1516">
        <v>1514</v>
      </c>
      <c r="B1516" s="4" t="str">
        <f t="shared" si="192"/>
        <v>NOK</v>
      </c>
      <c r="C1516" t="str">
        <f t="shared" si="198"/>
        <v>E</v>
      </c>
      <c r="D1516" t="str">
        <f t="shared" si="199"/>
        <v>D</v>
      </c>
      <c r="E1516" t="str">
        <f t="shared" si="200"/>
        <v>B</v>
      </c>
      <c r="F1516" s="4" t="str">
        <f t="shared" si="193"/>
        <v>G</v>
      </c>
      <c r="G1516" s="4">
        <f t="shared" si="194"/>
        <v>5</v>
      </c>
      <c r="H1516" s="4">
        <f t="shared" si="195"/>
        <v>4</v>
      </c>
      <c r="I1516" s="4">
        <f t="shared" si="196"/>
        <v>2</v>
      </c>
      <c r="J1516" s="4">
        <f t="shared" si="197"/>
        <v>7</v>
      </c>
    </row>
    <row r="1517" spans="1:10" x14ac:dyDescent="0.25">
      <c r="A1517">
        <v>1515</v>
      </c>
      <c r="B1517" s="4" t="str">
        <f t="shared" si="192"/>
        <v>NOK</v>
      </c>
      <c r="C1517" t="str">
        <f t="shared" si="198"/>
        <v>E</v>
      </c>
      <c r="D1517" t="str">
        <f t="shared" si="199"/>
        <v>D</v>
      </c>
      <c r="E1517" t="str">
        <f t="shared" si="200"/>
        <v>B</v>
      </c>
      <c r="F1517" s="4" t="str">
        <f t="shared" si="193"/>
        <v>H</v>
      </c>
      <c r="G1517" s="4">
        <f t="shared" si="194"/>
        <v>5</v>
      </c>
      <c r="H1517" s="4">
        <f t="shared" si="195"/>
        <v>4</v>
      </c>
      <c r="I1517" s="4">
        <f t="shared" si="196"/>
        <v>2</v>
      </c>
      <c r="J1517" s="4">
        <f t="shared" si="197"/>
        <v>8</v>
      </c>
    </row>
    <row r="1518" spans="1:10" x14ac:dyDescent="0.25">
      <c r="A1518">
        <v>1516</v>
      </c>
      <c r="B1518" s="4" t="str">
        <f t="shared" si="192"/>
        <v>OK</v>
      </c>
      <c r="C1518" t="str">
        <f t="shared" si="198"/>
        <v>E</v>
      </c>
      <c r="D1518" t="str">
        <f t="shared" si="199"/>
        <v>D</v>
      </c>
      <c r="E1518" t="str">
        <f t="shared" si="200"/>
        <v>B</v>
      </c>
      <c r="F1518" s="4" t="str">
        <f t="shared" si="193"/>
        <v>I</v>
      </c>
      <c r="G1518" s="4">
        <f t="shared" si="194"/>
        <v>5</v>
      </c>
      <c r="H1518" s="4">
        <f t="shared" si="195"/>
        <v>4</v>
      </c>
      <c r="I1518" s="4">
        <f t="shared" si="196"/>
        <v>2</v>
      </c>
      <c r="J1518" s="4">
        <f t="shared" si="197"/>
        <v>9</v>
      </c>
    </row>
    <row r="1519" spans="1:10" x14ac:dyDescent="0.25">
      <c r="A1519">
        <v>1517</v>
      </c>
      <c r="B1519" s="4" t="str">
        <f t="shared" si="192"/>
        <v>NOK</v>
      </c>
      <c r="C1519" t="str">
        <f t="shared" si="198"/>
        <v>E</v>
      </c>
      <c r="D1519" t="str">
        <f t="shared" si="199"/>
        <v>D</v>
      </c>
      <c r="E1519" t="str">
        <f t="shared" si="200"/>
        <v>B</v>
      </c>
      <c r="F1519" s="4" t="str">
        <f t="shared" si="193"/>
        <v>J</v>
      </c>
      <c r="G1519" s="4">
        <f t="shared" si="194"/>
        <v>5</v>
      </c>
      <c r="H1519" s="4">
        <f t="shared" si="195"/>
        <v>4</v>
      </c>
      <c r="I1519" s="4">
        <f t="shared" si="196"/>
        <v>2</v>
      </c>
      <c r="J1519" s="4">
        <f t="shared" si="197"/>
        <v>10</v>
      </c>
    </row>
    <row r="1520" spans="1:10" x14ac:dyDescent="0.25">
      <c r="A1520">
        <v>1518</v>
      </c>
      <c r="B1520" s="4" t="str">
        <f t="shared" si="192"/>
        <v>NOK</v>
      </c>
      <c r="C1520" t="str">
        <f t="shared" si="198"/>
        <v>E</v>
      </c>
      <c r="D1520" t="str">
        <f t="shared" si="199"/>
        <v>D</v>
      </c>
      <c r="E1520" t="str">
        <f t="shared" si="200"/>
        <v>B</v>
      </c>
      <c r="F1520" s="4" t="str">
        <f t="shared" si="193"/>
        <v>K</v>
      </c>
      <c r="G1520" s="4">
        <f t="shared" si="194"/>
        <v>5</v>
      </c>
      <c r="H1520" s="4">
        <f t="shared" si="195"/>
        <v>4</v>
      </c>
      <c r="I1520" s="4">
        <f t="shared" si="196"/>
        <v>2</v>
      </c>
      <c r="J1520" s="4">
        <f t="shared" si="197"/>
        <v>11</v>
      </c>
    </row>
    <row r="1521" spans="1:10" x14ac:dyDescent="0.25">
      <c r="A1521">
        <v>1519</v>
      </c>
      <c r="B1521" s="4" t="str">
        <f t="shared" si="192"/>
        <v>NOK</v>
      </c>
      <c r="C1521" t="str">
        <f t="shared" si="198"/>
        <v>E</v>
      </c>
      <c r="D1521" t="str">
        <f t="shared" si="199"/>
        <v>D</v>
      </c>
      <c r="E1521" t="str">
        <f t="shared" si="200"/>
        <v>B</v>
      </c>
      <c r="F1521" s="4" t="str">
        <f t="shared" si="193"/>
        <v>L</v>
      </c>
      <c r="G1521" s="4">
        <f t="shared" si="194"/>
        <v>5</v>
      </c>
      <c r="H1521" s="4">
        <f t="shared" si="195"/>
        <v>4</v>
      </c>
      <c r="I1521" s="4">
        <f t="shared" si="196"/>
        <v>2</v>
      </c>
      <c r="J1521" s="4">
        <f t="shared" si="197"/>
        <v>12</v>
      </c>
    </row>
    <row r="1522" spans="1:10" x14ac:dyDescent="0.25">
      <c r="A1522">
        <v>1520</v>
      </c>
      <c r="B1522" s="4" t="str">
        <f t="shared" si="192"/>
        <v>NOK</v>
      </c>
      <c r="C1522" t="str">
        <f t="shared" si="198"/>
        <v>E</v>
      </c>
      <c r="D1522" t="str">
        <f t="shared" si="199"/>
        <v>D</v>
      </c>
      <c r="E1522" t="str">
        <f t="shared" si="200"/>
        <v>B</v>
      </c>
      <c r="F1522" s="4" t="str">
        <f t="shared" si="193"/>
        <v>M</v>
      </c>
      <c r="G1522" s="4">
        <f t="shared" si="194"/>
        <v>5</v>
      </c>
      <c r="H1522" s="4">
        <f t="shared" si="195"/>
        <v>4</v>
      </c>
      <c r="I1522" s="4">
        <f t="shared" si="196"/>
        <v>2</v>
      </c>
      <c r="J1522" s="4">
        <f t="shared" si="197"/>
        <v>13</v>
      </c>
    </row>
    <row r="1523" spans="1:10" x14ac:dyDescent="0.25">
      <c r="A1523">
        <v>1521</v>
      </c>
      <c r="B1523" s="4" t="str">
        <f t="shared" si="192"/>
        <v>NOK</v>
      </c>
      <c r="C1523" t="str">
        <f t="shared" si="198"/>
        <v>E</v>
      </c>
      <c r="D1523" t="str">
        <f t="shared" si="199"/>
        <v>D</v>
      </c>
      <c r="E1523" t="str">
        <f t="shared" si="200"/>
        <v>C</v>
      </c>
      <c r="F1523" s="4" t="str">
        <f t="shared" si="193"/>
        <v>A</v>
      </c>
      <c r="G1523" s="4">
        <f t="shared" si="194"/>
        <v>5</v>
      </c>
      <c r="H1523" s="4">
        <f t="shared" si="195"/>
        <v>4</v>
      </c>
      <c r="I1523" s="4">
        <f t="shared" si="196"/>
        <v>3</v>
      </c>
      <c r="J1523" s="4">
        <f t="shared" si="197"/>
        <v>1</v>
      </c>
    </row>
    <row r="1524" spans="1:10" x14ac:dyDescent="0.25">
      <c r="A1524">
        <v>1522</v>
      </c>
      <c r="B1524" s="4" t="str">
        <f t="shared" si="192"/>
        <v>NOK</v>
      </c>
      <c r="C1524" t="str">
        <f t="shared" si="198"/>
        <v>E</v>
      </c>
      <c r="D1524" t="str">
        <f t="shared" si="199"/>
        <v>D</v>
      </c>
      <c r="E1524" t="str">
        <f t="shared" si="200"/>
        <v>C</v>
      </c>
      <c r="F1524" s="4" t="str">
        <f t="shared" si="193"/>
        <v>B</v>
      </c>
      <c r="G1524" s="4">
        <f t="shared" si="194"/>
        <v>5</v>
      </c>
      <c r="H1524" s="4">
        <f t="shared" si="195"/>
        <v>4</v>
      </c>
      <c r="I1524" s="4">
        <f t="shared" si="196"/>
        <v>3</v>
      </c>
      <c r="J1524" s="4">
        <f t="shared" si="197"/>
        <v>2</v>
      </c>
    </row>
    <row r="1525" spans="1:10" x14ac:dyDescent="0.25">
      <c r="A1525">
        <v>1523</v>
      </c>
      <c r="B1525" s="4" t="str">
        <f t="shared" si="192"/>
        <v>NOK</v>
      </c>
      <c r="C1525" t="str">
        <f t="shared" si="198"/>
        <v>E</v>
      </c>
      <c r="D1525" t="str">
        <f t="shared" si="199"/>
        <v>D</v>
      </c>
      <c r="E1525" t="str">
        <f t="shared" si="200"/>
        <v>C</v>
      </c>
      <c r="F1525" s="4" t="str">
        <f t="shared" si="193"/>
        <v>C</v>
      </c>
      <c r="G1525" s="4">
        <f t="shared" si="194"/>
        <v>5</v>
      </c>
      <c r="H1525" s="4">
        <f t="shared" si="195"/>
        <v>4</v>
      </c>
      <c r="I1525" s="4">
        <f t="shared" si="196"/>
        <v>3</v>
      </c>
      <c r="J1525" s="4">
        <f t="shared" si="197"/>
        <v>3</v>
      </c>
    </row>
    <row r="1526" spans="1:10" x14ac:dyDescent="0.25">
      <c r="A1526">
        <v>1524</v>
      </c>
      <c r="B1526" s="4" t="str">
        <f t="shared" si="192"/>
        <v>NOK</v>
      </c>
      <c r="C1526" t="str">
        <f t="shared" si="198"/>
        <v>E</v>
      </c>
      <c r="D1526" t="str">
        <f t="shared" si="199"/>
        <v>D</v>
      </c>
      <c r="E1526" t="str">
        <f t="shared" si="200"/>
        <v>C</v>
      </c>
      <c r="F1526" s="4" t="str">
        <f t="shared" si="193"/>
        <v>D</v>
      </c>
      <c r="G1526" s="4">
        <f t="shared" si="194"/>
        <v>5</v>
      </c>
      <c r="H1526" s="4">
        <f t="shared" si="195"/>
        <v>4</v>
      </c>
      <c r="I1526" s="4">
        <f t="shared" si="196"/>
        <v>3</v>
      </c>
      <c r="J1526" s="4">
        <f t="shared" si="197"/>
        <v>4</v>
      </c>
    </row>
    <row r="1527" spans="1:10" x14ac:dyDescent="0.25">
      <c r="A1527">
        <v>1525</v>
      </c>
      <c r="B1527" s="4" t="str">
        <f t="shared" si="192"/>
        <v>NOK</v>
      </c>
      <c r="C1527" t="str">
        <f t="shared" si="198"/>
        <v>E</v>
      </c>
      <c r="D1527" t="str">
        <f t="shared" si="199"/>
        <v>D</v>
      </c>
      <c r="E1527" t="str">
        <f t="shared" si="200"/>
        <v>C</v>
      </c>
      <c r="F1527" s="4" t="str">
        <f t="shared" si="193"/>
        <v>E</v>
      </c>
      <c r="G1527" s="4">
        <f t="shared" si="194"/>
        <v>5</v>
      </c>
      <c r="H1527" s="4">
        <f t="shared" si="195"/>
        <v>4</v>
      </c>
      <c r="I1527" s="4">
        <f t="shared" si="196"/>
        <v>3</v>
      </c>
      <c r="J1527" s="4">
        <f t="shared" si="197"/>
        <v>5</v>
      </c>
    </row>
    <row r="1528" spans="1:10" x14ac:dyDescent="0.25">
      <c r="A1528">
        <v>1526</v>
      </c>
      <c r="B1528" s="4" t="str">
        <f t="shared" si="192"/>
        <v>NOK</v>
      </c>
      <c r="C1528" t="str">
        <f t="shared" si="198"/>
        <v>E</v>
      </c>
      <c r="D1528" t="str">
        <f t="shared" si="199"/>
        <v>D</v>
      </c>
      <c r="E1528" t="str">
        <f t="shared" si="200"/>
        <v>C</v>
      </c>
      <c r="F1528" s="4" t="str">
        <f t="shared" si="193"/>
        <v>F</v>
      </c>
      <c r="G1528" s="4">
        <f t="shared" si="194"/>
        <v>5</v>
      </c>
      <c r="H1528" s="4">
        <f t="shared" si="195"/>
        <v>4</v>
      </c>
      <c r="I1528" s="4">
        <f t="shared" si="196"/>
        <v>3</v>
      </c>
      <c r="J1528" s="4">
        <f t="shared" si="197"/>
        <v>6</v>
      </c>
    </row>
    <row r="1529" spans="1:10" x14ac:dyDescent="0.25">
      <c r="A1529">
        <v>1527</v>
      </c>
      <c r="B1529" s="4" t="str">
        <f t="shared" si="192"/>
        <v>NOK</v>
      </c>
      <c r="C1529" t="str">
        <f t="shared" si="198"/>
        <v>E</v>
      </c>
      <c r="D1529" t="str">
        <f t="shared" si="199"/>
        <v>D</v>
      </c>
      <c r="E1529" t="str">
        <f t="shared" si="200"/>
        <v>C</v>
      </c>
      <c r="F1529" s="4" t="str">
        <f t="shared" si="193"/>
        <v>G</v>
      </c>
      <c r="G1529" s="4">
        <f t="shared" si="194"/>
        <v>5</v>
      </c>
      <c r="H1529" s="4">
        <f t="shared" si="195"/>
        <v>4</v>
      </c>
      <c r="I1529" s="4">
        <f t="shared" si="196"/>
        <v>3</v>
      </c>
      <c r="J1529" s="4">
        <f t="shared" si="197"/>
        <v>7</v>
      </c>
    </row>
    <row r="1530" spans="1:10" x14ac:dyDescent="0.25">
      <c r="A1530">
        <v>1528</v>
      </c>
      <c r="B1530" s="4" t="str">
        <f t="shared" si="192"/>
        <v>NOK</v>
      </c>
      <c r="C1530" t="str">
        <f t="shared" si="198"/>
        <v>E</v>
      </c>
      <c r="D1530" t="str">
        <f t="shared" si="199"/>
        <v>D</v>
      </c>
      <c r="E1530" t="str">
        <f t="shared" si="200"/>
        <v>C</v>
      </c>
      <c r="F1530" s="4" t="str">
        <f t="shared" si="193"/>
        <v>H</v>
      </c>
      <c r="G1530" s="4">
        <f t="shared" si="194"/>
        <v>5</v>
      </c>
      <c r="H1530" s="4">
        <f t="shared" si="195"/>
        <v>4</v>
      </c>
      <c r="I1530" s="4">
        <f t="shared" si="196"/>
        <v>3</v>
      </c>
      <c r="J1530" s="4">
        <f t="shared" si="197"/>
        <v>8</v>
      </c>
    </row>
    <row r="1531" spans="1:10" x14ac:dyDescent="0.25">
      <c r="A1531">
        <v>1529</v>
      </c>
      <c r="B1531" s="4" t="str">
        <f t="shared" si="192"/>
        <v>NOK</v>
      </c>
      <c r="C1531" t="str">
        <f t="shared" si="198"/>
        <v>E</v>
      </c>
      <c r="D1531" t="str">
        <f t="shared" si="199"/>
        <v>D</v>
      </c>
      <c r="E1531" t="str">
        <f t="shared" si="200"/>
        <v>C</v>
      </c>
      <c r="F1531" s="4" t="str">
        <f t="shared" si="193"/>
        <v>I</v>
      </c>
      <c r="G1531" s="4">
        <f t="shared" si="194"/>
        <v>5</v>
      </c>
      <c r="H1531" s="4">
        <f t="shared" si="195"/>
        <v>4</v>
      </c>
      <c r="I1531" s="4">
        <f t="shared" si="196"/>
        <v>3</v>
      </c>
      <c r="J1531" s="4">
        <f t="shared" si="197"/>
        <v>9</v>
      </c>
    </row>
    <row r="1532" spans="1:10" x14ac:dyDescent="0.25">
      <c r="A1532">
        <v>1530</v>
      </c>
      <c r="B1532" s="4" t="str">
        <f t="shared" si="192"/>
        <v>OK</v>
      </c>
      <c r="C1532" t="str">
        <f t="shared" si="198"/>
        <v>E</v>
      </c>
      <c r="D1532" t="str">
        <f t="shared" si="199"/>
        <v>D</v>
      </c>
      <c r="E1532" t="str">
        <f t="shared" si="200"/>
        <v>C</v>
      </c>
      <c r="F1532" s="4" t="str">
        <f t="shared" si="193"/>
        <v>J</v>
      </c>
      <c r="G1532" s="4">
        <f t="shared" si="194"/>
        <v>5</v>
      </c>
      <c r="H1532" s="4">
        <f t="shared" si="195"/>
        <v>4</v>
      </c>
      <c r="I1532" s="4">
        <f t="shared" si="196"/>
        <v>3</v>
      </c>
      <c r="J1532" s="4">
        <f t="shared" si="197"/>
        <v>10</v>
      </c>
    </row>
    <row r="1533" spans="1:10" x14ac:dyDescent="0.25">
      <c r="A1533">
        <v>1531</v>
      </c>
      <c r="B1533" s="4" t="str">
        <f t="shared" si="192"/>
        <v>NOK</v>
      </c>
      <c r="C1533" t="str">
        <f t="shared" si="198"/>
        <v>E</v>
      </c>
      <c r="D1533" t="str">
        <f t="shared" si="199"/>
        <v>D</v>
      </c>
      <c r="E1533" t="str">
        <f t="shared" si="200"/>
        <v>C</v>
      </c>
      <c r="F1533" s="4" t="str">
        <f t="shared" si="193"/>
        <v>K</v>
      </c>
      <c r="G1533" s="4">
        <f t="shared" si="194"/>
        <v>5</v>
      </c>
      <c r="H1533" s="4">
        <f t="shared" si="195"/>
        <v>4</v>
      </c>
      <c r="I1533" s="4">
        <f t="shared" si="196"/>
        <v>3</v>
      </c>
      <c r="J1533" s="4">
        <f t="shared" si="197"/>
        <v>11</v>
      </c>
    </row>
    <row r="1534" spans="1:10" x14ac:dyDescent="0.25">
      <c r="A1534">
        <v>1532</v>
      </c>
      <c r="B1534" s="4" t="str">
        <f t="shared" si="192"/>
        <v>NOK</v>
      </c>
      <c r="C1534" t="str">
        <f t="shared" si="198"/>
        <v>E</v>
      </c>
      <c r="D1534" t="str">
        <f t="shared" si="199"/>
        <v>D</v>
      </c>
      <c r="E1534" t="str">
        <f t="shared" si="200"/>
        <v>C</v>
      </c>
      <c r="F1534" s="4" t="str">
        <f t="shared" si="193"/>
        <v>L</v>
      </c>
      <c r="G1534" s="4">
        <f t="shared" si="194"/>
        <v>5</v>
      </c>
      <c r="H1534" s="4">
        <f t="shared" si="195"/>
        <v>4</v>
      </c>
      <c r="I1534" s="4">
        <f t="shared" si="196"/>
        <v>3</v>
      </c>
      <c r="J1534" s="4">
        <f t="shared" si="197"/>
        <v>12</v>
      </c>
    </row>
    <row r="1535" spans="1:10" x14ac:dyDescent="0.25">
      <c r="A1535">
        <v>1533</v>
      </c>
      <c r="B1535" s="4" t="str">
        <f t="shared" si="192"/>
        <v>NOK</v>
      </c>
      <c r="C1535" t="str">
        <f t="shared" si="198"/>
        <v>E</v>
      </c>
      <c r="D1535" t="str">
        <f t="shared" si="199"/>
        <v>D</v>
      </c>
      <c r="E1535" t="str">
        <f t="shared" si="200"/>
        <v>C</v>
      </c>
      <c r="F1535" s="4" t="str">
        <f t="shared" si="193"/>
        <v>M</v>
      </c>
      <c r="G1535" s="4">
        <f t="shared" si="194"/>
        <v>5</v>
      </c>
      <c r="H1535" s="4">
        <f t="shared" si="195"/>
        <v>4</v>
      </c>
      <c r="I1535" s="4">
        <f t="shared" si="196"/>
        <v>3</v>
      </c>
      <c r="J1535" s="4">
        <f t="shared" si="197"/>
        <v>13</v>
      </c>
    </row>
    <row r="1536" spans="1:10" x14ac:dyDescent="0.25">
      <c r="A1536">
        <v>1534</v>
      </c>
      <c r="B1536" s="4" t="str">
        <f t="shared" si="192"/>
        <v>NOK</v>
      </c>
      <c r="C1536" t="str">
        <f t="shared" si="198"/>
        <v>E</v>
      </c>
      <c r="D1536" t="str">
        <f t="shared" si="199"/>
        <v>D</v>
      </c>
      <c r="E1536" t="str">
        <f t="shared" si="200"/>
        <v>D</v>
      </c>
      <c r="F1536" s="4" t="str">
        <f t="shared" si="193"/>
        <v>A</v>
      </c>
      <c r="G1536" s="4">
        <f t="shared" si="194"/>
        <v>5</v>
      </c>
      <c r="H1536" s="4">
        <f t="shared" si="195"/>
        <v>4</v>
      </c>
      <c r="I1536" s="4">
        <f t="shared" si="196"/>
        <v>4</v>
      </c>
      <c r="J1536" s="4">
        <f t="shared" si="197"/>
        <v>1</v>
      </c>
    </row>
    <row r="1537" spans="1:10" x14ac:dyDescent="0.25">
      <c r="A1537">
        <v>1535</v>
      </c>
      <c r="B1537" s="4" t="str">
        <f t="shared" si="192"/>
        <v>NOK</v>
      </c>
      <c r="C1537" t="str">
        <f t="shared" si="198"/>
        <v>E</v>
      </c>
      <c r="D1537" t="str">
        <f t="shared" si="199"/>
        <v>D</v>
      </c>
      <c r="E1537" t="str">
        <f t="shared" si="200"/>
        <v>D</v>
      </c>
      <c r="F1537" s="4" t="str">
        <f t="shared" si="193"/>
        <v>B</v>
      </c>
      <c r="G1537" s="4">
        <f t="shared" si="194"/>
        <v>5</v>
      </c>
      <c r="H1537" s="4">
        <f t="shared" si="195"/>
        <v>4</v>
      </c>
      <c r="I1537" s="4">
        <f t="shared" si="196"/>
        <v>4</v>
      </c>
      <c r="J1537" s="4">
        <f t="shared" si="197"/>
        <v>2</v>
      </c>
    </row>
    <row r="1538" spans="1:10" x14ac:dyDescent="0.25">
      <c r="A1538">
        <v>1536</v>
      </c>
      <c r="B1538" s="4" t="str">
        <f t="shared" ref="B1538:B1601" si="201">IF(ROUND(_xlfn.XLOOKUP(C1538,$U$1:$U$5,$T$1:$T$5,,0,1)+_xlfn.XLOOKUP(D1538,$W$1:$W$5,$V$1:$V$5,,0,1)+_xlfn.XLOOKUP(E1538,$Y$1:$Y$5,$X$1:$X$5,,0,1)-_xlfn.XLOOKUP(F1538,$AA$1:$AA$13,$Z$1:$Z$13,,0,1),3)=0.325,"OK","NOK")</f>
        <v>NOK</v>
      </c>
      <c r="C1538" t="str">
        <f t="shared" si="198"/>
        <v>E</v>
      </c>
      <c r="D1538" t="str">
        <f t="shared" si="199"/>
        <v>D</v>
      </c>
      <c r="E1538" t="str">
        <f t="shared" si="200"/>
        <v>D</v>
      </c>
      <c r="F1538" s="4" t="str">
        <f t="shared" ref="F1538:F1601" si="202">IF(J1538=1,"A",IF(J1538=2,"B",IF(J1538=3,"C",IF(J1538=4,"D",IF(J1538=5,"E",IF(J1538=6,"F",IF(J1538=7,"G",IF(J1538=8,"H",IF(J1538=9,"I",IF(J1538=10,"J",IF(J1538=11,"K",IF(J1538=12,"L",IF(J1538=13,"M","ERRO")))))))))))))</f>
        <v>C</v>
      </c>
      <c r="G1538" s="4">
        <f t="shared" ref="G1538:G1601" si="203">INT($A1538/325)+1</f>
        <v>5</v>
      </c>
      <c r="H1538" s="4">
        <f t="shared" ref="H1538:H1601" si="204">INT(MOD($A1538,325)/65)+1</f>
        <v>4</v>
      </c>
      <c r="I1538" s="4">
        <f t="shared" ref="I1538:I1601" si="205">INT(MOD($A1538,65)/13)+1</f>
        <v>4</v>
      </c>
      <c r="J1538" s="4">
        <f t="shared" ref="J1538:J1601" si="206">MOD($A1538,13)+1</f>
        <v>3</v>
      </c>
    </row>
    <row r="1539" spans="1:10" x14ac:dyDescent="0.25">
      <c r="A1539">
        <v>1537</v>
      </c>
      <c r="B1539" s="4" t="str">
        <f t="shared" si="201"/>
        <v>NOK</v>
      </c>
      <c r="C1539" t="str">
        <f t="shared" si="198"/>
        <v>E</v>
      </c>
      <c r="D1539" t="str">
        <f t="shared" si="199"/>
        <v>D</v>
      </c>
      <c r="E1539" t="str">
        <f t="shared" si="200"/>
        <v>D</v>
      </c>
      <c r="F1539" s="4" t="str">
        <f t="shared" si="202"/>
        <v>D</v>
      </c>
      <c r="G1539" s="4">
        <f t="shared" si="203"/>
        <v>5</v>
      </c>
      <c r="H1539" s="4">
        <f t="shared" si="204"/>
        <v>4</v>
      </c>
      <c r="I1539" s="4">
        <f t="shared" si="205"/>
        <v>4</v>
      </c>
      <c r="J1539" s="4">
        <f t="shared" si="206"/>
        <v>4</v>
      </c>
    </row>
    <row r="1540" spans="1:10" x14ac:dyDescent="0.25">
      <c r="A1540">
        <v>1538</v>
      </c>
      <c r="B1540" s="4" t="str">
        <f t="shared" si="201"/>
        <v>NOK</v>
      </c>
      <c r="C1540" t="str">
        <f t="shared" si="198"/>
        <v>E</v>
      </c>
      <c r="D1540" t="str">
        <f t="shared" si="199"/>
        <v>D</v>
      </c>
      <c r="E1540" t="str">
        <f t="shared" si="200"/>
        <v>D</v>
      </c>
      <c r="F1540" s="4" t="str">
        <f t="shared" si="202"/>
        <v>E</v>
      </c>
      <c r="G1540" s="4">
        <f t="shared" si="203"/>
        <v>5</v>
      </c>
      <c r="H1540" s="4">
        <f t="shared" si="204"/>
        <v>4</v>
      </c>
      <c r="I1540" s="4">
        <f t="shared" si="205"/>
        <v>4</v>
      </c>
      <c r="J1540" s="4">
        <f t="shared" si="206"/>
        <v>5</v>
      </c>
    </row>
    <row r="1541" spans="1:10" x14ac:dyDescent="0.25">
      <c r="A1541">
        <v>1539</v>
      </c>
      <c r="B1541" s="4" t="str">
        <f t="shared" si="201"/>
        <v>NOK</v>
      </c>
      <c r="C1541" t="str">
        <f t="shared" si="198"/>
        <v>E</v>
      </c>
      <c r="D1541" t="str">
        <f t="shared" si="199"/>
        <v>D</v>
      </c>
      <c r="E1541" t="str">
        <f t="shared" si="200"/>
        <v>D</v>
      </c>
      <c r="F1541" s="4" t="str">
        <f t="shared" si="202"/>
        <v>F</v>
      </c>
      <c r="G1541" s="4">
        <f t="shared" si="203"/>
        <v>5</v>
      </c>
      <c r="H1541" s="4">
        <f t="shared" si="204"/>
        <v>4</v>
      </c>
      <c r="I1541" s="4">
        <f t="shared" si="205"/>
        <v>4</v>
      </c>
      <c r="J1541" s="4">
        <f t="shared" si="206"/>
        <v>6</v>
      </c>
    </row>
    <row r="1542" spans="1:10" x14ac:dyDescent="0.25">
      <c r="A1542">
        <v>1540</v>
      </c>
      <c r="B1542" s="4" t="str">
        <f t="shared" si="201"/>
        <v>NOK</v>
      </c>
      <c r="C1542" t="str">
        <f t="shared" si="198"/>
        <v>E</v>
      </c>
      <c r="D1542" t="str">
        <f t="shared" si="199"/>
        <v>D</v>
      </c>
      <c r="E1542" t="str">
        <f t="shared" si="200"/>
        <v>D</v>
      </c>
      <c r="F1542" s="4" t="str">
        <f t="shared" si="202"/>
        <v>G</v>
      </c>
      <c r="G1542" s="4">
        <f t="shared" si="203"/>
        <v>5</v>
      </c>
      <c r="H1542" s="4">
        <f t="shared" si="204"/>
        <v>4</v>
      </c>
      <c r="I1542" s="4">
        <f t="shared" si="205"/>
        <v>4</v>
      </c>
      <c r="J1542" s="4">
        <f t="shared" si="206"/>
        <v>7</v>
      </c>
    </row>
    <row r="1543" spans="1:10" x14ac:dyDescent="0.25">
      <c r="A1543">
        <v>1541</v>
      </c>
      <c r="B1543" s="4" t="str">
        <f t="shared" si="201"/>
        <v>NOK</v>
      </c>
      <c r="C1543" t="str">
        <f t="shared" si="198"/>
        <v>E</v>
      </c>
      <c r="D1543" t="str">
        <f t="shared" si="199"/>
        <v>D</v>
      </c>
      <c r="E1543" t="str">
        <f t="shared" si="200"/>
        <v>D</v>
      </c>
      <c r="F1543" s="4" t="str">
        <f t="shared" si="202"/>
        <v>H</v>
      </c>
      <c r="G1543" s="4">
        <f t="shared" si="203"/>
        <v>5</v>
      </c>
      <c r="H1543" s="4">
        <f t="shared" si="204"/>
        <v>4</v>
      </c>
      <c r="I1543" s="4">
        <f t="shared" si="205"/>
        <v>4</v>
      </c>
      <c r="J1543" s="4">
        <f t="shared" si="206"/>
        <v>8</v>
      </c>
    </row>
    <row r="1544" spans="1:10" x14ac:dyDescent="0.25">
      <c r="A1544">
        <v>1542</v>
      </c>
      <c r="B1544" s="4" t="str">
        <f t="shared" si="201"/>
        <v>NOK</v>
      </c>
      <c r="C1544" t="str">
        <f t="shared" si="198"/>
        <v>E</v>
      </c>
      <c r="D1544" t="str">
        <f t="shared" si="199"/>
        <v>D</v>
      </c>
      <c r="E1544" t="str">
        <f t="shared" si="200"/>
        <v>D</v>
      </c>
      <c r="F1544" s="4" t="str">
        <f t="shared" si="202"/>
        <v>I</v>
      </c>
      <c r="G1544" s="4">
        <f t="shared" si="203"/>
        <v>5</v>
      </c>
      <c r="H1544" s="4">
        <f t="shared" si="204"/>
        <v>4</v>
      </c>
      <c r="I1544" s="4">
        <f t="shared" si="205"/>
        <v>4</v>
      </c>
      <c r="J1544" s="4">
        <f t="shared" si="206"/>
        <v>9</v>
      </c>
    </row>
    <row r="1545" spans="1:10" x14ac:dyDescent="0.25">
      <c r="A1545">
        <v>1543</v>
      </c>
      <c r="B1545" s="4" t="str">
        <f t="shared" si="201"/>
        <v>NOK</v>
      </c>
      <c r="C1545" t="str">
        <f t="shared" si="198"/>
        <v>E</v>
      </c>
      <c r="D1545" t="str">
        <f t="shared" si="199"/>
        <v>D</v>
      </c>
      <c r="E1545" t="str">
        <f t="shared" si="200"/>
        <v>D</v>
      </c>
      <c r="F1545" s="4" t="str">
        <f t="shared" si="202"/>
        <v>J</v>
      </c>
      <c r="G1545" s="4">
        <f t="shared" si="203"/>
        <v>5</v>
      </c>
      <c r="H1545" s="4">
        <f t="shared" si="204"/>
        <v>4</v>
      </c>
      <c r="I1545" s="4">
        <f t="shared" si="205"/>
        <v>4</v>
      </c>
      <c r="J1545" s="4">
        <f t="shared" si="206"/>
        <v>10</v>
      </c>
    </row>
    <row r="1546" spans="1:10" x14ac:dyDescent="0.25">
      <c r="A1546">
        <v>1544</v>
      </c>
      <c r="B1546" s="4" t="str">
        <f t="shared" si="201"/>
        <v>OK</v>
      </c>
      <c r="C1546" t="str">
        <f t="shared" si="198"/>
        <v>E</v>
      </c>
      <c r="D1546" t="str">
        <f t="shared" si="199"/>
        <v>D</v>
      </c>
      <c r="E1546" t="str">
        <f t="shared" si="200"/>
        <v>D</v>
      </c>
      <c r="F1546" s="4" t="str">
        <f t="shared" si="202"/>
        <v>K</v>
      </c>
      <c r="G1546" s="4">
        <f t="shared" si="203"/>
        <v>5</v>
      </c>
      <c r="H1546" s="4">
        <f t="shared" si="204"/>
        <v>4</v>
      </c>
      <c r="I1546" s="4">
        <f t="shared" si="205"/>
        <v>4</v>
      </c>
      <c r="J1546" s="4">
        <f t="shared" si="206"/>
        <v>11</v>
      </c>
    </row>
    <row r="1547" spans="1:10" x14ac:dyDescent="0.25">
      <c r="A1547">
        <v>1545</v>
      </c>
      <c r="B1547" s="4" t="str">
        <f t="shared" si="201"/>
        <v>NOK</v>
      </c>
      <c r="C1547" t="str">
        <f t="shared" si="198"/>
        <v>E</v>
      </c>
      <c r="D1547" t="str">
        <f t="shared" si="199"/>
        <v>D</v>
      </c>
      <c r="E1547" t="str">
        <f t="shared" si="200"/>
        <v>D</v>
      </c>
      <c r="F1547" s="4" t="str">
        <f t="shared" si="202"/>
        <v>L</v>
      </c>
      <c r="G1547" s="4">
        <f t="shared" si="203"/>
        <v>5</v>
      </c>
      <c r="H1547" s="4">
        <f t="shared" si="204"/>
        <v>4</v>
      </c>
      <c r="I1547" s="4">
        <f t="shared" si="205"/>
        <v>4</v>
      </c>
      <c r="J1547" s="4">
        <f t="shared" si="206"/>
        <v>12</v>
      </c>
    </row>
    <row r="1548" spans="1:10" x14ac:dyDescent="0.25">
      <c r="A1548">
        <v>1546</v>
      </c>
      <c r="B1548" s="4" t="str">
        <f t="shared" si="201"/>
        <v>NOK</v>
      </c>
      <c r="C1548" t="str">
        <f t="shared" si="198"/>
        <v>E</v>
      </c>
      <c r="D1548" t="str">
        <f t="shared" si="199"/>
        <v>D</v>
      </c>
      <c r="E1548" t="str">
        <f t="shared" si="200"/>
        <v>D</v>
      </c>
      <c r="F1548" s="4" t="str">
        <f t="shared" si="202"/>
        <v>M</v>
      </c>
      <c r="G1548" s="4">
        <f t="shared" si="203"/>
        <v>5</v>
      </c>
      <c r="H1548" s="4">
        <f t="shared" si="204"/>
        <v>4</v>
      </c>
      <c r="I1548" s="4">
        <f t="shared" si="205"/>
        <v>4</v>
      </c>
      <c r="J1548" s="4">
        <f t="shared" si="206"/>
        <v>13</v>
      </c>
    </row>
    <row r="1549" spans="1:10" x14ac:dyDescent="0.25">
      <c r="A1549">
        <v>1547</v>
      </c>
      <c r="B1549" s="4" t="str">
        <f t="shared" si="201"/>
        <v>NOK</v>
      </c>
      <c r="C1549" t="str">
        <f t="shared" si="198"/>
        <v>E</v>
      </c>
      <c r="D1549" t="str">
        <f t="shared" si="199"/>
        <v>D</v>
      </c>
      <c r="E1549" t="str">
        <f t="shared" si="200"/>
        <v>E</v>
      </c>
      <c r="F1549" s="4" t="str">
        <f t="shared" si="202"/>
        <v>A</v>
      </c>
      <c r="G1549" s="4">
        <f t="shared" si="203"/>
        <v>5</v>
      </c>
      <c r="H1549" s="4">
        <f t="shared" si="204"/>
        <v>4</v>
      </c>
      <c r="I1549" s="4">
        <f t="shared" si="205"/>
        <v>5</v>
      </c>
      <c r="J1549" s="4">
        <f t="shared" si="206"/>
        <v>1</v>
      </c>
    </row>
    <row r="1550" spans="1:10" x14ac:dyDescent="0.25">
      <c r="A1550">
        <v>1548</v>
      </c>
      <c r="B1550" s="4" t="str">
        <f t="shared" si="201"/>
        <v>NOK</v>
      </c>
      <c r="C1550" t="str">
        <f t="shared" si="198"/>
        <v>E</v>
      </c>
      <c r="D1550" t="str">
        <f t="shared" si="199"/>
        <v>D</v>
      </c>
      <c r="E1550" t="str">
        <f t="shared" si="200"/>
        <v>E</v>
      </c>
      <c r="F1550" s="4" t="str">
        <f t="shared" si="202"/>
        <v>B</v>
      </c>
      <c r="G1550" s="4">
        <f t="shared" si="203"/>
        <v>5</v>
      </c>
      <c r="H1550" s="4">
        <f t="shared" si="204"/>
        <v>4</v>
      </c>
      <c r="I1550" s="4">
        <f t="shared" si="205"/>
        <v>5</v>
      </c>
      <c r="J1550" s="4">
        <f t="shared" si="206"/>
        <v>2</v>
      </c>
    </row>
    <row r="1551" spans="1:10" x14ac:dyDescent="0.25">
      <c r="A1551">
        <v>1549</v>
      </c>
      <c r="B1551" s="4" t="str">
        <f t="shared" si="201"/>
        <v>NOK</v>
      </c>
      <c r="C1551" t="str">
        <f t="shared" si="198"/>
        <v>E</v>
      </c>
      <c r="D1551" t="str">
        <f t="shared" si="199"/>
        <v>D</v>
      </c>
      <c r="E1551" t="str">
        <f t="shared" si="200"/>
        <v>E</v>
      </c>
      <c r="F1551" s="4" t="str">
        <f t="shared" si="202"/>
        <v>C</v>
      </c>
      <c r="G1551" s="4">
        <f t="shared" si="203"/>
        <v>5</v>
      </c>
      <c r="H1551" s="4">
        <f t="shared" si="204"/>
        <v>4</v>
      </c>
      <c r="I1551" s="4">
        <f t="shared" si="205"/>
        <v>5</v>
      </c>
      <c r="J1551" s="4">
        <f t="shared" si="206"/>
        <v>3</v>
      </c>
    </row>
    <row r="1552" spans="1:10" x14ac:dyDescent="0.25">
      <c r="A1552">
        <v>1550</v>
      </c>
      <c r="B1552" s="4" t="str">
        <f t="shared" si="201"/>
        <v>NOK</v>
      </c>
      <c r="C1552" t="str">
        <f t="shared" si="198"/>
        <v>E</v>
      </c>
      <c r="D1552" t="str">
        <f t="shared" si="199"/>
        <v>D</v>
      </c>
      <c r="E1552" t="str">
        <f t="shared" si="200"/>
        <v>E</v>
      </c>
      <c r="F1552" s="4" t="str">
        <f t="shared" si="202"/>
        <v>D</v>
      </c>
      <c r="G1552" s="4">
        <f t="shared" si="203"/>
        <v>5</v>
      </c>
      <c r="H1552" s="4">
        <f t="shared" si="204"/>
        <v>4</v>
      </c>
      <c r="I1552" s="4">
        <f t="shared" si="205"/>
        <v>5</v>
      </c>
      <c r="J1552" s="4">
        <f t="shared" si="206"/>
        <v>4</v>
      </c>
    </row>
    <row r="1553" spans="1:10" x14ac:dyDescent="0.25">
      <c r="A1553">
        <v>1551</v>
      </c>
      <c r="B1553" s="4" t="str">
        <f t="shared" si="201"/>
        <v>NOK</v>
      </c>
      <c r="C1553" t="str">
        <f t="shared" si="198"/>
        <v>E</v>
      </c>
      <c r="D1553" t="str">
        <f t="shared" si="199"/>
        <v>D</v>
      </c>
      <c r="E1553" t="str">
        <f t="shared" si="200"/>
        <v>E</v>
      </c>
      <c r="F1553" s="4" t="str">
        <f t="shared" si="202"/>
        <v>E</v>
      </c>
      <c r="G1553" s="4">
        <f t="shared" si="203"/>
        <v>5</v>
      </c>
      <c r="H1553" s="4">
        <f t="shared" si="204"/>
        <v>4</v>
      </c>
      <c r="I1553" s="4">
        <f t="shared" si="205"/>
        <v>5</v>
      </c>
      <c r="J1553" s="4">
        <f t="shared" si="206"/>
        <v>5</v>
      </c>
    </row>
    <row r="1554" spans="1:10" x14ac:dyDescent="0.25">
      <c r="A1554">
        <v>1552</v>
      </c>
      <c r="B1554" s="4" t="str">
        <f t="shared" si="201"/>
        <v>NOK</v>
      </c>
      <c r="C1554" t="str">
        <f t="shared" si="198"/>
        <v>E</v>
      </c>
      <c r="D1554" t="str">
        <f t="shared" si="199"/>
        <v>D</v>
      </c>
      <c r="E1554" t="str">
        <f t="shared" si="200"/>
        <v>E</v>
      </c>
      <c r="F1554" s="4" t="str">
        <f t="shared" si="202"/>
        <v>F</v>
      </c>
      <c r="G1554" s="4">
        <f t="shared" si="203"/>
        <v>5</v>
      </c>
      <c r="H1554" s="4">
        <f t="shared" si="204"/>
        <v>4</v>
      </c>
      <c r="I1554" s="4">
        <f t="shared" si="205"/>
        <v>5</v>
      </c>
      <c r="J1554" s="4">
        <f t="shared" si="206"/>
        <v>6</v>
      </c>
    </row>
    <row r="1555" spans="1:10" x14ac:dyDescent="0.25">
      <c r="A1555">
        <v>1553</v>
      </c>
      <c r="B1555" s="4" t="str">
        <f t="shared" si="201"/>
        <v>NOK</v>
      </c>
      <c r="C1555" t="str">
        <f t="shared" si="198"/>
        <v>E</v>
      </c>
      <c r="D1555" t="str">
        <f t="shared" si="199"/>
        <v>D</v>
      </c>
      <c r="E1555" t="str">
        <f t="shared" si="200"/>
        <v>E</v>
      </c>
      <c r="F1555" s="4" t="str">
        <f t="shared" si="202"/>
        <v>G</v>
      </c>
      <c r="G1555" s="4">
        <f t="shared" si="203"/>
        <v>5</v>
      </c>
      <c r="H1555" s="4">
        <f t="shared" si="204"/>
        <v>4</v>
      </c>
      <c r="I1555" s="4">
        <f t="shared" si="205"/>
        <v>5</v>
      </c>
      <c r="J1555" s="4">
        <f t="shared" si="206"/>
        <v>7</v>
      </c>
    </row>
    <row r="1556" spans="1:10" x14ac:dyDescent="0.25">
      <c r="A1556">
        <v>1554</v>
      </c>
      <c r="B1556" s="4" t="str">
        <f t="shared" si="201"/>
        <v>NOK</v>
      </c>
      <c r="C1556" t="str">
        <f t="shared" si="198"/>
        <v>E</v>
      </c>
      <c r="D1556" t="str">
        <f t="shared" si="199"/>
        <v>D</v>
      </c>
      <c r="E1556" t="str">
        <f t="shared" si="200"/>
        <v>E</v>
      </c>
      <c r="F1556" s="4" t="str">
        <f t="shared" si="202"/>
        <v>H</v>
      </c>
      <c r="G1556" s="4">
        <f t="shared" si="203"/>
        <v>5</v>
      </c>
      <c r="H1556" s="4">
        <f t="shared" si="204"/>
        <v>4</v>
      </c>
      <c r="I1556" s="4">
        <f t="shared" si="205"/>
        <v>5</v>
      </c>
      <c r="J1556" s="4">
        <f t="shared" si="206"/>
        <v>8</v>
      </c>
    </row>
    <row r="1557" spans="1:10" x14ac:dyDescent="0.25">
      <c r="A1557">
        <v>1555</v>
      </c>
      <c r="B1557" s="4" t="str">
        <f t="shared" si="201"/>
        <v>NOK</v>
      </c>
      <c r="C1557" t="str">
        <f t="shared" si="198"/>
        <v>E</v>
      </c>
      <c r="D1557" t="str">
        <f t="shared" si="199"/>
        <v>D</v>
      </c>
      <c r="E1557" t="str">
        <f t="shared" si="200"/>
        <v>E</v>
      </c>
      <c r="F1557" s="4" t="str">
        <f t="shared" si="202"/>
        <v>I</v>
      </c>
      <c r="G1557" s="4">
        <f t="shared" si="203"/>
        <v>5</v>
      </c>
      <c r="H1557" s="4">
        <f t="shared" si="204"/>
        <v>4</v>
      </c>
      <c r="I1557" s="4">
        <f t="shared" si="205"/>
        <v>5</v>
      </c>
      <c r="J1557" s="4">
        <f t="shared" si="206"/>
        <v>9</v>
      </c>
    </row>
    <row r="1558" spans="1:10" x14ac:dyDescent="0.25">
      <c r="A1558">
        <v>1556</v>
      </c>
      <c r="B1558" s="4" t="str">
        <f t="shared" si="201"/>
        <v>NOK</v>
      </c>
      <c r="C1558" t="str">
        <f t="shared" si="198"/>
        <v>E</v>
      </c>
      <c r="D1558" t="str">
        <f t="shared" si="199"/>
        <v>D</v>
      </c>
      <c r="E1558" t="str">
        <f t="shared" si="200"/>
        <v>E</v>
      </c>
      <c r="F1558" s="4" t="str">
        <f t="shared" si="202"/>
        <v>J</v>
      </c>
      <c r="G1558" s="4">
        <f t="shared" si="203"/>
        <v>5</v>
      </c>
      <c r="H1558" s="4">
        <f t="shared" si="204"/>
        <v>4</v>
      </c>
      <c r="I1558" s="4">
        <f t="shared" si="205"/>
        <v>5</v>
      </c>
      <c r="J1558" s="4">
        <f t="shared" si="206"/>
        <v>10</v>
      </c>
    </row>
    <row r="1559" spans="1:10" x14ac:dyDescent="0.25">
      <c r="A1559">
        <v>1557</v>
      </c>
      <c r="B1559" s="4" t="str">
        <f t="shared" si="201"/>
        <v>NOK</v>
      </c>
      <c r="C1559" t="str">
        <f t="shared" si="198"/>
        <v>E</v>
      </c>
      <c r="D1559" t="str">
        <f t="shared" si="199"/>
        <v>D</v>
      </c>
      <c r="E1559" t="str">
        <f t="shared" si="200"/>
        <v>E</v>
      </c>
      <c r="F1559" s="4" t="str">
        <f t="shared" si="202"/>
        <v>K</v>
      </c>
      <c r="G1559" s="4">
        <f t="shared" si="203"/>
        <v>5</v>
      </c>
      <c r="H1559" s="4">
        <f t="shared" si="204"/>
        <v>4</v>
      </c>
      <c r="I1559" s="4">
        <f t="shared" si="205"/>
        <v>5</v>
      </c>
      <c r="J1559" s="4">
        <f t="shared" si="206"/>
        <v>11</v>
      </c>
    </row>
    <row r="1560" spans="1:10" x14ac:dyDescent="0.25">
      <c r="A1560">
        <v>1558</v>
      </c>
      <c r="B1560" s="4" t="str">
        <f t="shared" si="201"/>
        <v>OK</v>
      </c>
      <c r="C1560" t="str">
        <f t="shared" si="198"/>
        <v>E</v>
      </c>
      <c r="D1560" t="str">
        <f t="shared" si="199"/>
        <v>D</v>
      </c>
      <c r="E1560" t="str">
        <f t="shared" si="200"/>
        <v>E</v>
      </c>
      <c r="F1560" s="4" t="str">
        <f t="shared" si="202"/>
        <v>L</v>
      </c>
      <c r="G1560" s="4">
        <f t="shared" si="203"/>
        <v>5</v>
      </c>
      <c r="H1560" s="4">
        <f t="shared" si="204"/>
        <v>4</v>
      </c>
      <c r="I1560" s="4">
        <f t="shared" si="205"/>
        <v>5</v>
      </c>
      <c r="J1560" s="4">
        <f t="shared" si="206"/>
        <v>12</v>
      </c>
    </row>
    <row r="1561" spans="1:10" x14ac:dyDescent="0.25">
      <c r="A1561">
        <v>1559</v>
      </c>
      <c r="B1561" s="4" t="str">
        <f t="shared" si="201"/>
        <v>NOK</v>
      </c>
      <c r="C1561" t="str">
        <f t="shared" si="198"/>
        <v>E</v>
      </c>
      <c r="D1561" t="str">
        <f t="shared" si="199"/>
        <v>D</v>
      </c>
      <c r="E1561" t="str">
        <f t="shared" si="200"/>
        <v>E</v>
      </c>
      <c r="F1561" s="4" t="str">
        <f t="shared" si="202"/>
        <v>M</v>
      </c>
      <c r="G1561" s="4">
        <f t="shared" si="203"/>
        <v>5</v>
      </c>
      <c r="H1561" s="4">
        <f t="shared" si="204"/>
        <v>4</v>
      </c>
      <c r="I1561" s="4">
        <f t="shared" si="205"/>
        <v>5</v>
      </c>
      <c r="J1561" s="4">
        <f t="shared" si="206"/>
        <v>13</v>
      </c>
    </row>
    <row r="1562" spans="1:10" x14ac:dyDescent="0.25">
      <c r="A1562">
        <v>1560</v>
      </c>
      <c r="B1562" s="4" t="str">
        <f t="shared" si="201"/>
        <v>NOK</v>
      </c>
      <c r="C1562" t="str">
        <f t="shared" si="198"/>
        <v>E</v>
      </c>
      <c r="D1562" t="str">
        <f t="shared" si="199"/>
        <v>E</v>
      </c>
      <c r="E1562" t="str">
        <f t="shared" si="200"/>
        <v>A</v>
      </c>
      <c r="F1562" s="4" t="str">
        <f t="shared" si="202"/>
        <v>A</v>
      </c>
      <c r="G1562" s="4">
        <f t="shared" si="203"/>
        <v>5</v>
      </c>
      <c r="H1562" s="4">
        <f t="shared" si="204"/>
        <v>5</v>
      </c>
      <c r="I1562" s="4">
        <f t="shared" si="205"/>
        <v>1</v>
      </c>
      <c r="J1562" s="4">
        <f t="shared" si="206"/>
        <v>1</v>
      </c>
    </row>
    <row r="1563" spans="1:10" x14ac:dyDescent="0.25">
      <c r="A1563">
        <v>1561</v>
      </c>
      <c r="B1563" s="4" t="str">
        <f t="shared" si="201"/>
        <v>NOK</v>
      </c>
      <c r="C1563" t="str">
        <f t="shared" si="198"/>
        <v>E</v>
      </c>
      <c r="D1563" t="str">
        <f t="shared" si="199"/>
        <v>E</v>
      </c>
      <c r="E1563" t="str">
        <f t="shared" si="200"/>
        <v>A</v>
      </c>
      <c r="F1563" s="4" t="str">
        <f t="shared" si="202"/>
        <v>B</v>
      </c>
      <c r="G1563" s="4">
        <f t="shared" si="203"/>
        <v>5</v>
      </c>
      <c r="H1563" s="4">
        <f t="shared" si="204"/>
        <v>5</v>
      </c>
      <c r="I1563" s="4">
        <f t="shared" si="205"/>
        <v>1</v>
      </c>
      <c r="J1563" s="4">
        <f t="shared" si="206"/>
        <v>2</v>
      </c>
    </row>
    <row r="1564" spans="1:10" x14ac:dyDescent="0.25">
      <c r="A1564">
        <v>1562</v>
      </c>
      <c r="B1564" s="4" t="str">
        <f t="shared" si="201"/>
        <v>NOK</v>
      </c>
      <c r="C1564" t="str">
        <f t="shared" si="198"/>
        <v>E</v>
      </c>
      <c r="D1564" t="str">
        <f t="shared" si="199"/>
        <v>E</v>
      </c>
      <c r="E1564" t="str">
        <f t="shared" si="200"/>
        <v>A</v>
      </c>
      <c r="F1564" s="4" t="str">
        <f t="shared" si="202"/>
        <v>C</v>
      </c>
      <c r="G1564" s="4">
        <f t="shared" si="203"/>
        <v>5</v>
      </c>
      <c r="H1564" s="4">
        <f t="shared" si="204"/>
        <v>5</v>
      </c>
      <c r="I1564" s="4">
        <f t="shared" si="205"/>
        <v>1</v>
      </c>
      <c r="J1564" s="4">
        <f t="shared" si="206"/>
        <v>3</v>
      </c>
    </row>
    <row r="1565" spans="1:10" x14ac:dyDescent="0.25">
      <c r="A1565">
        <v>1563</v>
      </c>
      <c r="B1565" s="4" t="str">
        <f t="shared" si="201"/>
        <v>NOK</v>
      </c>
      <c r="C1565" t="str">
        <f t="shared" si="198"/>
        <v>E</v>
      </c>
      <c r="D1565" t="str">
        <f t="shared" si="199"/>
        <v>E</v>
      </c>
      <c r="E1565" t="str">
        <f t="shared" si="200"/>
        <v>A</v>
      </c>
      <c r="F1565" s="4" t="str">
        <f t="shared" si="202"/>
        <v>D</v>
      </c>
      <c r="G1565" s="4">
        <f t="shared" si="203"/>
        <v>5</v>
      </c>
      <c r="H1565" s="4">
        <f t="shared" si="204"/>
        <v>5</v>
      </c>
      <c r="I1565" s="4">
        <f t="shared" si="205"/>
        <v>1</v>
      </c>
      <c r="J1565" s="4">
        <f t="shared" si="206"/>
        <v>4</v>
      </c>
    </row>
    <row r="1566" spans="1:10" x14ac:dyDescent="0.25">
      <c r="A1566">
        <v>1564</v>
      </c>
      <c r="B1566" s="4" t="str">
        <f t="shared" si="201"/>
        <v>NOK</v>
      </c>
      <c r="C1566" t="str">
        <f t="shared" si="198"/>
        <v>E</v>
      </c>
      <c r="D1566" t="str">
        <f t="shared" si="199"/>
        <v>E</v>
      </c>
      <c r="E1566" t="str">
        <f t="shared" si="200"/>
        <v>A</v>
      </c>
      <c r="F1566" s="4" t="str">
        <f t="shared" si="202"/>
        <v>E</v>
      </c>
      <c r="G1566" s="4">
        <f t="shared" si="203"/>
        <v>5</v>
      </c>
      <c r="H1566" s="4">
        <f t="shared" si="204"/>
        <v>5</v>
      </c>
      <c r="I1566" s="4">
        <f t="shared" si="205"/>
        <v>1</v>
      </c>
      <c r="J1566" s="4">
        <f t="shared" si="206"/>
        <v>5</v>
      </c>
    </row>
    <row r="1567" spans="1:10" x14ac:dyDescent="0.25">
      <c r="A1567">
        <v>1565</v>
      </c>
      <c r="B1567" s="4" t="str">
        <f t="shared" si="201"/>
        <v>NOK</v>
      </c>
      <c r="C1567" t="str">
        <f t="shared" si="198"/>
        <v>E</v>
      </c>
      <c r="D1567" t="str">
        <f t="shared" si="199"/>
        <v>E</v>
      </c>
      <c r="E1567" t="str">
        <f t="shared" si="200"/>
        <v>A</v>
      </c>
      <c r="F1567" s="4" t="str">
        <f t="shared" si="202"/>
        <v>F</v>
      </c>
      <c r="G1567" s="4">
        <f t="shared" si="203"/>
        <v>5</v>
      </c>
      <c r="H1567" s="4">
        <f t="shared" si="204"/>
        <v>5</v>
      </c>
      <c r="I1567" s="4">
        <f t="shared" si="205"/>
        <v>1</v>
      </c>
      <c r="J1567" s="4">
        <f t="shared" si="206"/>
        <v>6</v>
      </c>
    </row>
    <row r="1568" spans="1:10" x14ac:dyDescent="0.25">
      <c r="A1568">
        <v>1566</v>
      </c>
      <c r="B1568" s="4" t="str">
        <f t="shared" si="201"/>
        <v>NOK</v>
      </c>
      <c r="C1568" t="str">
        <f t="shared" si="198"/>
        <v>E</v>
      </c>
      <c r="D1568" t="str">
        <f t="shared" si="199"/>
        <v>E</v>
      </c>
      <c r="E1568" t="str">
        <f t="shared" si="200"/>
        <v>A</v>
      </c>
      <c r="F1568" s="4" t="str">
        <f t="shared" si="202"/>
        <v>G</v>
      </c>
      <c r="G1568" s="4">
        <f t="shared" si="203"/>
        <v>5</v>
      </c>
      <c r="H1568" s="4">
        <f t="shared" si="204"/>
        <v>5</v>
      </c>
      <c r="I1568" s="4">
        <f t="shared" si="205"/>
        <v>1</v>
      </c>
      <c r="J1568" s="4">
        <f t="shared" si="206"/>
        <v>7</v>
      </c>
    </row>
    <row r="1569" spans="1:10" x14ac:dyDescent="0.25">
      <c r="A1569">
        <v>1567</v>
      </c>
      <c r="B1569" s="4" t="str">
        <f t="shared" si="201"/>
        <v>NOK</v>
      </c>
      <c r="C1569" t="str">
        <f t="shared" si="198"/>
        <v>E</v>
      </c>
      <c r="D1569" t="str">
        <f t="shared" si="199"/>
        <v>E</v>
      </c>
      <c r="E1569" t="str">
        <f t="shared" si="200"/>
        <v>A</v>
      </c>
      <c r="F1569" s="4" t="str">
        <f t="shared" si="202"/>
        <v>H</v>
      </c>
      <c r="G1569" s="4">
        <f t="shared" si="203"/>
        <v>5</v>
      </c>
      <c r="H1569" s="4">
        <f t="shared" si="204"/>
        <v>5</v>
      </c>
      <c r="I1569" s="4">
        <f t="shared" si="205"/>
        <v>1</v>
      </c>
      <c r="J1569" s="4">
        <f t="shared" si="206"/>
        <v>8</v>
      </c>
    </row>
    <row r="1570" spans="1:10" x14ac:dyDescent="0.25">
      <c r="A1570">
        <v>1568</v>
      </c>
      <c r="B1570" s="4" t="str">
        <f t="shared" si="201"/>
        <v>OK</v>
      </c>
      <c r="C1570" t="str">
        <f t="shared" si="198"/>
        <v>E</v>
      </c>
      <c r="D1570" t="str">
        <f t="shared" si="199"/>
        <v>E</v>
      </c>
      <c r="E1570" t="str">
        <f t="shared" si="200"/>
        <v>A</v>
      </c>
      <c r="F1570" s="4" t="str">
        <f t="shared" si="202"/>
        <v>I</v>
      </c>
      <c r="G1570" s="4">
        <f t="shared" si="203"/>
        <v>5</v>
      </c>
      <c r="H1570" s="4">
        <f t="shared" si="204"/>
        <v>5</v>
      </c>
      <c r="I1570" s="4">
        <f t="shared" si="205"/>
        <v>1</v>
      </c>
      <c r="J1570" s="4">
        <f t="shared" si="206"/>
        <v>9</v>
      </c>
    </row>
    <row r="1571" spans="1:10" x14ac:dyDescent="0.25">
      <c r="A1571">
        <v>1569</v>
      </c>
      <c r="B1571" s="4" t="str">
        <f t="shared" si="201"/>
        <v>NOK</v>
      </c>
      <c r="C1571" t="str">
        <f t="shared" si="198"/>
        <v>E</v>
      </c>
      <c r="D1571" t="str">
        <f t="shared" si="199"/>
        <v>E</v>
      </c>
      <c r="E1571" t="str">
        <f t="shared" si="200"/>
        <v>A</v>
      </c>
      <c r="F1571" s="4" t="str">
        <f t="shared" si="202"/>
        <v>J</v>
      </c>
      <c r="G1571" s="4">
        <f t="shared" si="203"/>
        <v>5</v>
      </c>
      <c r="H1571" s="4">
        <f t="shared" si="204"/>
        <v>5</v>
      </c>
      <c r="I1571" s="4">
        <f t="shared" si="205"/>
        <v>1</v>
      </c>
      <c r="J1571" s="4">
        <f t="shared" si="206"/>
        <v>10</v>
      </c>
    </row>
    <row r="1572" spans="1:10" x14ac:dyDescent="0.25">
      <c r="A1572">
        <v>1570</v>
      </c>
      <c r="B1572" s="4" t="str">
        <f t="shared" si="201"/>
        <v>NOK</v>
      </c>
      <c r="C1572" t="str">
        <f t="shared" si="198"/>
        <v>E</v>
      </c>
      <c r="D1572" t="str">
        <f t="shared" si="199"/>
        <v>E</v>
      </c>
      <c r="E1572" t="str">
        <f t="shared" si="200"/>
        <v>A</v>
      </c>
      <c r="F1572" s="4" t="str">
        <f t="shared" si="202"/>
        <v>K</v>
      </c>
      <c r="G1572" s="4">
        <f t="shared" si="203"/>
        <v>5</v>
      </c>
      <c r="H1572" s="4">
        <f t="shared" si="204"/>
        <v>5</v>
      </c>
      <c r="I1572" s="4">
        <f t="shared" si="205"/>
        <v>1</v>
      </c>
      <c r="J1572" s="4">
        <f t="shared" si="206"/>
        <v>11</v>
      </c>
    </row>
    <row r="1573" spans="1:10" x14ac:dyDescent="0.25">
      <c r="A1573">
        <v>1571</v>
      </c>
      <c r="B1573" s="4" t="str">
        <f t="shared" si="201"/>
        <v>NOK</v>
      </c>
      <c r="C1573" t="str">
        <f t="shared" si="198"/>
        <v>E</v>
      </c>
      <c r="D1573" t="str">
        <f t="shared" si="199"/>
        <v>E</v>
      </c>
      <c r="E1573" t="str">
        <f t="shared" si="200"/>
        <v>A</v>
      </c>
      <c r="F1573" s="4" t="str">
        <f t="shared" si="202"/>
        <v>L</v>
      </c>
      <c r="G1573" s="4">
        <f t="shared" si="203"/>
        <v>5</v>
      </c>
      <c r="H1573" s="4">
        <f t="shared" si="204"/>
        <v>5</v>
      </c>
      <c r="I1573" s="4">
        <f t="shared" si="205"/>
        <v>1</v>
      </c>
      <c r="J1573" s="4">
        <f t="shared" si="206"/>
        <v>12</v>
      </c>
    </row>
    <row r="1574" spans="1:10" x14ac:dyDescent="0.25">
      <c r="A1574">
        <v>1572</v>
      </c>
      <c r="B1574" s="4" t="str">
        <f t="shared" si="201"/>
        <v>NOK</v>
      </c>
      <c r="C1574" t="str">
        <f t="shared" si="198"/>
        <v>E</v>
      </c>
      <c r="D1574" t="str">
        <f t="shared" si="199"/>
        <v>E</v>
      </c>
      <c r="E1574" t="str">
        <f t="shared" si="200"/>
        <v>A</v>
      </c>
      <c r="F1574" s="4" t="str">
        <f t="shared" si="202"/>
        <v>M</v>
      </c>
      <c r="G1574" s="4">
        <f t="shared" si="203"/>
        <v>5</v>
      </c>
      <c r="H1574" s="4">
        <f t="shared" si="204"/>
        <v>5</v>
      </c>
      <c r="I1574" s="4">
        <f t="shared" si="205"/>
        <v>1</v>
      </c>
      <c r="J1574" s="4">
        <f t="shared" si="206"/>
        <v>13</v>
      </c>
    </row>
    <row r="1575" spans="1:10" x14ac:dyDescent="0.25">
      <c r="A1575">
        <v>1573</v>
      </c>
      <c r="B1575" s="4" t="str">
        <f t="shared" si="201"/>
        <v>NOK</v>
      </c>
      <c r="C1575" t="str">
        <f t="shared" ref="C1575:C1626" si="207">IF(G1575=1,"A",IF(G1575=2,"B",IF(G1575=3,"C",IF(G1575=4,"D",IF(G1575=5,"E","ERRO")))))</f>
        <v>E</v>
      </c>
      <c r="D1575" t="str">
        <f t="shared" ref="D1575:D1626" si="208">IF(H1575=1,"A",IF(H1575=2,"B",IF(H1575=3,"C",IF(H1575=4,"D",IF(H1575=5,"E","ERRO")))))</f>
        <v>E</v>
      </c>
      <c r="E1575" t="str">
        <f t="shared" ref="E1575:E1626" si="209">IF(I1575=1,"A",IF(I1575=2,"B",IF(I1575=3,"C",IF(I1575=4,"D",IF(I1575=5,"E","ERRO")))))</f>
        <v>B</v>
      </c>
      <c r="F1575" s="4" t="str">
        <f t="shared" si="202"/>
        <v>A</v>
      </c>
      <c r="G1575" s="4">
        <f t="shared" si="203"/>
        <v>5</v>
      </c>
      <c r="H1575" s="4">
        <f t="shared" si="204"/>
        <v>5</v>
      </c>
      <c r="I1575" s="4">
        <f t="shared" si="205"/>
        <v>2</v>
      </c>
      <c r="J1575" s="4">
        <f t="shared" si="206"/>
        <v>1</v>
      </c>
    </row>
    <row r="1576" spans="1:10" x14ac:dyDescent="0.25">
      <c r="A1576">
        <v>1574</v>
      </c>
      <c r="B1576" s="4" t="str">
        <f t="shared" si="201"/>
        <v>NOK</v>
      </c>
      <c r="C1576" t="str">
        <f t="shared" si="207"/>
        <v>E</v>
      </c>
      <c r="D1576" t="str">
        <f t="shared" si="208"/>
        <v>E</v>
      </c>
      <c r="E1576" t="str">
        <f t="shared" si="209"/>
        <v>B</v>
      </c>
      <c r="F1576" s="4" t="str">
        <f t="shared" si="202"/>
        <v>B</v>
      </c>
      <c r="G1576" s="4">
        <f t="shared" si="203"/>
        <v>5</v>
      </c>
      <c r="H1576" s="4">
        <f t="shared" si="204"/>
        <v>5</v>
      </c>
      <c r="I1576" s="4">
        <f t="shared" si="205"/>
        <v>2</v>
      </c>
      <c r="J1576" s="4">
        <f t="shared" si="206"/>
        <v>2</v>
      </c>
    </row>
    <row r="1577" spans="1:10" x14ac:dyDescent="0.25">
      <c r="A1577">
        <v>1575</v>
      </c>
      <c r="B1577" s="4" t="str">
        <f t="shared" si="201"/>
        <v>NOK</v>
      </c>
      <c r="C1577" t="str">
        <f t="shared" si="207"/>
        <v>E</v>
      </c>
      <c r="D1577" t="str">
        <f t="shared" si="208"/>
        <v>E</v>
      </c>
      <c r="E1577" t="str">
        <f t="shared" si="209"/>
        <v>B</v>
      </c>
      <c r="F1577" s="4" t="str">
        <f t="shared" si="202"/>
        <v>C</v>
      </c>
      <c r="G1577" s="4">
        <f t="shared" si="203"/>
        <v>5</v>
      </c>
      <c r="H1577" s="4">
        <f t="shared" si="204"/>
        <v>5</v>
      </c>
      <c r="I1577" s="4">
        <f t="shared" si="205"/>
        <v>2</v>
      </c>
      <c r="J1577" s="4">
        <f t="shared" si="206"/>
        <v>3</v>
      </c>
    </row>
    <row r="1578" spans="1:10" x14ac:dyDescent="0.25">
      <c r="A1578">
        <v>1576</v>
      </c>
      <c r="B1578" s="4" t="str">
        <f t="shared" si="201"/>
        <v>NOK</v>
      </c>
      <c r="C1578" t="str">
        <f t="shared" si="207"/>
        <v>E</v>
      </c>
      <c r="D1578" t="str">
        <f t="shared" si="208"/>
        <v>E</v>
      </c>
      <c r="E1578" t="str">
        <f t="shared" si="209"/>
        <v>B</v>
      </c>
      <c r="F1578" s="4" t="str">
        <f t="shared" si="202"/>
        <v>D</v>
      </c>
      <c r="G1578" s="4">
        <f t="shared" si="203"/>
        <v>5</v>
      </c>
      <c r="H1578" s="4">
        <f t="shared" si="204"/>
        <v>5</v>
      </c>
      <c r="I1578" s="4">
        <f t="shared" si="205"/>
        <v>2</v>
      </c>
      <c r="J1578" s="4">
        <f t="shared" si="206"/>
        <v>4</v>
      </c>
    </row>
    <row r="1579" spans="1:10" x14ac:dyDescent="0.25">
      <c r="A1579">
        <v>1577</v>
      </c>
      <c r="B1579" s="4" t="str">
        <f t="shared" si="201"/>
        <v>NOK</v>
      </c>
      <c r="C1579" t="str">
        <f t="shared" si="207"/>
        <v>E</v>
      </c>
      <c r="D1579" t="str">
        <f t="shared" si="208"/>
        <v>E</v>
      </c>
      <c r="E1579" t="str">
        <f t="shared" si="209"/>
        <v>B</v>
      </c>
      <c r="F1579" s="4" t="str">
        <f t="shared" si="202"/>
        <v>E</v>
      </c>
      <c r="G1579" s="4">
        <f t="shared" si="203"/>
        <v>5</v>
      </c>
      <c r="H1579" s="4">
        <f t="shared" si="204"/>
        <v>5</v>
      </c>
      <c r="I1579" s="4">
        <f t="shared" si="205"/>
        <v>2</v>
      </c>
      <c r="J1579" s="4">
        <f t="shared" si="206"/>
        <v>5</v>
      </c>
    </row>
    <row r="1580" spans="1:10" x14ac:dyDescent="0.25">
      <c r="A1580">
        <v>1578</v>
      </c>
      <c r="B1580" s="4" t="str">
        <f t="shared" si="201"/>
        <v>NOK</v>
      </c>
      <c r="C1580" t="str">
        <f t="shared" si="207"/>
        <v>E</v>
      </c>
      <c r="D1580" t="str">
        <f t="shared" si="208"/>
        <v>E</v>
      </c>
      <c r="E1580" t="str">
        <f t="shared" si="209"/>
        <v>B</v>
      </c>
      <c r="F1580" s="4" t="str">
        <f t="shared" si="202"/>
        <v>F</v>
      </c>
      <c r="G1580" s="4">
        <f t="shared" si="203"/>
        <v>5</v>
      </c>
      <c r="H1580" s="4">
        <f t="shared" si="204"/>
        <v>5</v>
      </c>
      <c r="I1580" s="4">
        <f t="shared" si="205"/>
        <v>2</v>
      </c>
      <c r="J1580" s="4">
        <f t="shared" si="206"/>
        <v>6</v>
      </c>
    </row>
    <row r="1581" spans="1:10" x14ac:dyDescent="0.25">
      <c r="A1581">
        <v>1579</v>
      </c>
      <c r="B1581" s="4" t="str">
        <f t="shared" si="201"/>
        <v>NOK</v>
      </c>
      <c r="C1581" t="str">
        <f t="shared" si="207"/>
        <v>E</v>
      </c>
      <c r="D1581" t="str">
        <f t="shared" si="208"/>
        <v>E</v>
      </c>
      <c r="E1581" t="str">
        <f t="shared" si="209"/>
        <v>B</v>
      </c>
      <c r="F1581" s="4" t="str">
        <f t="shared" si="202"/>
        <v>G</v>
      </c>
      <c r="G1581" s="4">
        <f t="shared" si="203"/>
        <v>5</v>
      </c>
      <c r="H1581" s="4">
        <f t="shared" si="204"/>
        <v>5</v>
      </c>
      <c r="I1581" s="4">
        <f t="shared" si="205"/>
        <v>2</v>
      </c>
      <c r="J1581" s="4">
        <f t="shared" si="206"/>
        <v>7</v>
      </c>
    </row>
    <row r="1582" spans="1:10" x14ac:dyDescent="0.25">
      <c r="A1582">
        <v>1580</v>
      </c>
      <c r="B1582" s="4" t="str">
        <f t="shared" si="201"/>
        <v>NOK</v>
      </c>
      <c r="C1582" t="str">
        <f t="shared" si="207"/>
        <v>E</v>
      </c>
      <c r="D1582" t="str">
        <f t="shared" si="208"/>
        <v>E</v>
      </c>
      <c r="E1582" t="str">
        <f t="shared" si="209"/>
        <v>B</v>
      </c>
      <c r="F1582" s="4" t="str">
        <f t="shared" si="202"/>
        <v>H</v>
      </c>
      <c r="G1582" s="4">
        <f t="shared" si="203"/>
        <v>5</v>
      </c>
      <c r="H1582" s="4">
        <f t="shared" si="204"/>
        <v>5</v>
      </c>
      <c r="I1582" s="4">
        <f t="shared" si="205"/>
        <v>2</v>
      </c>
      <c r="J1582" s="4">
        <f t="shared" si="206"/>
        <v>8</v>
      </c>
    </row>
    <row r="1583" spans="1:10" x14ac:dyDescent="0.25">
      <c r="A1583">
        <v>1581</v>
      </c>
      <c r="B1583" s="4" t="str">
        <f t="shared" si="201"/>
        <v>NOK</v>
      </c>
      <c r="C1583" t="str">
        <f t="shared" si="207"/>
        <v>E</v>
      </c>
      <c r="D1583" t="str">
        <f t="shared" si="208"/>
        <v>E</v>
      </c>
      <c r="E1583" t="str">
        <f t="shared" si="209"/>
        <v>B</v>
      </c>
      <c r="F1583" s="4" t="str">
        <f t="shared" si="202"/>
        <v>I</v>
      </c>
      <c r="G1583" s="4">
        <f t="shared" si="203"/>
        <v>5</v>
      </c>
      <c r="H1583" s="4">
        <f t="shared" si="204"/>
        <v>5</v>
      </c>
      <c r="I1583" s="4">
        <f t="shared" si="205"/>
        <v>2</v>
      </c>
      <c r="J1583" s="4">
        <f t="shared" si="206"/>
        <v>9</v>
      </c>
    </row>
    <row r="1584" spans="1:10" x14ac:dyDescent="0.25">
      <c r="A1584">
        <v>1582</v>
      </c>
      <c r="B1584" s="4" t="str">
        <f t="shared" si="201"/>
        <v>OK</v>
      </c>
      <c r="C1584" t="str">
        <f t="shared" si="207"/>
        <v>E</v>
      </c>
      <c r="D1584" t="str">
        <f t="shared" si="208"/>
        <v>E</v>
      </c>
      <c r="E1584" t="str">
        <f t="shared" si="209"/>
        <v>B</v>
      </c>
      <c r="F1584" s="4" t="str">
        <f t="shared" si="202"/>
        <v>J</v>
      </c>
      <c r="G1584" s="4">
        <f t="shared" si="203"/>
        <v>5</v>
      </c>
      <c r="H1584" s="4">
        <f t="shared" si="204"/>
        <v>5</v>
      </c>
      <c r="I1584" s="4">
        <f t="shared" si="205"/>
        <v>2</v>
      </c>
      <c r="J1584" s="4">
        <f t="shared" si="206"/>
        <v>10</v>
      </c>
    </row>
    <row r="1585" spans="1:10" x14ac:dyDescent="0.25">
      <c r="A1585">
        <v>1583</v>
      </c>
      <c r="B1585" s="4" t="str">
        <f t="shared" si="201"/>
        <v>NOK</v>
      </c>
      <c r="C1585" t="str">
        <f t="shared" si="207"/>
        <v>E</v>
      </c>
      <c r="D1585" t="str">
        <f t="shared" si="208"/>
        <v>E</v>
      </c>
      <c r="E1585" t="str">
        <f t="shared" si="209"/>
        <v>B</v>
      </c>
      <c r="F1585" s="4" t="str">
        <f t="shared" si="202"/>
        <v>K</v>
      </c>
      <c r="G1585" s="4">
        <f t="shared" si="203"/>
        <v>5</v>
      </c>
      <c r="H1585" s="4">
        <f t="shared" si="204"/>
        <v>5</v>
      </c>
      <c r="I1585" s="4">
        <f t="shared" si="205"/>
        <v>2</v>
      </c>
      <c r="J1585" s="4">
        <f t="shared" si="206"/>
        <v>11</v>
      </c>
    </row>
    <row r="1586" spans="1:10" x14ac:dyDescent="0.25">
      <c r="A1586">
        <v>1584</v>
      </c>
      <c r="B1586" s="4" t="str">
        <f t="shared" si="201"/>
        <v>NOK</v>
      </c>
      <c r="C1586" t="str">
        <f t="shared" si="207"/>
        <v>E</v>
      </c>
      <c r="D1586" t="str">
        <f t="shared" si="208"/>
        <v>E</v>
      </c>
      <c r="E1586" t="str">
        <f t="shared" si="209"/>
        <v>B</v>
      </c>
      <c r="F1586" s="4" t="str">
        <f t="shared" si="202"/>
        <v>L</v>
      </c>
      <c r="G1586" s="4">
        <f t="shared" si="203"/>
        <v>5</v>
      </c>
      <c r="H1586" s="4">
        <f t="shared" si="204"/>
        <v>5</v>
      </c>
      <c r="I1586" s="4">
        <f t="shared" si="205"/>
        <v>2</v>
      </c>
      <c r="J1586" s="4">
        <f t="shared" si="206"/>
        <v>12</v>
      </c>
    </row>
    <row r="1587" spans="1:10" x14ac:dyDescent="0.25">
      <c r="A1587">
        <v>1585</v>
      </c>
      <c r="B1587" s="4" t="str">
        <f t="shared" si="201"/>
        <v>NOK</v>
      </c>
      <c r="C1587" t="str">
        <f t="shared" si="207"/>
        <v>E</v>
      </c>
      <c r="D1587" t="str">
        <f t="shared" si="208"/>
        <v>E</v>
      </c>
      <c r="E1587" t="str">
        <f t="shared" si="209"/>
        <v>B</v>
      </c>
      <c r="F1587" s="4" t="str">
        <f t="shared" si="202"/>
        <v>M</v>
      </c>
      <c r="G1587" s="4">
        <f t="shared" si="203"/>
        <v>5</v>
      </c>
      <c r="H1587" s="4">
        <f t="shared" si="204"/>
        <v>5</v>
      </c>
      <c r="I1587" s="4">
        <f t="shared" si="205"/>
        <v>2</v>
      </c>
      <c r="J1587" s="4">
        <f t="shared" si="206"/>
        <v>13</v>
      </c>
    </row>
    <row r="1588" spans="1:10" x14ac:dyDescent="0.25">
      <c r="A1588">
        <v>1586</v>
      </c>
      <c r="B1588" s="4" t="str">
        <f t="shared" si="201"/>
        <v>NOK</v>
      </c>
      <c r="C1588" t="str">
        <f t="shared" si="207"/>
        <v>E</v>
      </c>
      <c r="D1588" t="str">
        <f t="shared" si="208"/>
        <v>E</v>
      </c>
      <c r="E1588" t="str">
        <f t="shared" si="209"/>
        <v>C</v>
      </c>
      <c r="F1588" s="4" t="str">
        <f t="shared" si="202"/>
        <v>A</v>
      </c>
      <c r="G1588" s="4">
        <f t="shared" si="203"/>
        <v>5</v>
      </c>
      <c r="H1588" s="4">
        <f t="shared" si="204"/>
        <v>5</v>
      </c>
      <c r="I1588" s="4">
        <f t="shared" si="205"/>
        <v>3</v>
      </c>
      <c r="J1588" s="4">
        <f t="shared" si="206"/>
        <v>1</v>
      </c>
    </row>
    <row r="1589" spans="1:10" x14ac:dyDescent="0.25">
      <c r="A1589">
        <v>1587</v>
      </c>
      <c r="B1589" s="4" t="str">
        <f t="shared" si="201"/>
        <v>NOK</v>
      </c>
      <c r="C1589" t="str">
        <f t="shared" si="207"/>
        <v>E</v>
      </c>
      <c r="D1589" t="str">
        <f t="shared" si="208"/>
        <v>E</v>
      </c>
      <c r="E1589" t="str">
        <f t="shared" si="209"/>
        <v>C</v>
      </c>
      <c r="F1589" s="4" t="str">
        <f t="shared" si="202"/>
        <v>B</v>
      </c>
      <c r="G1589" s="4">
        <f t="shared" si="203"/>
        <v>5</v>
      </c>
      <c r="H1589" s="4">
        <f t="shared" si="204"/>
        <v>5</v>
      </c>
      <c r="I1589" s="4">
        <f t="shared" si="205"/>
        <v>3</v>
      </c>
      <c r="J1589" s="4">
        <f t="shared" si="206"/>
        <v>2</v>
      </c>
    </row>
    <row r="1590" spans="1:10" x14ac:dyDescent="0.25">
      <c r="A1590">
        <v>1588</v>
      </c>
      <c r="B1590" s="4" t="str">
        <f t="shared" si="201"/>
        <v>NOK</v>
      </c>
      <c r="C1590" t="str">
        <f t="shared" si="207"/>
        <v>E</v>
      </c>
      <c r="D1590" t="str">
        <f t="shared" si="208"/>
        <v>E</v>
      </c>
      <c r="E1590" t="str">
        <f t="shared" si="209"/>
        <v>C</v>
      </c>
      <c r="F1590" s="4" t="str">
        <f t="shared" si="202"/>
        <v>C</v>
      </c>
      <c r="G1590" s="4">
        <f t="shared" si="203"/>
        <v>5</v>
      </c>
      <c r="H1590" s="4">
        <f t="shared" si="204"/>
        <v>5</v>
      </c>
      <c r="I1590" s="4">
        <f t="shared" si="205"/>
        <v>3</v>
      </c>
      <c r="J1590" s="4">
        <f t="shared" si="206"/>
        <v>3</v>
      </c>
    </row>
    <row r="1591" spans="1:10" x14ac:dyDescent="0.25">
      <c r="A1591">
        <v>1589</v>
      </c>
      <c r="B1591" s="4" t="str">
        <f t="shared" si="201"/>
        <v>NOK</v>
      </c>
      <c r="C1591" t="str">
        <f t="shared" si="207"/>
        <v>E</v>
      </c>
      <c r="D1591" t="str">
        <f t="shared" si="208"/>
        <v>E</v>
      </c>
      <c r="E1591" t="str">
        <f t="shared" si="209"/>
        <v>C</v>
      </c>
      <c r="F1591" s="4" t="str">
        <f t="shared" si="202"/>
        <v>D</v>
      </c>
      <c r="G1591" s="4">
        <f t="shared" si="203"/>
        <v>5</v>
      </c>
      <c r="H1591" s="4">
        <f t="shared" si="204"/>
        <v>5</v>
      </c>
      <c r="I1591" s="4">
        <f t="shared" si="205"/>
        <v>3</v>
      </c>
      <c r="J1591" s="4">
        <f t="shared" si="206"/>
        <v>4</v>
      </c>
    </row>
    <row r="1592" spans="1:10" x14ac:dyDescent="0.25">
      <c r="A1592">
        <v>1590</v>
      </c>
      <c r="B1592" s="4" t="str">
        <f t="shared" si="201"/>
        <v>NOK</v>
      </c>
      <c r="C1592" t="str">
        <f t="shared" si="207"/>
        <v>E</v>
      </c>
      <c r="D1592" t="str">
        <f t="shared" si="208"/>
        <v>E</v>
      </c>
      <c r="E1592" t="str">
        <f t="shared" si="209"/>
        <v>C</v>
      </c>
      <c r="F1592" s="4" t="str">
        <f t="shared" si="202"/>
        <v>E</v>
      </c>
      <c r="G1592" s="4">
        <f t="shared" si="203"/>
        <v>5</v>
      </c>
      <c r="H1592" s="4">
        <f t="shared" si="204"/>
        <v>5</v>
      </c>
      <c r="I1592" s="4">
        <f t="shared" si="205"/>
        <v>3</v>
      </c>
      <c r="J1592" s="4">
        <f t="shared" si="206"/>
        <v>5</v>
      </c>
    </row>
    <row r="1593" spans="1:10" x14ac:dyDescent="0.25">
      <c r="A1593">
        <v>1591</v>
      </c>
      <c r="B1593" s="4" t="str">
        <f t="shared" si="201"/>
        <v>NOK</v>
      </c>
      <c r="C1593" t="str">
        <f t="shared" si="207"/>
        <v>E</v>
      </c>
      <c r="D1593" t="str">
        <f t="shared" si="208"/>
        <v>E</v>
      </c>
      <c r="E1593" t="str">
        <f t="shared" si="209"/>
        <v>C</v>
      </c>
      <c r="F1593" s="4" t="str">
        <f t="shared" si="202"/>
        <v>F</v>
      </c>
      <c r="G1593" s="4">
        <f t="shared" si="203"/>
        <v>5</v>
      </c>
      <c r="H1593" s="4">
        <f t="shared" si="204"/>
        <v>5</v>
      </c>
      <c r="I1593" s="4">
        <f t="shared" si="205"/>
        <v>3</v>
      </c>
      <c r="J1593" s="4">
        <f t="shared" si="206"/>
        <v>6</v>
      </c>
    </row>
    <row r="1594" spans="1:10" x14ac:dyDescent="0.25">
      <c r="A1594">
        <v>1592</v>
      </c>
      <c r="B1594" s="4" t="str">
        <f t="shared" si="201"/>
        <v>NOK</v>
      </c>
      <c r="C1594" t="str">
        <f t="shared" si="207"/>
        <v>E</v>
      </c>
      <c r="D1594" t="str">
        <f t="shared" si="208"/>
        <v>E</v>
      </c>
      <c r="E1594" t="str">
        <f t="shared" si="209"/>
        <v>C</v>
      </c>
      <c r="F1594" s="4" t="str">
        <f t="shared" si="202"/>
        <v>G</v>
      </c>
      <c r="G1594" s="4">
        <f t="shared" si="203"/>
        <v>5</v>
      </c>
      <c r="H1594" s="4">
        <f t="shared" si="204"/>
        <v>5</v>
      </c>
      <c r="I1594" s="4">
        <f t="shared" si="205"/>
        <v>3</v>
      </c>
      <c r="J1594" s="4">
        <f t="shared" si="206"/>
        <v>7</v>
      </c>
    </row>
    <row r="1595" spans="1:10" x14ac:dyDescent="0.25">
      <c r="A1595">
        <v>1593</v>
      </c>
      <c r="B1595" s="4" t="str">
        <f t="shared" si="201"/>
        <v>NOK</v>
      </c>
      <c r="C1595" t="str">
        <f t="shared" si="207"/>
        <v>E</v>
      </c>
      <c r="D1595" t="str">
        <f t="shared" si="208"/>
        <v>E</v>
      </c>
      <c r="E1595" t="str">
        <f t="shared" si="209"/>
        <v>C</v>
      </c>
      <c r="F1595" s="4" t="str">
        <f t="shared" si="202"/>
        <v>H</v>
      </c>
      <c r="G1595" s="4">
        <f t="shared" si="203"/>
        <v>5</v>
      </c>
      <c r="H1595" s="4">
        <f t="shared" si="204"/>
        <v>5</v>
      </c>
      <c r="I1595" s="4">
        <f t="shared" si="205"/>
        <v>3</v>
      </c>
      <c r="J1595" s="4">
        <f t="shared" si="206"/>
        <v>8</v>
      </c>
    </row>
    <row r="1596" spans="1:10" x14ac:dyDescent="0.25">
      <c r="A1596">
        <v>1594</v>
      </c>
      <c r="B1596" s="4" t="str">
        <f t="shared" si="201"/>
        <v>NOK</v>
      </c>
      <c r="C1596" t="str">
        <f t="shared" si="207"/>
        <v>E</v>
      </c>
      <c r="D1596" t="str">
        <f t="shared" si="208"/>
        <v>E</v>
      </c>
      <c r="E1596" t="str">
        <f t="shared" si="209"/>
        <v>C</v>
      </c>
      <c r="F1596" s="4" t="str">
        <f t="shared" si="202"/>
        <v>I</v>
      </c>
      <c r="G1596" s="4">
        <f t="shared" si="203"/>
        <v>5</v>
      </c>
      <c r="H1596" s="4">
        <f t="shared" si="204"/>
        <v>5</v>
      </c>
      <c r="I1596" s="4">
        <f t="shared" si="205"/>
        <v>3</v>
      </c>
      <c r="J1596" s="4">
        <f t="shared" si="206"/>
        <v>9</v>
      </c>
    </row>
    <row r="1597" spans="1:10" x14ac:dyDescent="0.25">
      <c r="A1597">
        <v>1595</v>
      </c>
      <c r="B1597" s="4" t="str">
        <f t="shared" si="201"/>
        <v>NOK</v>
      </c>
      <c r="C1597" t="str">
        <f t="shared" si="207"/>
        <v>E</v>
      </c>
      <c r="D1597" t="str">
        <f t="shared" si="208"/>
        <v>E</v>
      </c>
      <c r="E1597" t="str">
        <f t="shared" si="209"/>
        <v>C</v>
      </c>
      <c r="F1597" s="4" t="str">
        <f t="shared" si="202"/>
        <v>J</v>
      </c>
      <c r="G1597" s="4">
        <f t="shared" si="203"/>
        <v>5</v>
      </c>
      <c r="H1597" s="4">
        <f t="shared" si="204"/>
        <v>5</v>
      </c>
      <c r="I1597" s="4">
        <f t="shared" si="205"/>
        <v>3</v>
      </c>
      <c r="J1597" s="4">
        <f t="shared" si="206"/>
        <v>10</v>
      </c>
    </row>
    <row r="1598" spans="1:10" x14ac:dyDescent="0.25">
      <c r="A1598">
        <v>1596</v>
      </c>
      <c r="B1598" s="4" t="str">
        <f t="shared" si="201"/>
        <v>OK</v>
      </c>
      <c r="C1598" t="str">
        <f t="shared" si="207"/>
        <v>E</v>
      </c>
      <c r="D1598" t="str">
        <f t="shared" si="208"/>
        <v>E</v>
      </c>
      <c r="E1598" t="str">
        <f t="shared" si="209"/>
        <v>C</v>
      </c>
      <c r="F1598" s="4" t="str">
        <f t="shared" si="202"/>
        <v>K</v>
      </c>
      <c r="G1598" s="4">
        <f t="shared" si="203"/>
        <v>5</v>
      </c>
      <c r="H1598" s="4">
        <f t="shared" si="204"/>
        <v>5</v>
      </c>
      <c r="I1598" s="4">
        <f t="shared" si="205"/>
        <v>3</v>
      </c>
      <c r="J1598" s="4">
        <f t="shared" si="206"/>
        <v>11</v>
      </c>
    </row>
    <row r="1599" spans="1:10" x14ac:dyDescent="0.25">
      <c r="A1599">
        <v>1597</v>
      </c>
      <c r="B1599" s="4" t="str">
        <f t="shared" si="201"/>
        <v>NOK</v>
      </c>
      <c r="C1599" t="str">
        <f t="shared" si="207"/>
        <v>E</v>
      </c>
      <c r="D1599" t="str">
        <f t="shared" si="208"/>
        <v>E</v>
      </c>
      <c r="E1599" t="str">
        <f t="shared" si="209"/>
        <v>C</v>
      </c>
      <c r="F1599" s="4" t="str">
        <f t="shared" si="202"/>
        <v>L</v>
      </c>
      <c r="G1599" s="4">
        <f t="shared" si="203"/>
        <v>5</v>
      </c>
      <c r="H1599" s="4">
        <f t="shared" si="204"/>
        <v>5</v>
      </c>
      <c r="I1599" s="4">
        <f t="shared" si="205"/>
        <v>3</v>
      </c>
      <c r="J1599" s="4">
        <f t="shared" si="206"/>
        <v>12</v>
      </c>
    </row>
    <row r="1600" spans="1:10" x14ac:dyDescent="0.25">
      <c r="A1600">
        <v>1598</v>
      </c>
      <c r="B1600" s="4" t="str">
        <f t="shared" si="201"/>
        <v>NOK</v>
      </c>
      <c r="C1600" t="str">
        <f t="shared" si="207"/>
        <v>E</v>
      </c>
      <c r="D1600" t="str">
        <f t="shared" si="208"/>
        <v>E</v>
      </c>
      <c r="E1600" t="str">
        <f t="shared" si="209"/>
        <v>C</v>
      </c>
      <c r="F1600" s="4" t="str">
        <f t="shared" si="202"/>
        <v>M</v>
      </c>
      <c r="G1600" s="4">
        <f t="shared" si="203"/>
        <v>5</v>
      </c>
      <c r="H1600" s="4">
        <f t="shared" si="204"/>
        <v>5</v>
      </c>
      <c r="I1600" s="4">
        <f t="shared" si="205"/>
        <v>3</v>
      </c>
      <c r="J1600" s="4">
        <f t="shared" si="206"/>
        <v>13</v>
      </c>
    </row>
    <row r="1601" spans="1:10" x14ac:dyDescent="0.25">
      <c r="A1601">
        <v>1599</v>
      </c>
      <c r="B1601" s="4" t="str">
        <f t="shared" si="201"/>
        <v>NOK</v>
      </c>
      <c r="C1601" t="str">
        <f t="shared" si="207"/>
        <v>E</v>
      </c>
      <c r="D1601" t="str">
        <f t="shared" si="208"/>
        <v>E</v>
      </c>
      <c r="E1601" t="str">
        <f t="shared" si="209"/>
        <v>D</v>
      </c>
      <c r="F1601" s="4" t="str">
        <f t="shared" si="202"/>
        <v>A</v>
      </c>
      <c r="G1601" s="4">
        <f t="shared" si="203"/>
        <v>5</v>
      </c>
      <c r="H1601" s="4">
        <f t="shared" si="204"/>
        <v>5</v>
      </c>
      <c r="I1601" s="4">
        <f t="shared" si="205"/>
        <v>4</v>
      </c>
      <c r="J1601" s="4">
        <f t="shared" si="206"/>
        <v>1</v>
      </c>
    </row>
    <row r="1602" spans="1:10" x14ac:dyDescent="0.25">
      <c r="A1602">
        <v>1600</v>
      </c>
      <c r="B1602" s="4" t="str">
        <f t="shared" ref="B1602:B1626" si="210">IF(ROUND(_xlfn.XLOOKUP(C1602,$U$1:$U$5,$T$1:$T$5,,0,1)+_xlfn.XLOOKUP(D1602,$W$1:$W$5,$V$1:$V$5,,0,1)+_xlfn.XLOOKUP(E1602,$Y$1:$Y$5,$X$1:$X$5,,0,1)-_xlfn.XLOOKUP(F1602,$AA$1:$AA$13,$Z$1:$Z$13,,0,1),3)=0.325,"OK","NOK")</f>
        <v>NOK</v>
      </c>
      <c r="C1602" t="str">
        <f t="shared" si="207"/>
        <v>E</v>
      </c>
      <c r="D1602" t="str">
        <f t="shared" si="208"/>
        <v>E</v>
      </c>
      <c r="E1602" t="str">
        <f t="shared" si="209"/>
        <v>D</v>
      </c>
      <c r="F1602" s="4" t="str">
        <f t="shared" ref="F1602:F1626" si="211">IF(J1602=1,"A",IF(J1602=2,"B",IF(J1602=3,"C",IF(J1602=4,"D",IF(J1602=5,"E",IF(J1602=6,"F",IF(J1602=7,"G",IF(J1602=8,"H",IF(J1602=9,"I",IF(J1602=10,"J",IF(J1602=11,"K",IF(J1602=12,"L",IF(J1602=13,"M","ERRO")))))))))))))</f>
        <v>B</v>
      </c>
      <c r="G1602" s="4">
        <f t="shared" ref="G1602:G1626" si="212">INT($A1602/325)+1</f>
        <v>5</v>
      </c>
      <c r="H1602" s="4">
        <f t="shared" ref="H1602:H1626" si="213">INT(MOD($A1602,325)/65)+1</f>
        <v>5</v>
      </c>
      <c r="I1602" s="4">
        <f t="shared" ref="I1602:I1626" si="214">INT(MOD($A1602,65)/13)+1</f>
        <v>4</v>
      </c>
      <c r="J1602" s="4">
        <f t="shared" ref="J1602:J1626" si="215">MOD($A1602,13)+1</f>
        <v>2</v>
      </c>
    </row>
    <row r="1603" spans="1:10" x14ac:dyDescent="0.25">
      <c r="A1603">
        <v>1601</v>
      </c>
      <c r="B1603" s="4" t="str">
        <f t="shared" si="210"/>
        <v>NOK</v>
      </c>
      <c r="C1603" t="str">
        <f t="shared" si="207"/>
        <v>E</v>
      </c>
      <c r="D1603" t="str">
        <f t="shared" si="208"/>
        <v>E</v>
      </c>
      <c r="E1603" t="str">
        <f t="shared" si="209"/>
        <v>D</v>
      </c>
      <c r="F1603" s="4" t="str">
        <f t="shared" si="211"/>
        <v>C</v>
      </c>
      <c r="G1603" s="4">
        <f t="shared" si="212"/>
        <v>5</v>
      </c>
      <c r="H1603" s="4">
        <f t="shared" si="213"/>
        <v>5</v>
      </c>
      <c r="I1603" s="4">
        <f t="shared" si="214"/>
        <v>4</v>
      </c>
      <c r="J1603" s="4">
        <f t="shared" si="215"/>
        <v>3</v>
      </c>
    </row>
    <row r="1604" spans="1:10" x14ac:dyDescent="0.25">
      <c r="A1604">
        <v>1602</v>
      </c>
      <c r="B1604" s="4" t="str">
        <f t="shared" si="210"/>
        <v>NOK</v>
      </c>
      <c r="C1604" t="str">
        <f t="shared" si="207"/>
        <v>E</v>
      </c>
      <c r="D1604" t="str">
        <f t="shared" si="208"/>
        <v>E</v>
      </c>
      <c r="E1604" t="str">
        <f t="shared" si="209"/>
        <v>D</v>
      </c>
      <c r="F1604" s="4" t="str">
        <f t="shared" si="211"/>
        <v>D</v>
      </c>
      <c r="G1604" s="4">
        <f t="shared" si="212"/>
        <v>5</v>
      </c>
      <c r="H1604" s="4">
        <f t="shared" si="213"/>
        <v>5</v>
      </c>
      <c r="I1604" s="4">
        <f t="shared" si="214"/>
        <v>4</v>
      </c>
      <c r="J1604" s="4">
        <f t="shared" si="215"/>
        <v>4</v>
      </c>
    </row>
    <row r="1605" spans="1:10" x14ac:dyDescent="0.25">
      <c r="A1605">
        <v>1603</v>
      </c>
      <c r="B1605" s="4" t="str">
        <f t="shared" si="210"/>
        <v>NOK</v>
      </c>
      <c r="C1605" t="str">
        <f t="shared" si="207"/>
        <v>E</v>
      </c>
      <c r="D1605" t="str">
        <f t="shared" si="208"/>
        <v>E</v>
      </c>
      <c r="E1605" t="str">
        <f t="shared" si="209"/>
        <v>D</v>
      </c>
      <c r="F1605" s="4" t="str">
        <f t="shared" si="211"/>
        <v>E</v>
      </c>
      <c r="G1605" s="4">
        <f t="shared" si="212"/>
        <v>5</v>
      </c>
      <c r="H1605" s="4">
        <f t="shared" si="213"/>
        <v>5</v>
      </c>
      <c r="I1605" s="4">
        <f t="shared" si="214"/>
        <v>4</v>
      </c>
      <c r="J1605" s="4">
        <f t="shared" si="215"/>
        <v>5</v>
      </c>
    </row>
    <row r="1606" spans="1:10" x14ac:dyDescent="0.25">
      <c r="A1606">
        <v>1604</v>
      </c>
      <c r="B1606" s="4" t="str">
        <f t="shared" si="210"/>
        <v>NOK</v>
      </c>
      <c r="C1606" t="str">
        <f t="shared" si="207"/>
        <v>E</v>
      </c>
      <c r="D1606" t="str">
        <f t="shared" si="208"/>
        <v>E</v>
      </c>
      <c r="E1606" t="str">
        <f t="shared" si="209"/>
        <v>D</v>
      </c>
      <c r="F1606" s="4" t="str">
        <f t="shared" si="211"/>
        <v>F</v>
      </c>
      <c r="G1606" s="4">
        <f t="shared" si="212"/>
        <v>5</v>
      </c>
      <c r="H1606" s="4">
        <f t="shared" si="213"/>
        <v>5</v>
      </c>
      <c r="I1606" s="4">
        <f t="shared" si="214"/>
        <v>4</v>
      </c>
      <c r="J1606" s="4">
        <f t="shared" si="215"/>
        <v>6</v>
      </c>
    </row>
    <row r="1607" spans="1:10" x14ac:dyDescent="0.25">
      <c r="A1607">
        <v>1605</v>
      </c>
      <c r="B1607" s="4" t="str">
        <f t="shared" si="210"/>
        <v>NOK</v>
      </c>
      <c r="C1607" t="str">
        <f t="shared" si="207"/>
        <v>E</v>
      </c>
      <c r="D1607" t="str">
        <f t="shared" si="208"/>
        <v>E</v>
      </c>
      <c r="E1607" t="str">
        <f t="shared" si="209"/>
        <v>D</v>
      </c>
      <c r="F1607" s="4" t="str">
        <f t="shared" si="211"/>
        <v>G</v>
      </c>
      <c r="G1607" s="4">
        <f t="shared" si="212"/>
        <v>5</v>
      </c>
      <c r="H1607" s="4">
        <f t="shared" si="213"/>
        <v>5</v>
      </c>
      <c r="I1607" s="4">
        <f t="shared" si="214"/>
        <v>4</v>
      </c>
      <c r="J1607" s="4">
        <f t="shared" si="215"/>
        <v>7</v>
      </c>
    </row>
    <row r="1608" spans="1:10" x14ac:dyDescent="0.25">
      <c r="A1608">
        <v>1606</v>
      </c>
      <c r="B1608" s="4" t="str">
        <f t="shared" si="210"/>
        <v>NOK</v>
      </c>
      <c r="C1608" t="str">
        <f t="shared" si="207"/>
        <v>E</v>
      </c>
      <c r="D1608" t="str">
        <f t="shared" si="208"/>
        <v>E</v>
      </c>
      <c r="E1608" t="str">
        <f t="shared" si="209"/>
        <v>D</v>
      </c>
      <c r="F1608" s="4" t="str">
        <f t="shared" si="211"/>
        <v>H</v>
      </c>
      <c r="G1608" s="4">
        <f t="shared" si="212"/>
        <v>5</v>
      </c>
      <c r="H1608" s="4">
        <f t="shared" si="213"/>
        <v>5</v>
      </c>
      <c r="I1608" s="4">
        <f t="shared" si="214"/>
        <v>4</v>
      </c>
      <c r="J1608" s="4">
        <f t="shared" si="215"/>
        <v>8</v>
      </c>
    </row>
    <row r="1609" spans="1:10" x14ac:dyDescent="0.25">
      <c r="A1609">
        <v>1607</v>
      </c>
      <c r="B1609" s="4" t="str">
        <f t="shared" si="210"/>
        <v>NOK</v>
      </c>
      <c r="C1609" t="str">
        <f t="shared" si="207"/>
        <v>E</v>
      </c>
      <c r="D1609" t="str">
        <f t="shared" si="208"/>
        <v>E</v>
      </c>
      <c r="E1609" t="str">
        <f t="shared" si="209"/>
        <v>D</v>
      </c>
      <c r="F1609" s="4" t="str">
        <f t="shared" si="211"/>
        <v>I</v>
      </c>
      <c r="G1609" s="4">
        <f t="shared" si="212"/>
        <v>5</v>
      </c>
      <c r="H1609" s="4">
        <f t="shared" si="213"/>
        <v>5</v>
      </c>
      <c r="I1609" s="4">
        <f t="shared" si="214"/>
        <v>4</v>
      </c>
      <c r="J1609" s="4">
        <f t="shared" si="215"/>
        <v>9</v>
      </c>
    </row>
    <row r="1610" spans="1:10" x14ac:dyDescent="0.25">
      <c r="A1610">
        <v>1608</v>
      </c>
      <c r="B1610" s="4" t="str">
        <f t="shared" si="210"/>
        <v>NOK</v>
      </c>
      <c r="C1610" t="str">
        <f t="shared" si="207"/>
        <v>E</v>
      </c>
      <c r="D1610" t="str">
        <f t="shared" si="208"/>
        <v>E</v>
      </c>
      <c r="E1610" t="str">
        <f t="shared" si="209"/>
        <v>D</v>
      </c>
      <c r="F1610" s="4" t="str">
        <f t="shared" si="211"/>
        <v>J</v>
      </c>
      <c r="G1610" s="4">
        <f t="shared" si="212"/>
        <v>5</v>
      </c>
      <c r="H1610" s="4">
        <f t="shared" si="213"/>
        <v>5</v>
      </c>
      <c r="I1610" s="4">
        <f t="shared" si="214"/>
        <v>4</v>
      </c>
      <c r="J1610" s="4">
        <f t="shared" si="215"/>
        <v>10</v>
      </c>
    </row>
    <row r="1611" spans="1:10" x14ac:dyDescent="0.25">
      <c r="A1611">
        <v>1609</v>
      </c>
      <c r="B1611" s="4" t="str">
        <f t="shared" si="210"/>
        <v>NOK</v>
      </c>
      <c r="C1611" t="str">
        <f t="shared" si="207"/>
        <v>E</v>
      </c>
      <c r="D1611" t="str">
        <f t="shared" si="208"/>
        <v>E</v>
      </c>
      <c r="E1611" t="str">
        <f t="shared" si="209"/>
        <v>D</v>
      </c>
      <c r="F1611" s="4" t="str">
        <f t="shared" si="211"/>
        <v>K</v>
      </c>
      <c r="G1611" s="4">
        <f t="shared" si="212"/>
        <v>5</v>
      </c>
      <c r="H1611" s="4">
        <f t="shared" si="213"/>
        <v>5</v>
      </c>
      <c r="I1611" s="4">
        <f t="shared" si="214"/>
        <v>4</v>
      </c>
      <c r="J1611" s="4">
        <f t="shared" si="215"/>
        <v>11</v>
      </c>
    </row>
    <row r="1612" spans="1:10" x14ac:dyDescent="0.25">
      <c r="A1612">
        <v>1610</v>
      </c>
      <c r="B1612" s="4" t="str">
        <f t="shared" si="210"/>
        <v>OK</v>
      </c>
      <c r="C1612" t="str">
        <f t="shared" si="207"/>
        <v>E</v>
      </c>
      <c r="D1612" t="str">
        <f t="shared" si="208"/>
        <v>E</v>
      </c>
      <c r="E1612" t="str">
        <f t="shared" si="209"/>
        <v>D</v>
      </c>
      <c r="F1612" s="4" t="str">
        <f t="shared" si="211"/>
        <v>L</v>
      </c>
      <c r="G1612" s="4">
        <f t="shared" si="212"/>
        <v>5</v>
      </c>
      <c r="H1612" s="4">
        <f t="shared" si="213"/>
        <v>5</v>
      </c>
      <c r="I1612" s="4">
        <f t="shared" si="214"/>
        <v>4</v>
      </c>
      <c r="J1612" s="4">
        <f t="shared" si="215"/>
        <v>12</v>
      </c>
    </row>
    <row r="1613" spans="1:10" x14ac:dyDescent="0.25">
      <c r="A1613">
        <v>1611</v>
      </c>
      <c r="B1613" s="4" t="str">
        <f t="shared" si="210"/>
        <v>NOK</v>
      </c>
      <c r="C1613" t="str">
        <f t="shared" si="207"/>
        <v>E</v>
      </c>
      <c r="D1613" t="str">
        <f t="shared" si="208"/>
        <v>E</v>
      </c>
      <c r="E1613" t="str">
        <f t="shared" si="209"/>
        <v>D</v>
      </c>
      <c r="F1613" s="4" t="str">
        <f t="shared" si="211"/>
        <v>M</v>
      </c>
      <c r="G1613" s="4">
        <f t="shared" si="212"/>
        <v>5</v>
      </c>
      <c r="H1613" s="4">
        <f t="shared" si="213"/>
        <v>5</v>
      </c>
      <c r="I1613" s="4">
        <f t="shared" si="214"/>
        <v>4</v>
      </c>
      <c r="J1613" s="4">
        <f t="shared" si="215"/>
        <v>13</v>
      </c>
    </row>
    <row r="1614" spans="1:10" x14ac:dyDescent="0.25">
      <c r="A1614">
        <v>1612</v>
      </c>
      <c r="B1614" s="4" t="str">
        <f t="shared" si="210"/>
        <v>NOK</v>
      </c>
      <c r="C1614" t="str">
        <f t="shared" si="207"/>
        <v>E</v>
      </c>
      <c r="D1614" t="str">
        <f t="shared" si="208"/>
        <v>E</v>
      </c>
      <c r="E1614" t="str">
        <f t="shared" si="209"/>
        <v>E</v>
      </c>
      <c r="F1614" s="4" t="str">
        <f t="shared" si="211"/>
        <v>A</v>
      </c>
      <c r="G1614" s="4">
        <f t="shared" si="212"/>
        <v>5</v>
      </c>
      <c r="H1614" s="4">
        <f t="shared" si="213"/>
        <v>5</v>
      </c>
      <c r="I1614" s="4">
        <f t="shared" si="214"/>
        <v>5</v>
      </c>
      <c r="J1614" s="4">
        <f t="shared" si="215"/>
        <v>1</v>
      </c>
    </row>
    <row r="1615" spans="1:10" x14ac:dyDescent="0.25">
      <c r="A1615">
        <v>1613</v>
      </c>
      <c r="B1615" s="4" t="str">
        <f t="shared" si="210"/>
        <v>NOK</v>
      </c>
      <c r="C1615" t="str">
        <f t="shared" si="207"/>
        <v>E</v>
      </c>
      <c r="D1615" t="str">
        <f t="shared" si="208"/>
        <v>E</v>
      </c>
      <c r="E1615" t="str">
        <f t="shared" si="209"/>
        <v>E</v>
      </c>
      <c r="F1615" s="4" t="str">
        <f t="shared" si="211"/>
        <v>B</v>
      </c>
      <c r="G1615" s="4">
        <f t="shared" si="212"/>
        <v>5</v>
      </c>
      <c r="H1615" s="4">
        <f t="shared" si="213"/>
        <v>5</v>
      </c>
      <c r="I1615" s="4">
        <f t="shared" si="214"/>
        <v>5</v>
      </c>
      <c r="J1615" s="4">
        <f t="shared" si="215"/>
        <v>2</v>
      </c>
    </row>
    <row r="1616" spans="1:10" x14ac:dyDescent="0.25">
      <c r="A1616">
        <v>1614</v>
      </c>
      <c r="B1616" s="4" t="str">
        <f t="shared" si="210"/>
        <v>NOK</v>
      </c>
      <c r="C1616" t="str">
        <f t="shared" si="207"/>
        <v>E</v>
      </c>
      <c r="D1616" t="str">
        <f t="shared" si="208"/>
        <v>E</v>
      </c>
      <c r="E1616" t="str">
        <f t="shared" si="209"/>
        <v>E</v>
      </c>
      <c r="F1616" s="4" t="str">
        <f t="shared" si="211"/>
        <v>C</v>
      </c>
      <c r="G1616" s="4">
        <f t="shared" si="212"/>
        <v>5</v>
      </c>
      <c r="H1616" s="4">
        <f t="shared" si="213"/>
        <v>5</v>
      </c>
      <c r="I1616" s="4">
        <f t="shared" si="214"/>
        <v>5</v>
      </c>
      <c r="J1616" s="4">
        <f t="shared" si="215"/>
        <v>3</v>
      </c>
    </row>
    <row r="1617" spans="1:10" x14ac:dyDescent="0.25">
      <c r="A1617">
        <v>1615</v>
      </c>
      <c r="B1617" s="4" t="str">
        <f t="shared" si="210"/>
        <v>NOK</v>
      </c>
      <c r="C1617" t="str">
        <f t="shared" si="207"/>
        <v>E</v>
      </c>
      <c r="D1617" t="str">
        <f t="shared" si="208"/>
        <v>E</v>
      </c>
      <c r="E1617" t="str">
        <f t="shared" si="209"/>
        <v>E</v>
      </c>
      <c r="F1617" s="4" t="str">
        <f t="shared" si="211"/>
        <v>D</v>
      </c>
      <c r="G1617" s="4">
        <f t="shared" si="212"/>
        <v>5</v>
      </c>
      <c r="H1617" s="4">
        <f t="shared" si="213"/>
        <v>5</v>
      </c>
      <c r="I1617" s="4">
        <f t="shared" si="214"/>
        <v>5</v>
      </c>
      <c r="J1617" s="4">
        <f t="shared" si="215"/>
        <v>4</v>
      </c>
    </row>
    <row r="1618" spans="1:10" x14ac:dyDescent="0.25">
      <c r="A1618">
        <v>1616</v>
      </c>
      <c r="B1618" s="4" t="str">
        <f t="shared" si="210"/>
        <v>NOK</v>
      </c>
      <c r="C1618" t="str">
        <f t="shared" si="207"/>
        <v>E</v>
      </c>
      <c r="D1618" t="str">
        <f t="shared" si="208"/>
        <v>E</v>
      </c>
      <c r="E1618" t="str">
        <f t="shared" si="209"/>
        <v>E</v>
      </c>
      <c r="F1618" s="4" t="str">
        <f t="shared" si="211"/>
        <v>E</v>
      </c>
      <c r="G1618" s="4">
        <f t="shared" si="212"/>
        <v>5</v>
      </c>
      <c r="H1618" s="4">
        <f t="shared" si="213"/>
        <v>5</v>
      </c>
      <c r="I1618" s="4">
        <f t="shared" si="214"/>
        <v>5</v>
      </c>
      <c r="J1618" s="4">
        <f t="shared" si="215"/>
        <v>5</v>
      </c>
    </row>
    <row r="1619" spans="1:10" x14ac:dyDescent="0.25">
      <c r="A1619">
        <v>1617</v>
      </c>
      <c r="B1619" s="4" t="str">
        <f t="shared" si="210"/>
        <v>NOK</v>
      </c>
      <c r="C1619" t="str">
        <f t="shared" si="207"/>
        <v>E</v>
      </c>
      <c r="D1619" t="str">
        <f t="shared" si="208"/>
        <v>E</v>
      </c>
      <c r="E1619" t="str">
        <f t="shared" si="209"/>
        <v>E</v>
      </c>
      <c r="F1619" s="4" t="str">
        <f t="shared" si="211"/>
        <v>F</v>
      </c>
      <c r="G1619" s="4">
        <f t="shared" si="212"/>
        <v>5</v>
      </c>
      <c r="H1619" s="4">
        <f t="shared" si="213"/>
        <v>5</v>
      </c>
      <c r="I1619" s="4">
        <f t="shared" si="214"/>
        <v>5</v>
      </c>
      <c r="J1619" s="4">
        <f t="shared" si="215"/>
        <v>6</v>
      </c>
    </row>
    <row r="1620" spans="1:10" x14ac:dyDescent="0.25">
      <c r="A1620">
        <v>1618</v>
      </c>
      <c r="B1620" s="4" t="str">
        <f t="shared" si="210"/>
        <v>NOK</v>
      </c>
      <c r="C1620" t="str">
        <f t="shared" si="207"/>
        <v>E</v>
      </c>
      <c r="D1620" t="str">
        <f t="shared" si="208"/>
        <v>E</v>
      </c>
      <c r="E1620" t="str">
        <f t="shared" si="209"/>
        <v>E</v>
      </c>
      <c r="F1620" s="4" t="str">
        <f t="shared" si="211"/>
        <v>G</v>
      </c>
      <c r="G1620" s="4">
        <f t="shared" si="212"/>
        <v>5</v>
      </c>
      <c r="H1620" s="4">
        <f t="shared" si="213"/>
        <v>5</v>
      </c>
      <c r="I1620" s="4">
        <f t="shared" si="214"/>
        <v>5</v>
      </c>
      <c r="J1620" s="4">
        <f t="shared" si="215"/>
        <v>7</v>
      </c>
    </row>
    <row r="1621" spans="1:10" x14ac:dyDescent="0.25">
      <c r="A1621">
        <v>1619</v>
      </c>
      <c r="B1621" s="4" t="str">
        <f t="shared" si="210"/>
        <v>NOK</v>
      </c>
      <c r="C1621" t="str">
        <f t="shared" si="207"/>
        <v>E</v>
      </c>
      <c r="D1621" t="str">
        <f t="shared" si="208"/>
        <v>E</v>
      </c>
      <c r="E1621" t="str">
        <f t="shared" si="209"/>
        <v>E</v>
      </c>
      <c r="F1621" s="4" t="str">
        <f t="shared" si="211"/>
        <v>H</v>
      </c>
      <c r="G1621" s="4">
        <f t="shared" si="212"/>
        <v>5</v>
      </c>
      <c r="H1621" s="4">
        <f t="shared" si="213"/>
        <v>5</v>
      </c>
      <c r="I1621" s="4">
        <f t="shared" si="214"/>
        <v>5</v>
      </c>
      <c r="J1621" s="4">
        <f t="shared" si="215"/>
        <v>8</v>
      </c>
    </row>
    <row r="1622" spans="1:10" x14ac:dyDescent="0.25">
      <c r="A1622">
        <v>1620</v>
      </c>
      <c r="B1622" s="4" t="str">
        <f t="shared" si="210"/>
        <v>NOK</v>
      </c>
      <c r="C1622" t="str">
        <f t="shared" si="207"/>
        <v>E</v>
      </c>
      <c r="D1622" t="str">
        <f t="shared" si="208"/>
        <v>E</v>
      </c>
      <c r="E1622" t="str">
        <f t="shared" si="209"/>
        <v>E</v>
      </c>
      <c r="F1622" s="4" t="str">
        <f t="shared" si="211"/>
        <v>I</v>
      </c>
      <c r="G1622" s="4">
        <f t="shared" si="212"/>
        <v>5</v>
      </c>
      <c r="H1622" s="4">
        <f t="shared" si="213"/>
        <v>5</v>
      </c>
      <c r="I1622" s="4">
        <f t="shared" si="214"/>
        <v>5</v>
      </c>
      <c r="J1622" s="4">
        <f t="shared" si="215"/>
        <v>9</v>
      </c>
    </row>
    <row r="1623" spans="1:10" x14ac:dyDescent="0.25">
      <c r="A1623">
        <v>1621</v>
      </c>
      <c r="B1623" s="4" t="str">
        <f t="shared" si="210"/>
        <v>NOK</v>
      </c>
      <c r="C1623" t="str">
        <f t="shared" si="207"/>
        <v>E</v>
      </c>
      <c r="D1623" t="str">
        <f t="shared" si="208"/>
        <v>E</v>
      </c>
      <c r="E1623" t="str">
        <f t="shared" si="209"/>
        <v>E</v>
      </c>
      <c r="F1623" s="4" t="str">
        <f t="shared" si="211"/>
        <v>J</v>
      </c>
      <c r="G1623" s="4">
        <f t="shared" si="212"/>
        <v>5</v>
      </c>
      <c r="H1623" s="4">
        <f t="shared" si="213"/>
        <v>5</v>
      </c>
      <c r="I1623" s="4">
        <f t="shared" si="214"/>
        <v>5</v>
      </c>
      <c r="J1623" s="4">
        <f t="shared" si="215"/>
        <v>10</v>
      </c>
    </row>
    <row r="1624" spans="1:10" x14ac:dyDescent="0.25">
      <c r="A1624">
        <v>1622</v>
      </c>
      <c r="B1624" s="4" t="str">
        <f t="shared" si="210"/>
        <v>NOK</v>
      </c>
      <c r="C1624" t="str">
        <f t="shared" si="207"/>
        <v>E</v>
      </c>
      <c r="D1624" t="str">
        <f t="shared" si="208"/>
        <v>E</v>
      </c>
      <c r="E1624" t="str">
        <f t="shared" si="209"/>
        <v>E</v>
      </c>
      <c r="F1624" s="4" t="str">
        <f t="shared" si="211"/>
        <v>K</v>
      </c>
      <c r="G1624" s="4">
        <f t="shared" si="212"/>
        <v>5</v>
      </c>
      <c r="H1624" s="4">
        <f t="shared" si="213"/>
        <v>5</v>
      </c>
      <c r="I1624" s="4">
        <f t="shared" si="214"/>
        <v>5</v>
      </c>
      <c r="J1624" s="4">
        <f t="shared" si="215"/>
        <v>11</v>
      </c>
    </row>
    <row r="1625" spans="1:10" x14ac:dyDescent="0.25">
      <c r="A1625">
        <v>1623</v>
      </c>
      <c r="B1625" s="4" t="str">
        <f t="shared" si="210"/>
        <v>NOK</v>
      </c>
      <c r="C1625" t="str">
        <f t="shared" si="207"/>
        <v>E</v>
      </c>
      <c r="D1625" t="str">
        <f t="shared" si="208"/>
        <v>E</v>
      </c>
      <c r="E1625" t="str">
        <f t="shared" si="209"/>
        <v>E</v>
      </c>
      <c r="F1625" s="4" t="str">
        <f t="shared" si="211"/>
        <v>L</v>
      </c>
      <c r="G1625" s="4">
        <f t="shared" si="212"/>
        <v>5</v>
      </c>
      <c r="H1625" s="4">
        <f t="shared" si="213"/>
        <v>5</v>
      </c>
      <c r="I1625" s="4">
        <f t="shared" si="214"/>
        <v>5</v>
      </c>
      <c r="J1625" s="4">
        <f t="shared" si="215"/>
        <v>12</v>
      </c>
    </row>
    <row r="1626" spans="1:10" x14ac:dyDescent="0.25">
      <c r="A1626">
        <v>1624</v>
      </c>
      <c r="B1626" s="4" t="str">
        <f t="shared" si="210"/>
        <v>OK</v>
      </c>
      <c r="C1626" t="str">
        <f t="shared" si="207"/>
        <v>E</v>
      </c>
      <c r="D1626" t="str">
        <f t="shared" si="208"/>
        <v>E</v>
      </c>
      <c r="E1626" t="str">
        <f t="shared" si="209"/>
        <v>E</v>
      </c>
      <c r="F1626" s="4" t="str">
        <f t="shared" si="211"/>
        <v>M</v>
      </c>
      <c r="G1626" s="4">
        <f t="shared" si="212"/>
        <v>5</v>
      </c>
      <c r="H1626" s="4">
        <f t="shared" si="213"/>
        <v>5</v>
      </c>
      <c r="I1626" s="4">
        <f t="shared" si="214"/>
        <v>5</v>
      </c>
      <c r="J1626" s="4">
        <f t="shared" si="215"/>
        <v>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BB08-D8A1-4BDE-BE16-7A8256FEAE76}">
  <sheetPr codeName="Planilha2"/>
  <dimension ref="A1:DP2001"/>
  <sheetViews>
    <sheetView topLeftCell="E39" zoomScaleNormal="100" workbookViewId="0">
      <selection activeCell="C2" sqref="C2"/>
    </sheetView>
  </sheetViews>
  <sheetFormatPr defaultRowHeight="15" x14ac:dyDescent="0.25"/>
  <cols>
    <col min="1" max="1" width="15" style="1" bestFit="1" customWidth="1"/>
    <col min="2" max="2" width="13.5703125" bestFit="1" customWidth="1"/>
    <col min="3" max="3" width="13.85546875" style="1" bestFit="1" customWidth="1"/>
    <col min="4" max="4" width="13.28515625" bestFit="1" customWidth="1"/>
    <col min="5" max="5" width="15.5703125" style="1" bestFit="1" customWidth="1"/>
    <col min="6" max="6" width="13" bestFit="1" customWidth="1"/>
    <col min="7" max="7" width="17.42578125" style="1" bestFit="1" customWidth="1"/>
    <col min="8" max="8" width="13.5703125" style="5" bestFit="1" customWidth="1"/>
    <col min="9" max="10" width="9.140625" style="1"/>
    <col min="11" max="11" width="10.28515625" style="3" bestFit="1" customWidth="1"/>
    <col min="12" max="13" width="9.5703125" style="1" customWidth="1"/>
    <col min="14" max="14" width="11.5703125" style="1" bestFit="1" customWidth="1"/>
    <col min="15" max="17" width="9.5703125" style="1" bestFit="1" customWidth="1"/>
    <col min="18" max="18" width="10.140625" style="1" bestFit="1" customWidth="1"/>
    <col min="19" max="19" width="9.5703125" style="1" bestFit="1" customWidth="1"/>
    <col min="20" max="21" width="10.5703125" style="1" bestFit="1" customWidth="1"/>
    <col min="22" max="27" width="9.140625" style="1"/>
    <col min="28" max="28" width="10.140625" style="1" bestFit="1" customWidth="1"/>
    <col min="29" max="37" width="9.140625" style="1"/>
    <col min="38" max="38" width="10.140625" style="1" bestFit="1" customWidth="1"/>
    <col min="39" max="47" width="9.140625" style="1"/>
    <col min="48" max="48" width="10.140625" style="1" bestFit="1" customWidth="1"/>
    <col min="49" max="57" width="9.140625" style="1"/>
    <col min="58" max="58" width="10.140625" style="1" bestFit="1" customWidth="1"/>
    <col min="59" max="67" width="9.140625" style="1"/>
    <col min="68" max="68" width="10.140625" style="1" bestFit="1" customWidth="1"/>
    <col min="69" max="77" width="9.140625" style="1"/>
    <col min="78" max="78" width="10.140625" style="1" bestFit="1" customWidth="1"/>
    <col min="79" max="87" width="9.140625" style="1"/>
    <col min="88" max="88" width="10.140625" style="1" bestFit="1" customWidth="1"/>
    <col min="89" max="97" width="9.140625" style="1"/>
    <col min="98" max="98" width="10.140625" style="1" bestFit="1" customWidth="1"/>
    <col min="99" max="16384" width="9.140625" style="1"/>
  </cols>
  <sheetData>
    <row r="1" spans="1:55" x14ac:dyDescent="0.25">
      <c r="A1" s="1" t="s">
        <v>0</v>
      </c>
      <c r="B1" s="1" t="s">
        <v>5</v>
      </c>
      <c r="C1" s="1" t="s">
        <v>1</v>
      </c>
      <c r="D1" s="1" t="s">
        <v>4</v>
      </c>
      <c r="E1" s="1" t="s">
        <v>2</v>
      </c>
      <c r="F1" s="1" t="s">
        <v>6</v>
      </c>
      <c r="G1" s="1" t="s">
        <v>3</v>
      </c>
      <c r="H1" s="5" t="s">
        <v>7</v>
      </c>
      <c r="K1" s="13">
        <v>3</v>
      </c>
      <c r="L1" s="9">
        <v>1</v>
      </c>
      <c r="M1" s="9">
        <f ca="1">COUNTIF(Tabela1[Classe Ø],L1)</f>
        <v>199</v>
      </c>
      <c r="O1" s="13">
        <v>3</v>
      </c>
      <c r="P1" s="9" t="s">
        <v>8</v>
      </c>
      <c r="Q1" s="9">
        <f ca="1">COUNTIF(Tabela1[Classe A],P1)</f>
        <v>614</v>
      </c>
      <c r="S1" s="13">
        <v>30</v>
      </c>
      <c r="T1" s="9" t="s">
        <v>8</v>
      </c>
      <c r="U1" s="9">
        <f ca="1">COUNTIF(Tabela1[Classe B],T1)</f>
        <v>664</v>
      </c>
      <c r="W1" s="13">
        <v>40</v>
      </c>
      <c r="X1" s="9" t="s">
        <v>8</v>
      </c>
      <c r="Y1" s="9">
        <f ca="1">COUNTIF(Tabela1[Classe C],X1)</f>
        <v>658</v>
      </c>
      <c r="Z1"/>
      <c r="AA1"/>
      <c r="AB1">
        <v>73.015000000000001</v>
      </c>
      <c r="AC1" t="s">
        <v>8</v>
      </c>
      <c r="AD1">
        <v>0</v>
      </c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</row>
    <row r="2" spans="1:55" x14ac:dyDescent="0.25">
      <c r="A2" s="2">
        <f t="shared" ref="A2:A65" ca="1" si="0">3+RAND()*0.01</f>
        <v>3.0080045725381708</v>
      </c>
      <c r="B2" cm="1">
        <f t="array" aca="1" ref="B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2" s="2">
        <f t="shared" ref="C2:C65" ca="1" si="1">3+RAND()*0.03</f>
        <v>3.0170798444239275</v>
      </c>
      <c r="D2" t="str" cm="1">
        <f t="array" aca="1" ref="D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" s="2">
        <f t="shared" ref="E2:E65" ca="1" si="2">30+RAND()*0.03</f>
        <v>30.006865392458486</v>
      </c>
      <c r="F2" t="str" cm="1">
        <f t="array" aca="1" ref="F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" s="2">
        <f t="shared" ref="G2:G65" ca="1" si="3">40+RAND()*0.03</f>
        <v>40.01561450509886</v>
      </c>
      <c r="H2" s="5" t="str" cm="1">
        <f t="array" aca="1" ref="H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K2" s="13">
        <v>3.0009999999999999</v>
      </c>
      <c r="L2" s="9">
        <v>2</v>
      </c>
      <c r="M2" s="9">
        <f ca="1">COUNTIF(Tabela1[Classe Ø],L2)</f>
        <v>196</v>
      </c>
      <c r="O2" s="13">
        <v>3.01</v>
      </c>
      <c r="P2" s="9" t="s">
        <v>9</v>
      </c>
      <c r="Q2" s="9">
        <f ca="1">COUNTIF(Tabela1[Classe A],P2)</f>
        <v>671</v>
      </c>
      <c r="S2" s="13">
        <v>30.01</v>
      </c>
      <c r="T2" s="9" t="s">
        <v>9</v>
      </c>
      <c r="U2" s="9">
        <f ca="1">COUNTIF(Tabela1[Classe B],T2)</f>
        <v>706</v>
      </c>
      <c r="W2" s="13">
        <v>40.01</v>
      </c>
      <c r="X2" s="9" t="s">
        <v>9</v>
      </c>
      <c r="Y2" s="9">
        <f ca="1">COUNTIF(Tabela1[Classe C],X2)</f>
        <v>670</v>
      </c>
      <c r="Z2"/>
      <c r="AA2"/>
      <c r="AB2">
        <v>73.024999999999991</v>
      </c>
      <c r="AC2" t="s">
        <v>9</v>
      </c>
      <c r="AD2">
        <v>0</v>
      </c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55" x14ac:dyDescent="0.25">
      <c r="A3" s="2">
        <f t="shared" ca="1" si="0"/>
        <v>3.0087981853530765</v>
      </c>
      <c r="B3" cm="1">
        <f t="array" aca="1" ref="B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3" s="2">
        <f t="shared" ca="1" si="1"/>
        <v>3.0273254866070562</v>
      </c>
      <c r="D3" t="str" cm="1">
        <f t="array" aca="1" ref="D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" s="2">
        <f t="shared" ca="1" si="2"/>
        <v>30.008679747905873</v>
      </c>
      <c r="F3" t="str" cm="1">
        <f t="array" aca="1" ref="F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" s="2">
        <f t="shared" ca="1" si="3"/>
        <v>40.02294817858408</v>
      </c>
      <c r="H3" s="5" t="str" cm="1">
        <f t="array" aca="1" ref="H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K3" s="13">
        <v>3.0019999999999998</v>
      </c>
      <c r="L3" s="9">
        <v>3</v>
      </c>
      <c r="M3" s="9">
        <f ca="1">COUNTIF(Tabela1[Classe Ø],L3)</f>
        <v>198</v>
      </c>
      <c r="O3" s="13">
        <v>3.02</v>
      </c>
      <c r="P3" s="9" t="s">
        <v>10</v>
      </c>
      <c r="Q3" s="9">
        <f ca="1">COUNTIF(Tabela1[Classe A],P3)</f>
        <v>715</v>
      </c>
      <c r="S3" s="13">
        <v>30.02</v>
      </c>
      <c r="T3" s="9" t="s">
        <v>10</v>
      </c>
      <c r="U3" s="9">
        <f ca="1">COUNTIF(Tabela1[Classe B],T3)</f>
        <v>630</v>
      </c>
      <c r="W3" s="13">
        <v>40.020000000000003</v>
      </c>
      <c r="X3" s="9" t="s">
        <v>10</v>
      </c>
      <c r="Y3" s="9">
        <f ca="1">COUNTIF(Tabela1[Classe C],X3)</f>
        <v>672</v>
      </c>
      <c r="Z3"/>
      <c r="AA3"/>
      <c r="AB3">
        <v>73.034999999999997</v>
      </c>
      <c r="AC3" t="s">
        <v>10</v>
      </c>
      <c r="AD3">
        <v>0</v>
      </c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</row>
    <row r="4" spans="1:55" x14ac:dyDescent="0.25">
      <c r="A4" s="2">
        <f t="shared" ca="1" si="0"/>
        <v>3.0085630030961181</v>
      </c>
      <c r="B4" cm="1">
        <f t="array" aca="1" ref="B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4" s="2">
        <f t="shared" ca="1" si="1"/>
        <v>3.0116436618905529</v>
      </c>
      <c r="D4" t="str" cm="1">
        <f t="array" aca="1" ref="D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" s="2">
        <f t="shared" ca="1" si="2"/>
        <v>30.004557225357622</v>
      </c>
      <c r="F4" t="str" cm="1">
        <f t="array" aca="1" ref="F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" s="2">
        <f t="shared" ca="1" si="3"/>
        <v>40.009406052642298</v>
      </c>
      <c r="H4" s="5" t="str" cm="1">
        <f t="array" aca="1" ref="H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K4" s="13">
        <v>3.0030000000000001</v>
      </c>
      <c r="L4" s="9">
        <v>4</v>
      </c>
      <c r="M4" s="9">
        <f ca="1">COUNTIF(Tabela1[Classe Ø],L4)</f>
        <v>199</v>
      </c>
      <c r="O4" s="13">
        <v>3.03</v>
      </c>
      <c r="P4" s="9" t="s">
        <v>11</v>
      </c>
      <c r="Q4" s="9">
        <f ca="1">COUNTIF(Tabela1[Classe A],P4)</f>
        <v>0</v>
      </c>
      <c r="S4" s="13">
        <v>30.03</v>
      </c>
      <c r="T4" s="9" t="s">
        <v>11</v>
      </c>
      <c r="U4" s="9">
        <f ca="1">COUNTIF(Tabela1[Classe B],T4)</f>
        <v>0</v>
      </c>
      <c r="W4" s="13">
        <v>40.03</v>
      </c>
      <c r="X4" s="9" t="s">
        <v>11</v>
      </c>
      <c r="Y4" s="9">
        <f ca="1">COUNTIF(Tabela1[Classe C],X4)</f>
        <v>0</v>
      </c>
      <c r="Z4"/>
      <c r="AA4"/>
      <c r="AB4">
        <v>73.045000000000002</v>
      </c>
      <c r="AC4" t="s">
        <v>11</v>
      </c>
      <c r="AD4">
        <v>0</v>
      </c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</row>
    <row r="5" spans="1:55" x14ac:dyDescent="0.25">
      <c r="A5" s="2">
        <f t="shared" ca="1" si="0"/>
        <v>3.0083735769408246</v>
      </c>
      <c r="B5" cm="1">
        <f t="array" aca="1" ref="B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5" s="2">
        <f t="shared" ca="1" si="1"/>
        <v>3.0134704026772652</v>
      </c>
      <c r="D5" t="str" cm="1">
        <f t="array" aca="1" ref="D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" s="2">
        <f t="shared" ca="1" si="2"/>
        <v>30.02340243605386</v>
      </c>
      <c r="F5" t="str" cm="1">
        <f t="array" aca="1" ref="F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" s="2">
        <f t="shared" ca="1" si="3"/>
        <v>40.005922284471886</v>
      </c>
      <c r="H5" s="5" t="str" cm="1">
        <f t="array" aca="1" ref="H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K5" s="13">
        <v>3.004</v>
      </c>
      <c r="L5" s="9">
        <v>5</v>
      </c>
      <c r="M5" s="9">
        <f ca="1">COUNTIF(Tabela1[Classe Ø],L5)</f>
        <v>183</v>
      </c>
      <c r="O5" s="13">
        <v>3.04</v>
      </c>
      <c r="P5" s="9" t="s">
        <v>13</v>
      </c>
      <c r="Q5" s="9">
        <f ca="1">COUNTIF(Tabela1[Classe A],P5)</f>
        <v>0</v>
      </c>
      <c r="S5" s="13">
        <v>30.04</v>
      </c>
      <c r="T5" s="9" t="s">
        <v>13</v>
      </c>
      <c r="U5" s="9">
        <f ca="1">COUNTIF(Tabela1[Classe B],T5)</f>
        <v>0</v>
      </c>
      <c r="W5" s="13">
        <v>40.04</v>
      </c>
      <c r="X5" s="9" t="s">
        <v>13</v>
      </c>
      <c r="Y5" s="9">
        <f ca="1">COUNTIF(Tabela1[Classe C],X5)</f>
        <v>0</v>
      </c>
      <c r="Z5"/>
      <c r="AA5"/>
      <c r="AB5">
        <v>73.054999999999993</v>
      </c>
      <c r="AC5" t="s">
        <v>13</v>
      </c>
      <c r="AD5">
        <v>0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</row>
    <row r="6" spans="1:55" x14ac:dyDescent="0.25">
      <c r="A6" s="2">
        <f t="shared" ca="1" si="0"/>
        <v>3.0014966689334033</v>
      </c>
      <c r="B6" cm="1">
        <f t="array" aca="1" ref="B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6" s="2">
        <f t="shared" ca="1" si="1"/>
        <v>3.0103931064616862</v>
      </c>
      <c r="D6" t="str" cm="1">
        <f t="array" aca="1" ref="D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" s="2">
        <f t="shared" ca="1" si="2"/>
        <v>30.010906098777063</v>
      </c>
      <c r="F6" t="str" cm="1">
        <f t="array" aca="1" ref="F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" s="2">
        <f t="shared" ca="1" si="3"/>
        <v>40.01942110424433</v>
      </c>
      <c r="H6" s="5" t="str" cm="1">
        <f t="array" aca="1" ref="H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K6" s="13">
        <v>3.0049999999999999</v>
      </c>
      <c r="L6" s="9">
        <v>6</v>
      </c>
      <c r="M6" s="9">
        <f ca="1">COUNTIF(Tabela1[Classe Ø],L6)</f>
        <v>192</v>
      </c>
      <c r="O6" s="13">
        <v>3.05</v>
      </c>
      <c r="P6" s="9" t="s">
        <v>12</v>
      </c>
      <c r="Q6" s="9">
        <f ca="1">COUNTIF(Tabela1[Classe A],P6)</f>
        <v>0</v>
      </c>
      <c r="S6" s="13">
        <v>30.05</v>
      </c>
      <c r="T6" s="9" t="s">
        <v>12</v>
      </c>
      <c r="U6" s="9">
        <f ca="1">COUNTIF(Tabela1[Classe B],T6)</f>
        <v>0</v>
      </c>
      <c r="W6" s="13">
        <v>40.049999999999997</v>
      </c>
      <c r="X6" s="9" t="s">
        <v>12</v>
      </c>
      <c r="Y6" s="9">
        <f ca="1">COUNTIF(Tabela1[Classe C],X6)</f>
        <v>0</v>
      </c>
      <c r="Z6"/>
      <c r="AA6"/>
      <c r="AB6"/>
      <c r="AC6"/>
      <c r="AD6">
        <f>SUM(AD1:AD5)</f>
        <v>0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</row>
    <row r="7" spans="1:55" x14ac:dyDescent="0.25">
      <c r="A7" s="2">
        <f t="shared" ca="1" si="0"/>
        <v>3.0022868418770341</v>
      </c>
      <c r="B7" cm="1">
        <f t="array" aca="1" ref="B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7" s="2">
        <f t="shared" ca="1" si="1"/>
        <v>3.0194746789672995</v>
      </c>
      <c r="D7" t="str" cm="1">
        <f t="array" aca="1" ref="D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" s="2">
        <f t="shared" ca="1" si="2"/>
        <v>30.028117703961669</v>
      </c>
      <c r="F7" t="str" cm="1">
        <f t="array" aca="1" ref="F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" s="2">
        <f t="shared" ca="1" si="3"/>
        <v>40.025765308743892</v>
      </c>
      <c r="H7" s="5" t="str" cm="1">
        <f t="array" aca="1" ref="H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K7" s="13">
        <v>3.0059999999999998</v>
      </c>
      <c r="L7" s="9">
        <v>7</v>
      </c>
      <c r="M7" s="9">
        <f ca="1">COUNTIF(Tabela1[Classe Ø],L7)</f>
        <v>228</v>
      </c>
      <c r="O7" s="13">
        <v>3.06</v>
      </c>
      <c r="P7" s="9" t="s">
        <v>14</v>
      </c>
      <c r="Q7" s="9">
        <f ca="1">COUNTIF(Tabela1[Classe A],P7)</f>
        <v>0</v>
      </c>
      <c r="S7" s="13">
        <v>30.06</v>
      </c>
      <c r="T7" s="9" t="s">
        <v>14</v>
      </c>
      <c r="U7" s="9">
        <f ca="1">COUNTIF(Tabela1[Classe B],T7)</f>
        <v>0</v>
      </c>
      <c r="W7" s="13">
        <v>40.06</v>
      </c>
      <c r="X7" s="9" t="s">
        <v>14</v>
      </c>
      <c r="Y7" s="9">
        <f ca="1">COUNTIF(Tabela1[Classe C],X7)</f>
        <v>0</v>
      </c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</row>
    <row r="8" spans="1:55" x14ac:dyDescent="0.25">
      <c r="A8" s="2">
        <f t="shared" ca="1" si="0"/>
        <v>3.0035628498879512</v>
      </c>
      <c r="B8" cm="1">
        <f t="array" aca="1" ref="B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8" s="2">
        <f t="shared" ca="1" si="1"/>
        <v>3.0165522394867965</v>
      </c>
      <c r="D8" t="str" cm="1">
        <f t="array" aca="1" ref="D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" s="2">
        <f t="shared" ca="1" si="2"/>
        <v>30.029653654761816</v>
      </c>
      <c r="F8" t="str" cm="1">
        <f t="array" aca="1" ref="F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" s="2">
        <f t="shared" ca="1" si="3"/>
        <v>40.00636748627992</v>
      </c>
      <c r="H8" s="5" t="str" cm="1">
        <f t="array" aca="1" ref="H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K8" s="13">
        <v>3.0070000000000001</v>
      </c>
      <c r="L8" s="9">
        <v>8</v>
      </c>
      <c r="M8" s="9">
        <f ca="1">COUNTIF(Tabela1[Classe Ø],L8)</f>
        <v>215</v>
      </c>
      <c r="O8" s="3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</row>
    <row r="9" spans="1:55" x14ac:dyDescent="0.25">
      <c r="A9" s="2">
        <f t="shared" ca="1" si="0"/>
        <v>3.0075807308230593</v>
      </c>
      <c r="B9" cm="1">
        <f t="array" aca="1" ref="B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9" s="2">
        <f t="shared" ca="1" si="1"/>
        <v>3.0079993200725865</v>
      </c>
      <c r="D9" t="str" cm="1">
        <f t="array" aca="1" ref="D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" s="2">
        <f t="shared" ca="1" si="2"/>
        <v>30.02791516313394</v>
      </c>
      <c r="F9" t="str" cm="1">
        <f t="array" aca="1" ref="F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" s="2">
        <f t="shared" ca="1" si="3"/>
        <v>40.021351051232756</v>
      </c>
      <c r="H9" s="5" t="str" cm="1">
        <f t="array" aca="1" ref="H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K9" s="13">
        <v>3.008</v>
      </c>
      <c r="L9" s="9">
        <v>9</v>
      </c>
      <c r="M9" s="9">
        <f ca="1">COUNTIF(Tabela1[Classe Ø],L9)</f>
        <v>187</v>
      </c>
      <c r="O9" s="3"/>
      <c r="Y9" s="3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</row>
    <row r="10" spans="1:55" x14ac:dyDescent="0.25">
      <c r="A10" s="2">
        <f t="shared" ca="1" si="0"/>
        <v>3.0014368357972621</v>
      </c>
      <c r="B10" cm="1">
        <f t="array" aca="1" ref="B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0" s="2">
        <f t="shared" ca="1" si="1"/>
        <v>3.0039774670475028</v>
      </c>
      <c r="D10" t="str" cm="1">
        <f t="array" aca="1" ref="D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" s="2">
        <f t="shared" ca="1" si="2"/>
        <v>30.014115374161367</v>
      </c>
      <c r="F10" t="str" cm="1">
        <f t="array" aca="1" ref="F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" s="2">
        <f t="shared" ca="1" si="3"/>
        <v>40.019298412310349</v>
      </c>
      <c r="H10" s="5" t="str" cm="1">
        <f t="array" aca="1" ref="H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K10" s="13">
        <v>3.0089999999999999</v>
      </c>
      <c r="L10" s="9">
        <v>10</v>
      </c>
      <c r="M10" s="9">
        <f ca="1">COUNTIF(Tabela1[Classe Ø],L10)</f>
        <v>203</v>
      </c>
      <c r="O10" s="3"/>
      <c r="W10" s="3"/>
      <c r="Y10" s="3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</row>
    <row r="11" spans="1:55" x14ac:dyDescent="0.25">
      <c r="A11" s="2">
        <f t="shared" ca="1" si="0"/>
        <v>3.0063872292224008</v>
      </c>
      <c r="B11" cm="1">
        <f t="array" aca="1" ref="B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" s="2">
        <f t="shared" ca="1" si="1"/>
        <v>3.0297781723272807</v>
      </c>
      <c r="D11" t="str" cm="1">
        <f t="array" aca="1" ref="D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" s="2">
        <f t="shared" ca="1" si="2"/>
        <v>30.008148871174605</v>
      </c>
      <c r="F11" t="str" cm="1">
        <f t="array" aca="1" ref="F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" s="2">
        <f t="shared" ca="1" si="3"/>
        <v>40.003197581762912</v>
      </c>
      <c r="H11" s="5" t="str" cm="1">
        <f t="array" aca="1" ref="H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K11" s="13">
        <v>3.01</v>
      </c>
      <c r="L11" s="9">
        <v>11</v>
      </c>
      <c r="M11" s="9">
        <f ca="1">COUNTIF(Tabela1[Classe Ø],L11)</f>
        <v>0</v>
      </c>
      <c r="O11" s="3"/>
      <c r="Y11" s="3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</row>
    <row r="12" spans="1:55" x14ac:dyDescent="0.25">
      <c r="A12" s="2">
        <f t="shared" ca="1" si="0"/>
        <v>3.0005081135891327</v>
      </c>
      <c r="B12" cm="1">
        <f t="array" aca="1" ref="B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2" s="2">
        <f t="shared" ca="1" si="1"/>
        <v>3.012758739210748</v>
      </c>
      <c r="D12" t="str" cm="1">
        <f t="array" aca="1" ref="D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" s="2">
        <f t="shared" ca="1" si="2"/>
        <v>30.019062391532948</v>
      </c>
      <c r="F12" t="str" cm="1">
        <f t="array" aca="1" ref="F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" s="2">
        <f t="shared" ca="1" si="3"/>
        <v>40.010895693859403</v>
      </c>
      <c r="H12" s="5" t="str" cm="1">
        <f t="array" aca="1" ref="H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O12" s="3"/>
      <c r="W12" s="3"/>
      <c r="Y12" s="3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</row>
    <row r="13" spans="1:55" x14ac:dyDescent="0.25">
      <c r="A13" s="2">
        <f t="shared" ca="1" si="0"/>
        <v>3.0037614882166226</v>
      </c>
      <c r="B13" cm="1">
        <f t="array" aca="1" ref="B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3" s="2">
        <f t="shared" ca="1" si="1"/>
        <v>3.0197082331061575</v>
      </c>
      <c r="D13" t="str" cm="1">
        <f t="array" aca="1" ref="D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" s="2">
        <f t="shared" ca="1" si="2"/>
        <v>30.024353135339418</v>
      </c>
      <c r="F13" t="str" cm="1">
        <f t="array" aca="1" ref="F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" s="2">
        <f t="shared" ca="1" si="3"/>
        <v>40.006248319928716</v>
      </c>
      <c r="H13" s="5" t="str" cm="1">
        <f t="array" aca="1" ref="H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W13" s="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</row>
    <row r="14" spans="1:55" x14ac:dyDescent="0.25">
      <c r="A14" s="2">
        <f t="shared" ca="1" si="0"/>
        <v>3.0063610376309806</v>
      </c>
      <c r="B14" cm="1">
        <f t="array" aca="1" ref="B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4" s="2">
        <f t="shared" ca="1" si="1"/>
        <v>3.0077478067167864</v>
      </c>
      <c r="D14" t="str" cm="1">
        <f t="array" aca="1" ref="D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" s="2">
        <f t="shared" ca="1" si="2"/>
        <v>30.009995957688012</v>
      </c>
      <c r="F14" t="str" cm="1">
        <f t="array" aca="1" ref="F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" s="2">
        <f t="shared" ca="1" si="3"/>
        <v>40.010009531008336</v>
      </c>
      <c r="H14" s="5" t="str" cm="1">
        <f t="array" aca="1" ref="H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</row>
    <row r="15" spans="1:55" x14ac:dyDescent="0.25">
      <c r="A15" s="2">
        <f t="shared" ca="1" si="0"/>
        <v>3.0004747758718824</v>
      </c>
      <c r="B15" cm="1">
        <f t="array" aca="1" ref="B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5" s="2">
        <f t="shared" ca="1" si="1"/>
        <v>3.0204421268084269</v>
      </c>
      <c r="D15" t="str" cm="1">
        <f t="array" aca="1" ref="D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" s="2">
        <f t="shared" ca="1" si="2"/>
        <v>30.005295292257795</v>
      </c>
      <c r="F15" t="str" cm="1">
        <f t="array" aca="1" ref="F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" s="2">
        <f t="shared" ca="1" si="3"/>
        <v>40.001409461985936</v>
      </c>
      <c r="H15" s="5" t="str" cm="1">
        <f t="array" aca="1" ref="H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K15" s="6">
        <f ca="1">SUM(K17:K23)</f>
        <v>199</v>
      </c>
      <c r="L15" s="6">
        <f t="shared" ref="L15:U15" ca="1" si="4">SUM(L17:L23)</f>
        <v>196</v>
      </c>
      <c r="M15" s="6">
        <f t="shared" ca="1" si="4"/>
        <v>198</v>
      </c>
      <c r="N15" s="6">
        <f t="shared" ca="1" si="4"/>
        <v>199</v>
      </c>
      <c r="O15" s="6">
        <f t="shared" ca="1" si="4"/>
        <v>183</v>
      </c>
      <c r="P15" s="6">
        <f t="shared" ca="1" si="4"/>
        <v>192</v>
      </c>
      <c r="Q15" s="6">
        <f t="shared" ca="1" si="4"/>
        <v>228</v>
      </c>
      <c r="R15" s="6">
        <f t="shared" ca="1" si="4"/>
        <v>215</v>
      </c>
      <c r="S15" s="6">
        <f t="shared" ca="1" si="4"/>
        <v>187</v>
      </c>
      <c r="T15" s="6">
        <f t="shared" ca="1" si="4"/>
        <v>203</v>
      </c>
      <c r="U15" s="6">
        <f t="shared" ca="1" si="4"/>
        <v>0</v>
      </c>
    </row>
    <row r="16" spans="1:55" x14ac:dyDescent="0.25">
      <c r="A16" s="2">
        <f t="shared" ca="1" si="0"/>
        <v>3.0091739843433696</v>
      </c>
      <c r="B16" cm="1">
        <f t="array" aca="1" ref="B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6" s="2">
        <f t="shared" ca="1" si="1"/>
        <v>3.0232537170921252</v>
      </c>
      <c r="D16" t="str" cm="1">
        <f t="array" aca="1" ref="D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" s="2">
        <f t="shared" ca="1" si="2"/>
        <v>30.011550664032733</v>
      </c>
      <c r="F16" t="str" cm="1">
        <f t="array" aca="1" ref="F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" s="2">
        <f t="shared" ca="1" si="3"/>
        <v>40.002402989134659</v>
      </c>
      <c r="H16" s="5" t="str" cm="1">
        <f t="array" aca="1" ref="H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J16" s="9"/>
      <c r="K16" s="10">
        <v>1</v>
      </c>
      <c r="L16" s="10">
        <v>2</v>
      </c>
      <c r="M16" s="10">
        <v>3</v>
      </c>
      <c r="N16" s="10">
        <v>4</v>
      </c>
      <c r="O16" s="10">
        <v>5</v>
      </c>
      <c r="P16" s="10">
        <v>6</v>
      </c>
      <c r="Q16" s="10">
        <v>7</v>
      </c>
      <c r="R16" s="10">
        <v>8</v>
      </c>
      <c r="S16" s="10">
        <v>9</v>
      </c>
      <c r="T16" s="10">
        <v>10</v>
      </c>
      <c r="U16" s="7">
        <v>11</v>
      </c>
    </row>
    <row r="17" spans="1:89" x14ac:dyDescent="0.25">
      <c r="A17" s="2">
        <f t="shared" ca="1" si="0"/>
        <v>3.0011410824971727</v>
      </c>
      <c r="B17" cm="1">
        <f t="array" aca="1" ref="B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7" s="2">
        <f t="shared" ca="1" si="1"/>
        <v>3.0066201320481221</v>
      </c>
      <c r="D17" t="str" cm="1">
        <f t="array" aca="1" ref="D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" s="2">
        <f t="shared" ca="1" si="2"/>
        <v>30.011666643081387</v>
      </c>
      <c r="F17" t="str" cm="1">
        <f t="array" aca="1" ref="F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" s="2">
        <f t="shared" ca="1" si="3"/>
        <v>40.016353044420505</v>
      </c>
      <c r="H17" s="5" t="str" cm="1">
        <f t="array" aca="1" ref="H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J17" s="11" t="s">
        <v>8</v>
      </c>
      <c r="K17" s="12">
        <f ca="1">COUNTIFS(Tabela1[Classe Ø],K$16,Tabela1[Classe A],$J17)</f>
        <v>56</v>
      </c>
      <c r="L17" s="12">
        <f ca="1">COUNTIFS(Tabela1[Classe Ø],L$16,Tabela1[Classe A],$J17)</f>
        <v>69</v>
      </c>
      <c r="M17" s="12">
        <f ca="1">COUNTIFS(Tabela1[Classe Ø],M$16,Tabela1[Classe A],$J17)</f>
        <v>65</v>
      </c>
      <c r="N17" s="12">
        <f ca="1">COUNTIFS(Tabela1[Classe Ø],N$16,Tabela1[Classe A],$J17)</f>
        <v>60</v>
      </c>
      <c r="O17" s="12">
        <f ca="1">COUNTIFS(Tabela1[Classe Ø],O$16,Tabela1[Classe A],$J17)</f>
        <v>65</v>
      </c>
      <c r="P17" s="12">
        <f ca="1">COUNTIFS(Tabela1[Classe Ø],P$16,Tabela1[Classe A],$J17)</f>
        <v>57</v>
      </c>
      <c r="Q17" s="12">
        <f ca="1">COUNTIFS(Tabela1[Classe Ø],Q$16,Tabela1[Classe A],$J17)</f>
        <v>66</v>
      </c>
      <c r="R17" s="12">
        <f ca="1">COUNTIFS(Tabela1[Classe Ø],R$16,Tabela1[Classe A],$J17)</f>
        <v>62</v>
      </c>
      <c r="S17" s="12">
        <f ca="1">COUNTIFS(Tabela1[Classe Ø],S$16,Tabela1[Classe A],$J17)</f>
        <v>60</v>
      </c>
      <c r="T17" s="12">
        <f ca="1">COUNTIFS(Tabela1[Classe Ø],T$16,Tabela1[Classe A],$J17)</f>
        <v>54</v>
      </c>
      <c r="U17" s="6">
        <f ca="1">COUNTIFS(Tabela1[Classe Ø],U$16,Tabela1[Classe A],$J17)</f>
        <v>0</v>
      </c>
      <c r="V17" s="6">
        <f ca="1">SUM(K17:T17)</f>
        <v>614</v>
      </c>
      <c r="X17" s="14">
        <f>_xlfn.XLOOKUP(Y17,$T$1:$T$7,$S$1:$S$7,"ERRO",0,1)+_xlfn.XLOOKUP(Z17,$X$1:$X$7,$W$1:$W$7,"ERRO",0,1)+_xlfn.XLOOKUP(AA17,$P$1:$P$7,$O$1:$O$7,"ERRO",0,1)</f>
        <v>73.050000000000011</v>
      </c>
      <c r="Y17" s="1" t="s">
        <v>9</v>
      </c>
      <c r="Z17" s="1" t="s">
        <v>11</v>
      </c>
      <c r="AA17" s="1" t="s">
        <v>9</v>
      </c>
    </row>
    <row r="18" spans="1:89" x14ac:dyDescent="0.25">
      <c r="A18" s="2">
        <f t="shared" ca="1" si="0"/>
        <v>3.0036951950640045</v>
      </c>
      <c r="B18" cm="1">
        <f t="array" aca="1" ref="B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8" s="2">
        <f t="shared" ca="1" si="1"/>
        <v>3.0271476429065078</v>
      </c>
      <c r="D18" t="str" cm="1">
        <f t="array" aca="1" ref="D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" s="2">
        <f t="shared" ca="1" si="2"/>
        <v>30.008136594688867</v>
      </c>
      <c r="F18" t="str" cm="1">
        <f t="array" aca="1" ref="F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" s="2">
        <f t="shared" ca="1" si="3"/>
        <v>40.025026578797153</v>
      </c>
      <c r="H18" s="5" t="str" cm="1">
        <f t="array" aca="1" ref="H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J18" s="11" t="s">
        <v>9</v>
      </c>
      <c r="K18" s="12">
        <f ca="1">COUNTIFS(Tabela1[Classe Ø],K$16,Tabela1[Classe A],$J18)</f>
        <v>75</v>
      </c>
      <c r="L18" s="12">
        <f ca="1">COUNTIFS(Tabela1[Classe Ø],L$16,Tabela1[Classe A],$J18)</f>
        <v>70</v>
      </c>
      <c r="M18" s="12">
        <f ca="1">COUNTIFS(Tabela1[Classe Ø],M$16,Tabela1[Classe A],$J18)</f>
        <v>72</v>
      </c>
      <c r="N18" s="12">
        <f ca="1">COUNTIFS(Tabela1[Classe Ø],N$16,Tabela1[Classe A],$J18)</f>
        <v>69</v>
      </c>
      <c r="O18" s="12">
        <f ca="1">COUNTIFS(Tabela1[Classe Ø],O$16,Tabela1[Classe A],$J18)</f>
        <v>53</v>
      </c>
      <c r="P18" s="12">
        <f ca="1">COUNTIFS(Tabela1[Classe Ø],P$16,Tabela1[Classe A],$J18)</f>
        <v>61</v>
      </c>
      <c r="Q18" s="12">
        <f ca="1">COUNTIFS(Tabela1[Classe Ø],Q$16,Tabela1[Classe A],$J18)</f>
        <v>77</v>
      </c>
      <c r="R18" s="12">
        <f ca="1">COUNTIFS(Tabela1[Classe Ø],R$16,Tabela1[Classe A],$J18)</f>
        <v>66</v>
      </c>
      <c r="S18" s="12">
        <f ca="1">COUNTIFS(Tabela1[Classe Ø],S$16,Tabela1[Classe A],$J18)</f>
        <v>62</v>
      </c>
      <c r="T18" s="12">
        <f ca="1">COUNTIFS(Tabela1[Classe Ø],T$16,Tabela1[Classe A],$J18)</f>
        <v>66</v>
      </c>
      <c r="U18" s="6">
        <f ca="1">COUNTIFS(Tabela1[Classe Ø],U$16,Tabela1[Classe A],$J18)</f>
        <v>0</v>
      </c>
      <c r="V18" s="6">
        <f t="shared" ref="V18:V23" ca="1" si="5">SUM(K18:T18)</f>
        <v>671</v>
      </c>
    </row>
    <row r="19" spans="1:89" ht="15.75" thickBot="1" x14ac:dyDescent="0.3">
      <c r="A19" s="2">
        <f t="shared" ca="1" si="0"/>
        <v>3.0078445369986833</v>
      </c>
      <c r="B19" cm="1">
        <f t="array" aca="1" ref="B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9" s="2">
        <f t="shared" ca="1" si="1"/>
        <v>3.0273547806426815</v>
      </c>
      <c r="D19" t="str" cm="1">
        <f t="array" aca="1" ref="D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" s="2">
        <f t="shared" ca="1" si="2"/>
        <v>30.011179424116719</v>
      </c>
      <c r="F19" t="str" cm="1">
        <f t="array" aca="1" ref="F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" s="2">
        <f t="shared" ca="1" si="3"/>
        <v>40.023004138833151</v>
      </c>
      <c r="H19" s="5" t="str" cm="1">
        <f t="array" aca="1" ref="H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J19" s="11" t="s">
        <v>10</v>
      </c>
      <c r="K19" s="12">
        <f ca="1">COUNTIFS(Tabela1[Classe Ø],K$16,Tabela1[Classe A],$J19)</f>
        <v>68</v>
      </c>
      <c r="L19" s="12">
        <f ca="1">COUNTIFS(Tabela1[Classe Ø],L$16,Tabela1[Classe A],$J19)</f>
        <v>57</v>
      </c>
      <c r="M19" s="12">
        <f ca="1">COUNTIFS(Tabela1[Classe Ø],M$16,Tabela1[Classe A],$J19)</f>
        <v>61</v>
      </c>
      <c r="N19" s="12">
        <f ca="1">COUNTIFS(Tabela1[Classe Ø],N$16,Tabela1[Classe A],$J19)</f>
        <v>70</v>
      </c>
      <c r="O19" s="12">
        <f ca="1">COUNTIFS(Tabela1[Classe Ø],O$16,Tabela1[Classe A],$J19)</f>
        <v>65</v>
      </c>
      <c r="P19" s="12">
        <f ca="1">COUNTIFS(Tabela1[Classe Ø],P$16,Tabela1[Classe A],$J19)</f>
        <v>74</v>
      </c>
      <c r="Q19" s="12">
        <f ca="1">COUNTIFS(Tabela1[Classe Ø],Q$16,Tabela1[Classe A],$J19)</f>
        <v>85</v>
      </c>
      <c r="R19" s="12">
        <f ca="1">COUNTIFS(Tabela1[Classe Ø],R$16,Tabela1[Classe A],$J19)</f>
        <v>87</v>
      </c>
      <c r="S19" s="12">
        <f ca="1">COUNTIFS(Tabela1[Classe Ø],S$16,Tabela1[Classe A],$J19)</f>
        <v>65</v>
      </c>
      <c r="T19" s="12">
        <f ca="1">COUNTIFS(Tabela1[Classe Ø],T$16,Tabela1[Classe A],$J19)</f>
        <v>83</v>
      </c>
      <c r="U19" s="6">
        <f ca="1">COUNTIFS(Tabela1[Classe Ø],U$16,Tabela1[Classe A],$J19)</f>
        <v>0</v>
      </c>
      <c r="V19" s="6">
        <f t="shared" ca="1" si="5"/>
        <v>715</v>
      </c>
      <c r="AE19" s="48">
        <f ca="1">SUM(AE20:AE38)/2000</f>
        <v>0.315</v>
      </c>
      <c r="AG19"/>
      <c r="AH19"/>
      <c r="AI19"/>
      <c r="AJ19"/>
      <c r="AK19"/>
      <c r="AL19"/>
      <c r="AM19"/>
      <c r="AN19"/>
      <c r="AO19" s="49">
        <f ca="1">SUM(AO20:AO38)/2000</f>
        <v>0.315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</row>
    <row r="20" spans="1:89" x14ac:dyDescent="0.25">
      <c r="A20" s="2">
        <f t="shared" ca="1" si="0"/>
        <v>3.001978706192173</v>
      </c>
      <c r="B20" cm="1">
        <f t="array" aca="1" ref="B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20" s="2">
        <f t="shared" ca="1" si="1"/>
        <v>3.0042852274347482</v>
      </c>
      <c r="D20" t="str" cm="1">
        <f t="array" aca="1" ref="D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0" s="2">
        <f t="shared" ca="1" si="2"/>
        <v>30.019215771451901</v>
      </c>
      <c r="F20" t="str" cm="1">
        <f t="array" aca="1" ref="F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0" s="2">
        <f t="shared" ca="1" si="3"/>
        <v>40.019793886677107</v>
      </c>
      <c r="H20" s="5" t="str" cm="1">
        <f t="array" aca="1" ref="H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J20" s="11" t="s">
        <v>11</v>
      </c>
      <c r="K20" s="12">
        <f ca="1">COUNTIFS(Tabela1[Classe Ø],K$16,Tabela1[Classe A],$J20)</f>
        <v>0</v>
      </c>
      <c r="L20" s="12">
        <f ca="1">COUNTIFS(Tabela1[Classe Ø],L$16,Tabela1[Classe A],$J20)</f>
        <v>0</v>
      </c>
      <c r="M20" s="12">
        <f ca="1">COUNTIFS(Tabela1[Classe Ø],M$16,Tabela1[Classe A],$J20)</f>
        <v>0</v>
      </c>
      <c r="N20" s="12">
        <f ca="1">COUNTIFS(Tabela1[Classe Ø],N$16,Tabela1[Classe A],$J20)</f>
        <v>0</v>
      </c>
      <c r="O20" s="12">
        <f ca="1">COUNTIFS(Tabela1[Classe Ø],O$16,Tabela1[Classe A],$J20)</f>
        <v>0</v>
      </c>
      <c r="P20" s="12">
        <f ca="1">COUNTIFS(Tabela1[Classe Ø],P$16,Tabela1[Classe A],$J20)</f>
        <v>0</v>
      </c>
      <c r="Q20" s="12">
        <f ca="1">COUNTIFS(Tabela1[Classe Ø],Q$16,Tabela1[Classe A],$J20)</f>
        <v>0</v>
      </c>
      <c r="R20" s="12">
        <f ca="1">COUNTIFS(Tabela1[Classe Ø],R$16,Tabela1[Classe A],$J20)</f>
        <v>0</v>
      </c>
      <c r="S20" s="12">
        <f ca="1">COUNTIFS(Tabela1[Classe Ø],S$16,Tabela1[Classe A],$J20)</f>
        <v>0</v>
      </c>
      <c r="T20" s="12">
        <f ca="1">COUNTIFS(Tabela1[Classe Ø],T$16,Tabela1[Classe A],$J20)</f>
        <v>0</v>
      </c>
      <c r="U20" s="6">
        <f ca="1">COUNTIFS(Tabela1[Classe Ø],U$16,Tabela1[Classe A],$J20)</f>
        <v>0</v>
      </c>
      <c r="V20" s="6">
        <f t="shared" ca="1" si="5"/>
        <v>0</v>
      </c>
      <c r="X20" s="1">
        <f t="shared" ref="X20:X22" si="6">_xlfn.XLOOKUP(Y20,$T$1:$T$7,$S$1:$S$7,"ERRO",0,1)+_xlfn.XLOOKUP(Z20,$X$1:$X$7,$W$1:$W$7,"ERRO",0,1)+_xlfn.XLOOKUP(AA20,$P$1:$P$7,$O$1:$O$7,"ERRO",0,1)</f>
        <v>73.06</v>
      </c>
      <c r="Y20" s="17" t="s">
        <v>10</v>
      </c>
      <c r="Z20" s="18" t="s">
        <v>13</v>
      </c>
      <c r="AA20" s="40" t="s">
        <v>8</v>
      </c>
      <c r="AB20" s="18">
        <f ca="1">_xlfn.XLOOKUP(Y20,$T$1:$T$7,$U$1:$U$7,"erro",0,1)-AE24-AE29-AE34-AE38</f>
        <v>0</v>
      </c>
      <c r="AC20" s="18">
        <f ca="1">_xlfn.XLOOKUP(Z20,$X$1:$X$7,$Y$1:$Y$7,"erro",0,1)-AE23-AE27</f>
        <v>0</v>
      </c>
      <c r="AD20" s="18">
        <f ca="1">_xlfn.XLOOKUP(AA20,$P$1:$P$7,$Q$1:$Q$7,"erro",0,1)-AE21</f>
        <v>614</v>
      </c>
      <c r="AE20" s="20">
        <f t="shared" ref="AE20:AE22" ca="1" si="7">SMALL(AB20:AD20,1)</f>
        <v>0</v>
      </c>
      <c r="AF20" s="21">
        <f t="shared" ref="AF20:AF22" ca="1" si="8">AD20-AE20</f>
        <v>614</v>
      </c>
      <c r="AG20" s="46">
        <v>18</v>
      </c>
      <c r="AH20" s="1">
        <f t="shared" ref="AH20:AH22" si="9">_xlfn.XLOOKUP(AI20,$T$1:$T$7,$S$1:$S$7,"ERRO",0,1)+_xlfn.XLOOKUP(AJ20,$X$1:$X$7,$W$1:$W$7,"ERRO",0,1)+_xlfn.XLOOKUP(AK20,$P$1:$P$7,$O$1:$O$7,"ERRO",0,1)</f>
        <v>73.06</v>
      </c>
      <c r="AI20" s="17" t="s">
        <v>10</v>
      </c>
      <c r="AJ20" s="18" t="s">
        <v>13</v>
      </c>
      <c r="AK20" s="40" t="s">
        <v>8</v>
      </c>
      <c r="AL20" s="18">
        <f ca="1">_xlfn.XLOOKUP(AI20,$T$1:$T$7,$U$1:$U$7,"erro",0,1)-AO38</f>
        <v>630</v>
      </c>
      <c r="AM20" s="18">
        <f ca="1">_xlfn.XLOOKUP(AJ20,$X$1:$X$7,$Y$1:$Y$7,"erro",0,1)</f>
        <v>0</v>
      </c>
      <c r="AN20" s="18">
        <f ca="1">_xlfn.XLOOKUP(AK20,$P$1:$P$7,$Q$1:$Q$7,"erro",0,1)</f>
        <v>614</v>
      </c>
      <c r="AO20" s="43">
        <f t="shared" ref="AO20:AO28" ca="1" si="10">SMALL(AL20:AN20,1)</f>
        <v>0</v>
      </c>
      <c r="AP20" s="21">
        <f t="shared" ref="AP20:AP26" ca="1" si="11">AN20-AO20</f>
        <v>614</v>
      </c>
      <c r="AQ20" s="46">
        <v>2</v>
      </c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</row>
    <row r="21" spans="1:89" x14ac:dyDescent="0.25">
      <c r="A21" s="2">
        <f t="shared" ca="1" si="0"/>
        <v>3.0015577872850283</v>
      </c>
      <c r="B21" cm="1">
        <f t="array" aca="1" ref="B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21" s="2">
        <f t="shared" ca="1" si="1"/>
        <v>3.0069749520080733</v>
      </c>
      <c r="D21" t="str" cm="1">
        <f t="array" aca="1" ref="D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1" s="2">
        <f t="shared" ca="1" si="2"/>
        <v>30.015461266081743</v>
      </c>
      <c r="F21" t="str" cm="1">
        <f t="array" aca="1" ref="F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1" s="2">
        <f t="shared" ca="1" si="3"/>
        <v>40.015916141451314</v>
      </c>
      <c r="H21" s="5" t="str" cm="1">
        <f t="array" aca="1" ref="H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J21" s="11" t="s">
        <v>13</v>
      </c>
      <c r="K21" s="12">
        <f ca="1">COUNTIFS(Tabela1[Classe Ø],K$16,Tabela1[Classe A],$J21)</f>
        <v>0</v>
      </c>
      <c r="L21" s="12">
        <f ca="1">COUNTIFS(Tabela1[Classe Ø],L$16,Tabela1[Classe A],$J21)</f>
        <v>0</v>
      </c>
      <c r="M21" s="12">
        <f ca="1">COUNTIFS(Tabela1[Classe Ø],M$16,Tabela1[Classe A],$J21)</f>
        <v>0</v>
      </c>
      <c r="N21" s="12">
        <f ca="1">COUNTIFS(Tabela1[Classe Ø],N$16,Tabela1[Classe A],$J21)</f>
        <v>0</v>
      </c>
      <c r="O21" s="12">
        <f ca="1">COUNTIFS(Tabela1[Classe Ø],O$16,Tabela1[Classe A],$J21)</f>
        <v>0</v>
      </c>
      <c r="P21" s="12">
        <f ca="1">COUNTIFS(Tabela1[Classe Ø],P$16,Tabela1[Classe A],$J21)</f>
        <v>0</v>
      </c>
      <c r="Q21" s="12">
        <f ca="1">COUNTIFS(Tabela1[Classe Ø],Q$16,Tabela1[Classe A],$J21)</f>
        <v>0</v>
      </c>
      <c r="R21" s="12">
        <f ca="1">COUNTIFS(Tabela1[Classe Ø],R$16,Tabela1[Classe A],$J21)</f>
        <v>0</v>
      </c>
      <c r="S21" s="12">
        <f ca="1">COUNTIFS(Tabela1[Classe Ø],S$16,Tabela1[Classe A],$J21)</f>
        <v>0</v>
      </c>
      <c r="T21" s="12">
        <f ca="1">COUNTIFS(Tabela1[Classe Ø],T$16,Tabela1[Classe A],$J21)</f>
        <v>0</v>
      </c>
      <c r="U21" s="6">
        <f ca="1">COUNTIFS(Tabela1[Classe Ø],U$16,Tabela1[Classe A],$J21)</f>
        <v>0</v>
      </c>
      <c r="V21" s="6">
        <f t="shared" ca="1" si="5"/>
        <v>0</v>
      </c>
      <c r="X21" s="1">
        <f t="shared" si="6"/>
        <v>73.06</v>
      </c>
      <c r="Y21" s="22" t="s">
        <v>11</v>
      </c>
      <c r="Z21" s="9" t="s">
        <v>11</v>
      </c>
      <c r="AA21" s="41" t="s">
        <v>8</v>
      </c>
      <c r="AB21" s="9">
        <f ca="1">_xlfn.XLOOKUP(Y21,$T$1:$T$7,$U$1:$U$7,"erro",0,1)-AE25-AE30-AE35</f>
        <v>0</v>
      </c>
      <c r="AC21" s="9">
        <f ca="1">_xlfn.XLOOKUP(Z21,$X$1:$X$7,$Y$1:$Y$7,"erro",0,1)-AE24-AE28-AE32</f>
        <v>0</v>
      </c>
      <c r="AD21" s="9">
        <f ca="1">_xlfn.XLOOKUP(AA21,$P$1:$P$7,$Q$1:$Q$7,"erro",0,1)</f>
        <v>614</v>
      </c>
      <c r="AE21" s="25">
        <f t="shared" ca="1" si="7"/>
        <v>0</v>
      </c>
      <c r="AF21" s="24">
        <f t="shared" ca="1" si="8"/>
        <v>614</v>
      </c>
      <c r="AG21" s="46">
        <v>17</v>
      </c>
      <c r="AH21" s="1">
        <f t="shared" si="9"/>
        <v>73.06</v>
      </c>
      <c r="AI21" s="22" t="s">
        <v>11</v>
      </c>
      <c r="AJ21" s="9" t="s">
        <v>11</v>
      </c>
      <c r="AK21" s="41" t="s">
        <v>8</v>
      </c>
      <c r="AL21" s="9">
        <f t="shared" ref="AL21:AL22" ca="1" si="12">_xlfn.XLOOKUP(AI21,$T$1:$T$7,$U$1:$U$7,"erro",0,1)</f>
        <v>0</v>
      </c>
      <c r="AM21" s="9">
        <f ca="1">_xlfn.XLOOKUP(AJ21,$X$1:$X$7,$Y$1:$Y$7,"erro",0,1)</f>
        <v>0</v>
      </c>
      <c r="AN21" s="9">
        <f ca="1">_xlfn.XLOOKUP(AK21,$P$1:$P$7,$Q$1:$Q$7,"erro",0,1)-AO20-AO22</f>
        <v>614</v>
      </c>
      <c r="AO21" s="44">
        <f t="shared" ca="1" si="10"/>
        <v>0</v>
      </c>
      <c r="AP21" s="24">
        <f t="shared" ca="1" si="11"/>
        <v>614</v>
      </c>
      <c r="AQ21" s="46">
        <v>6</v>
      </c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</row>
    <row r="22" spans="1:89" ht="15.75" thickBot="1" x14ac:dyDescent="0.3">
      <c r="A22" s="2">
        <f t="shared" ca="1" si="0"/>
        <v>3.0078121183635051</v>
      </c>
      <c r="B22" cm="1">
        <f t="array" aca="1" ref="B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22" s="2">
        <f t="shared" ca="1" si="1"/>
        <v>3.0005373004375828</v>
      </c>
      <c r="D22" t="str" cm="1">
        <f t="array" aca="1" ref="D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2" s="2">
        <f t="shared" ca="1" si="2"/>
        <v>30.005738453495976</v>
      </c>
      <c r="F22" t="str" cm="1">
        <f t="array" aca="1" ref="F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2" s="2">
        <f t="shared" ca="1" si="3"/>
        <v>40.021897748704426</v>
      </c>
      <c r="H22" s="5" t="str" cm="1">
        <f t="array" aca="1" ref="H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J22" s="8" t="s">
        <v>12</v>
      </c>
      <c r="K22" s="6">
        <f ca="1">COUNTIFS(Tabela1[Classe Ø],K$16,Tabela1[Classe A],$J22)</f>
        <v>0</v>
      </c>
      <c r="L22" s="6">
        <f ca="1">COUNTIFS(Tabela1[Classe Ø],L$16,Tabela1[Classe A],$J22)</f>
        <v>0</v>
      </c>
      <c r="M22" s="6">
        <f ca="1">COUNTIFS(Tabela1[Classe Ø],M$16,Tabela1[Classe A],$J22)</f>
        <v>0</v>
      </c>
      <c r="N22" s="6">
        <f ca="1">COUNTIFS(Tabela1[Classe Ø],N$16,Tabela1[Classe A],$J22)</f>
        <v>0</v>
      </c>
      <c r="O22" s="6">
        <f ca="1">COUNTIFS(Tabela1[Classe Ø],O$16,Tabela1[Classe A],$J22)</f>
        <v>0</v>
      </c>
      <c r="P22" s="6">
        <f ca="1">COUNTIFS(Tabela1[Classe Ø],P$16,Tabela1[Classe A],$J22)</f>
        <v>0</v>
      </c>
      <c r="Q22" s="6">
        <f ca="1">COUNTIFS(Tabela1[Classe Ø],Q$16,Tabela1[Classe A],$J22)</f>
        <v>0</v>
      </c>
      <c r="R22" s="6">
        <f ca="1">COUNTIFS(Tabela1[Classe Ø],R$16,Tabela1[Classe A],$J22)</f>
        <v>0</v>
      </c>
      <c r="S22" s="6">
        <f ca="1">COUNTIFS(Tabela1[Classe Ø],S$16,Tabela1[Classe A],$J22)</f>
        <v>0</v>
      </c>
      <c r="T22" s="6">
        <f ca="1">COUNTIFS(Tabela1[Classe Ø],T$16,Tabela1[Classe A],$J22)</f>
        <v>0</v>
      </c>
      <c r="U22" s="6">
        <f ca="1">COUNTIFS(Tabela1[Classe Ø],U$16,Tabela1[Classe A],$J22)</f>
        <v>0</v>
      </c>
      <c r="V22" s="6">
        <f t="shared" ca="1" si="5"/>
        <v>0</v>
      </c>
      <c r="X22" s="1">
        <f t="shared" si="6"/>
        <v>73.06</v>
      </c>
      <c r="Y22" s="26" t="s">
        <v>13</v>
      </c>
      <c r="Z22" s="27" t="s">
        <v>10</v>
      </c>
      <c r="AA22" s="42" t="s">
        <v>8</v>
      </c>
      <c r="AB22" s="27">
        <f ca="1">_xlfn.XLOOKUP(Y22,$T$1:$T$7,$U$1:$U$7,"erro",0,1)-AE26-AE31</f>
        <v>0</v>
      </c>
      <c r="AC22" s="27">
        <f ca="1">_xlfn.XLOOKUP(Z22,$X$1:$X$7,$Y$1:$Y$7,"erro",0,1)-AE25-AE29-AE33-AE36</f>
        <v>42</v>
      </c>
      <c r="AD22" s="27">
        <f ca="1">_xlfn.XLOOKUP(AA22,$P$1:$P$7,$Q$1:$Q$7,"erro",0,1)-AE21-AE20</f>
        <v>614</v>
      </c>
      <c r="AE22" s="33">
        <f t="shared" ca="1" si="7"/>
        <v>0</v>
      </c>
      <c r="AF22" s="30">
        <f t="shared" ca="1" si="8"/>
        <v>614</v>
      </c>
      <c r="AG22" s="46">
        <v>19</v>
      </c>
      <c r="AH22" s="1">
        <f t="shared" si="9"/>
        <v>73.06</v>
      </c>
      <c r="AI22" s="26" t="s">
        <v>13</v>
      </c>
      <c r="AJ22" s="27" t="s">
        <v>10</v>
      </c>
      <c r="AK22" s="42" t="s">
        <v>8</v>
      </c>
      <c r="AL22" s="27">
        <f t="shared" ca="1" si="12"/>
        <v>0</v>
      </c>
      <c r="AM22" s="27">
        <f ca="1">_xlfn.XLOOKUP(AJ22,$X$1:$X$7,$Y$1:$Y$7,"erro",0,1)</f>
        <v>672</v>
      </c>
      <c r="AN22" s="27">
        <f ca="1">_xlfn.XLOOKUP(AK22,$P$1:$P$7,$Q$1:$Q$7,"erro",0,1)-AO20</f>
        <v>614</v>
      </c>
      <c r="AO22" s="33">
        <f t="shared" ca="1" si="10"/>
        <v>0</v>
      </c>
      <c r="AP22" s="30">
        <f t="shared" ca="1" si="11"/>
        <v>614</v>
      </c>
      <c r="AQ22" s="46">
        <v>3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</row>
    <row r="23" spans="1:89" x14ac:dyDescent="0.25">
      <c r="A23" s="2">
        <f t="shared" ca="1" si="0"/>
        <v>3.0062593580855337</v>
      </c>
      <c r="B23" cm="1">
        <f t="array" aca="1" ref="B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23" s="2">
        <f t="shared" ca="1" si="1"/>
        <v>3.0232964699833409</v>
      </c>
      <c r="D23" t="str" cm="1">
        <f t="array" aca="1" ref="D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3" s="2">
        <f t="shared" ca="1" si="2"/>
        <v>30.013499345527286</v>
      </c>
      <c r="F23" t="str" cm="1">
        <f t="array" aca="1" ref="F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3" s="2">
        <f t="shared" ca="1" si="3"/>
        <v>40.013422147402586</v>
      </c>
      <c r="H23" s="5" t="str" cm="1">
        <f t="array" aca="1" ref="H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J23" s="8" t="s">
        <v>14</v>
      </c>
      <c r="K23" s="6">
        <f ca="1">COUNTIFS(Tabela1[Classe Ø],K$16,Tabela1[Classe A],$J23)</f>
        <v>0</v>
      </c>
      <c r="L23" s="6">
        <f ca="1">COUNTIFS(Tabela1[Classe Ø],L$16,Tabela1[Classe A],$J23)</f>
        <v>0</v>
      </c>
      <c r="M23" s="6">
        <f ca="1">COUNTIFS(Tabela1[Classe Ø],M$16,Tabela1[Classe A],$J23)</f>
        <v>0</v>
      </c>
      <c r="N23" s="6">
        <f ca="1">COUNTIFS(Tabela1[Classe Ø],N$16,Tabela1[Classe A],$J23)</f>
        <v>0</v>
      </c>
      <c r="O23" s="6">
        <f ca="1">COUNTIFS(Tabela1[Classe Ø],O$16,Tabela1[Classe A],$J23)</f>
        <v>0</v>
      </c>
      <c r="P23" s="6">
        <f ca="1">COUNTIFS(Tabela1[Classe Ø],P$16,Tabela1[Classe A],$J23)</f>
        <v>0</v>
      </c>
      <c r="Q23" s="6">
        <f ca="1">COUNTIFS(Tabela1[Classe Ø],Q$16,Tabela1[Classe A],$J23)</f>
        <v>0</v>
      </c>
      <c r="R23" s="6">
        <f ca="1">COUNTIFS(Tabela1[Classe Ø],R$16,Tabela1[Classe A],$J23)</f>
        <v>0</v>
      </c>
      <c r="S23" s="6">
        <f ca="1">COUNTIFS(Tabela1[Classe Ø],S$16,Tabela1[Classe A],$J23)</f>
        <v>0</v>
      </c>
      <c r="T23" s="6">
        <f ca="1">COUNTIFS(Tabela1[Classe Ø],T$16,Tabela1[Classe A],$J23)</f>
        <v>0</v>
      </c>
      <c r="U23" s="6">
        <f ca="1">COUNTIFS(Tabela1[Classe Ø],U$16,Tabela1[Classe A],$J23)</f>
        <v>0</v>
      </c>
      <c r="V23" s="6">
        <f t="shared" ca="1" si="5"/>
        <v>0</v>
      </c>
      <c r="X23" s="1">
        <f>_xlfn.XLOOKUP(Y23,$T$1:$T$7,$S$1:$S$7,"ERRO",0,1)+_xlfn.XLOOKUP(Z23,$X$1:$X$7,$W$1:$W$7,"ERRO",0,1)+_xlfn.XLOOKUP(AA23,$P$1:$P$7,$O$1:$O$7,"ERRO",0,1)</f>
        <v>73.06</v>
      </c>
      <c r="Y23" s="17" t="s">
        <v>9</v>
      </c>
      <c r="Z23" s="18" t="s">
        <v>13</v>
      </c>
      <c r="AA23" s="37" t="s">
        <v>9</v>
      </c>
      <c r="AB23" s="18">
        <f ca="1">_xlfn.XLOOKUP(Y23,$T$1:$T$7,$U$1:$U$7,"erro",0,1)-AE28-AE33</f>
        <v>706</v>
      </c>
      <c r="AC23" s="18">
        <f ca="1">_xlfn.XLOOKUP(Z23,$X$1:$X$7,$Y$1:$Y$7,"erro",0,1)-AE27</f>
        <v>0</v>
      </c>
      <c r="AD23" s="18">
        <f ca="1">_xlfn.XLOOKUP(AA23,$P$1:$P$7,$Q$1:$Q$7,"erro",0,1)-AE24-AE25</f>
        <v>671</v>
      </c>
      <c r="AE23" s="20">
        <f t="shared" ref="AE23" ca="1" si="13">SMALL(AB23:AD23,1)</f>
        <v>0</v>
      </c>
      <c r="AF23" s="21">
        <f t="shared" ref="AF23:AF26" ca="1" si="14">AD23-AE23</f>
        <v>671</v>
      </c>
      <c r="AG23" s="46">
        <v>12</v>
      </c>
      <c r="AH23" s="1">
        <f>_xlfn.XLOOKUP(AI23,$T$1:$T$7,$S$1:$S$7,"ERRO",0,1)+_xlfn.XLOOKUP(AJ23,$X$1:$X$7,$W$1:$W$7,"ERRO",0,1)+_xlfn.XLOOKUP(AK23,$P$1:$P$7,$O$1:$O$7,"ERRO",0,1)</f>
        <v>73.06</v>
      </c>
      <c r="AI23" s="17" t="s">
        <v>9</v>
      </c>
      <c r="AJ23" s="18" t="s">
        <v>13</v>
      </c>
      <c r="AK23" s="37" t="s">
        <v>9</v>
      </c>
      <c r="AL23" s="18">
        <f ca="1">_xlfn.XLOOKUP(AI23,$T$1:$T$7,$U$1:$U$7,"erro",0,1)-AO37</f>
        <v>706</v>
      </c>
      <c r="AM23" s="18">
        <f ca="1">_xlfn.XLOOKUP(AJ23,$X$1:$X$7,$Y$1:$Y$7,"erro",0,1)-AO20</f>
        <v>0</v>
      </c>
      <c r="AN23" s="18">
        <f ca="1">_xlfn.XLOOKUP(AK23,$P$1:$P$7,$Q$1:$Q$7,"erro",0,1)</f>
        <v>671</v>
      </c>
      <c r="AO23" s="43">
        <f t="shared" ca="1" si="10"/>
        <v>0</v>
      </c>
      <c r="AP23" s="21">
        <f t="shared" ca="1" si="11"/>
        <v>671</v>
      </c>
      <c r="AQ23" s="46">
        <v>7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</row>
    <row r="24" spans="1:89" x14ac:dyDescent="0.25">
      <c r="A24" s="2">
        <f t="shared" ca="1" si="0"/>
        <v>3.0029485428543952</v>
      </c>
      <c r="B24" cm="1">
        <f t="array" aca="1" ref="B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24" s="2">
        <f t="shared" ca="1" si="1"/>
        <v>3.0185472407168805</v>
      </c>
      <c r="D24" t="str" cm="1">
        <f t="array" aca="1" ref="D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4" s="2">
        <f t="shared" ca="1" si="2"/>
        <v>30.017572455943789</v>
      </c>
      <c r="F24" t="str" cm="1">
        <f t="array" aca="1" ref="F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4" s="2">
        <f t="shared" ca="1" si="3"/>
        <v>40.016069078528652</v>
      </c>
      <c r="H24" s="5" t="str" cm="1">
        <f t="array" aca="1" ref="H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L24" s="3"/>
      <c r="M24" s="3"/>
      <c r="N24" s="3"/>
      <c r="O24" s="3"/>
      <c r="P24" s="3"/>
      <c r="Q24" s="3"/>
      <c r="R24" s="3"/>
      <c r="S24" s="3"/>
      <c r="T24" s="3"/>
      <c r="X24" s="1">
        <f t="shared" ref="X24:X38" si="15">_xlfn.XLOOKUP(Y24,$T$1:$T$7,$S$1:$S$7,"ERRO",0,1)+_xlfn.XLOOKUP(Z24,$X$1:$X$7,$W$1:$W$7,"ERRO",0,1)+_xlfn.XLOOKUP(AA24,$P$1:$P$7,$O$1:$O$7,"ERRO",0,1)</f>
        <v>73.06</v>
      </c>
      <c r="Y24" s="22" t="s">
        <v>10</v>
      </c>
      <c r="Z24" s="9" t="s">
        <v>11</v>
      </c>
      <c r="AA24" s="38" t="s">
        <v>9</v>
      </c>
      <c r="AB24" s="9">
        <f ca="1">_xlfn.XLOOKUP(Y24,$T$1:$T$7,$U$1:$U$7,"erro",0,1)-AE29-AE34</f>
        <v>0</v>
      </c>
      <c r="AC24" s="9">
        <f ca="1">_xlfn.XLOOKUP(Z24,$X$1:$X$7,$Y$1:$Y$7,"erro",0,1)-AE28-AE32</f>
        <v>0</v>
      </c>
      <c r="AD24" s="9">
        <f t="shared" ref="AD24" ca="1" si="16">_xlfn.XLOOKUP(AA24,$P$1:$P$7,$Q$1:$Q$7,"erro",0,1)</f>
        <v>671</v>
      </c>
      <c r="AE24" s="25">
        <f t="shared" ref="AE24:AE35" ca="1" si="17">SMALL(AB24:AD24,1)</f>
        <v>0</v>
      </c>
      <c r="AF24" s="24">
        <f t="shared" ca="1" si="14"/>
        <v>671</v>
      </c>
      <c r="AG24" s="46">
        <v>10</v>
      </c>
      <c r="AH24" s="1">
        <f t="shared" ref="AH24:AH38" si="18">_xlfn.XLOOKUP(AI24,$T$1:$T$7,$S$1:$S$7,"ERRO",0,1)+_xlfn.XLOOKUP(AJ24,$X$1:$X$7,$W$1:$W$7,"ERRO",0,1)+_xlfn.XLOOKUP(AK24,$P$1:$P$7,$O$1:$O$7,"ERRO",0,1)</f>
        <v>73.06</v>
      </c>
      <c r="AI24" s="22" t="s">
        <v>10</v>
      </c>
      <c r="AJ24" s="9" t="s">
        <v>11</v>
      </c>
      <c r="AK24" s="38" t="s">
        <v>9</v>
      </c>
      <c r="AL24" s="9">
        <f ca="1">_xlfn.XLOOKUP(AI24,$T$1:$T$7,$U$1:$U$7,"erro",0,1)-AO20-AO38</f>
        <v>630</v>
      </c>
      <c r="AM24" s="9">
        <f ca="1">_xlfn.XLOOKUP(AJ24,$X$1:$X$7,$Y$1:$Y$7,"erro",0,1)-AO21-AO32</f>
        <v>0</v>
      </c>
      <c r="AN24" s="9">
        <f ca="1">_xlfn.XLOOKUP(AK24,$P$1:$P$7,$Q$1:$Q$7,"erro",0,1)-AO23-AO26</f>
        <v>671</v>
      </c>
      <c r="AO24" s="44">
        <f t="shared" ca="1" si="10"/>
        <v>0</v>
      </c>
      <c r="AP24" s="24">
        <f t="shared" ca="1" si="11"/>
        <v>671</v>
      </c>
      <c r="AQ24" s="46">
        <v>11</v>
      </c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</row>
    <row r="25" spans="1:89" x14ac:dyDescent="0.25">
      <c r="A25" s="2">
        <f t="shared" ca="1" si="0"/>
        <v>3.0020743543915516</v>
      </c>
      <c r="B25" cm="1">
        <f t="array" aca="1" ref="B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25" s="2">
        <f t="shared" ca="1" si="1"/>
        <v>3.0163195904915412</v>
      </c>
      <c r="D25" t="str" cm="1">
        <f t="array" aca="1" ref="D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5" s="2">
        <f t="shared" ca="1" si="2"/>
        <v>30.002611097532959</v>
      </c>
      <c r="F25" t="str" cm="1">
        <f t="array" aca="1" ref="F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5" s="2">
        <f t="shared" ca="1" si="3"/>
        <v>40.003999372228954</v>
      </c>
      <c r="H25" s="5" t="str" cm="1">
        <f t="array" aca="1" ref="H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X25" s="1">
        <f t="shared" si="15"/>
        <v>73.060000000000016</v>
      </c>
      <c r="Y25" s="22" t="s">
        <v>11</v>
      </c>
      <c r="Z25" s="9" t="s">
        <v>10</v>
      </c>
      <c r="AA25" s="38" t="s">
        <v>9</v>
      </c>
      <c r="AB25" s="9">
        <f ca="1">_xlfn.XLOOKUP(Y25,$T$1:$T$7,$U$1:$U$7,"erro",0,1)-AE30-AE35</f>
        <v>0</v>
      </c>
      <c r="AC25" s="9">
        <f ca="1">_xlfn.XLOOKUP(Z25,$X$1:$X$7,$Y$1:$Y$7,"erro",0,1)-AE29-AE33</f>
        <v>42</v>
      </c>
      <c r="AD25" s="9">
        <f ca="1">_xlfn.XLOOKUP(AA25,$P$1:$P$7,$Q$1:$Q$7,"erro",0,1)-AE24</f>
        <v>671</v>
      </c>
      <c r="AE25" s="23">
        <f t="shared" ca="1" si="17"/>
        <v>0</v>
      </c>
      <c r="AF25" s="24">
        <f t="shared" ca="1" si="14"/>
        <v>671</v>
      </c>
      <c r="AG25" s="46">
        <v>11</v>
      </c>
      <c r="AH25" s="1">
        <f t="shared" si="18"/>
        <v>73.060000000000016</v>
      </c>
      <c r="AI25" s="22" t="s">
        <v>11</v>
      </c>
      <c r="AJ25" s="9" t="s">
        <v>10</v>
      </c>
      <c r="AK25" s="38" t="s">
        <v>9</v>
      </c>
      <c r="AL25" s="9">
        <f ca="1">_xlfn.XLOOKUP(AI25,$T$1:$T$7,$U$1:$U$7,"erro",0,1)-AO21-AO35</f>
        <v>0</v>
      </c>
      <c r="AM25" s="9">
        <f ca="1">_xlfn.XLOOKUP(AJ25,$X$1:$X$7,$Y$1:$Y$7,"erro",0,1)-AO22-AO33-AO36</f>
        <v>672</v>
      </c>
      <c r="AN25" s="9">
        <f ca="1">_xlfn.XLOOKUP(AK25,$P$1:$P$7,$Q$1:$Q$7,"erro",0,1)-AO23-AO24-AO26</f>
        <v>671</v>
      </c>
      <c r="AO25" s="44">
        <f t="shared" ca="1" si="10"/>
        <v>0</v>
      </c>
      <c r="AP25" s="24">
        <f t="shared" ca="1" si="11"/>
        <v>671</v>
      </c>
      <c r="AQ25" s="46">
        <v>14</v>
      </c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</row>
    <row r="26" spans="1:89" ht="15.75" thickBot="1" x14ac:dyDescent="0.3">
      <c r="A26" s="2">
        <f t="shared" ca="1" si="0"/>
        <v>3.0036881023227457</v>
      </c>
      <c r="B26" cm="1">
        <f t="array" aca="1" ref="B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26" s="2">
        <f t="shared" ca="1" si="1"/>
        <v>3.0092187821009211</v>
      </c>
      <c r="D26" t="str" cm="1">
        <f t="array" aca="1" ref="D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6" s="2">
        <f t="shared" ca="1" si="2"/>
        <v>30.027899896506408</v>
      </c>
      <c r="F26" t="str" cm="1">
        <f t="array" aca="1" ref="F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6" s="2">
        <f t="shared" ca="1" si="3"/>
        <v>40.022326800796904</v>
      </c>
      <c r="H26" s="5" t="str" cm="1">
        <f t="array" aca="1" ref="H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X26" s="1">
        <f t="shared" si="15"/>
        <v>73.06</v>
      </c>
      <c r="Y26" s="26" t="s">
        <v>13</v>
      </c>
      <c r="Z26" s="27" t="s">
        <v>9</v>
      </c>
      <c r="AA26" s="39" t="s">
        <v>9</v>
      </c>
      <c r="AB26" s="27">
        <f ca="1">_xlfn.XLOOKUP(Y26,$T$1:$T$7,$U$1:$U$7,"erro",0,1)-AE31</f>
        <v>0</v>
      </c>
      <c r="AC26" s="27">
        <f ca="1">_xlfn.XLOOKUP(Z26,$X$1:$X$7,$Y$1:$Y$7,"erro",0,1)-AE30-AE34</f>
        <v>670</v>
      </c>
      <c r="AD26" s="27">
        <f ca="1">_xlfn.XLOOKUP(AA26,$P$1:$P$7,$Q$1:$Q$7,"erro",0,1)-AE24-AE25-AE23</f>
        <v>671</v>
      </c>
      <c r="AE26" s="29">
        <f t="shared" ca="1" si="17"/>
        <v>0</v>
      </c>
      <c r="AF26" s="30">
        <f t="shared" ca="1" si="14"/>
        <v>671</v>
      </c>
      <c r="AG26" s="46">
        <v>13</v>
      </c>
      <c r="AH26" s="1">
        <f t="shared" si="18"/>
        <v>73.06</v>
      </c>
      <c r="AI26" s="26" t="s">
        <v>13</v>
      </c>
      <c r="AJ26" s="27" t="s">
        <v>9</v>
      </c>
      <c r="AK26" s="39" t="s">
        <v>9</v>
      </c>
      <c r="AL26" s="27">
        <f ca="1">_xlfn.XLOOKUP(AI26,$T$1:$T$7,$U$1:$U$7,"erro",0,1)-AO22</f>
        <v>0</v>
      </c>
      <c r="AM26" s="27">
        <f ca="1">_xlfn.XLOOKUP(AJ26,$X$1:$X$7,$Y$1:$Y$7,"erro",0,1)-AO37</f>
        <v>670</v>
      </c>
      <c r="AN26" s="27">
        <f ca="1">_xlfn.XLOOKUP(AK26,$P$1:$P$7,$Q$1:$Q$7,"erro",0,1)-AO23</f>
        <v>671</v>
      </c>
      <c r="AO26" s="33">
        <f t="shared" ca="1" si="10"/>
        <v>0</v>
      </c>
      <c r="AP26" s="30">
        <f t="shared" ca="1" si="11"/>
        <v>671</v>
      </c>
      <c r="AQ26" s="46">
        <v>10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</row>
    <row r="27" spans="1:89" x14ac:dyDescent="0.25">
      <c r="A27" s="2">
        <f t="shared" ca="1" si="0"/>
        <v>3.0046389427371465</v>
      </c>
      <c r="B27" cm="1">
        <f t="array" aca="1" ref="B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27" s="2">
        <f t="shared" ca="1" si="1"/>
        <v>3.0154296102140647</v>
      </c>
      <c r="D27" t="str" cm="1">
        <f t="array" aca="1" ref="D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7" s="2">
        <f t="shared" ca="1" si="2"/>
        <v>30.00275498245626</v>
      </c>
      <c r="F27" t="str" cm="1">
        <f t="array" aca="1" ref="F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7" s="2">
        <f t="shared" ca="1" si="3"/>
        <v>40.010702943146377</v>
      </c>
      <c r="H27" s="5" t="str" cm="1">
        <f t="array" aca="1" ref="H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J27"/>
      <c r="K27"/>
      <c r="L27"/>
      <c r="M27"/>
      <c r="N27"/>
      <c r="O27"/>
      <c r="P27"/>
      <c r="Q27"/>
      <c r="R27"/>
      <c r="S27"/>
      <c r="T27"/>
      <c r="U27"/>
      <c r="X27" s="1">
        <f t="shared" si="15"/>
        <v>73.059999999999988</v>
      </c>
      <c r="Y27" s="17" t="s">
        <v>8</v>
      </c>
      <c r="Z27" s="18" t="s">
        <v>13</v>
      </c>
      <c r="AA27" s="31" t="s">
        <v>10</v>
      </c>
      <c r="AB27" s="18">
        <f ca="1">_xlfn.XLOOKUP(Y27,$T$1:$T$7,$U$1:$U$7,"erro",0,1)</f>
        <v>664</v>
      </c>
      <c r="AC27" s="18">
        <f ca="1">_xlfn.XLOOKUP(Z27,$X$1:$X$7,$Y$1:$Y$7,"erro",0,1)</f>
        <v>0</v>
      </c>
      <c r="AD27" s="18">
        <f ca="1">_xlfn.XLOOKUP(AA27,$P$1:$P$7,$Q$1:$Q$7,"erro",0,1)-AE29-AE28-AE30</f>
        <v>85</v>
      </c>
      <c r="AE27" s="20">
        <f t="shared" ca="1" si="17"/>
        <v>0</v>
      </c>
      <c r="AF27" s="21">
        <f ca="1">AD27-AE27</f>
        <v>85</v>
      </c>
      <c r="AG27" s="46">
        <v>4</v>
      </c>
      <c r="AH27" s="1">
        <f t="shared" si="18"/>
        <v>73.059999999999988</v>
      </c>
      <c r="AI27" s="17" t="s">
        <v>8</v>
      </c>
      <c r="AJ27" s="18" t="s">
        <v>13</v>
      </c>
      <c r="AK27" s="31" t="s">
        <v>10</v>
      </c>
      <c r="AL27" s="18">
        <f ca="1">_xlfn.XLOOKUP(AI27,$T$1:$T$7,$U$1:$U$7,"erro",0,1)-AO32-AO36</f>
        <v>664</v>
      </c>
      <c r="AM27" s="18">
        <f ca="1">_xlfn.XLOOKUP(AJ27,$X$1:$X$7,$Y$1:$Y$7,"erro",0,1)-AO20-AO23</f>
        <v>0</v>
      </c>
      <c r="AN27" s="18">
        <f ca="1">_xlfn.XLOOKUP(AK27,$P$1:$P$7,$Q$1:$Q$7,"erro",0,1)</f>
        <v>715</v>
      </c>
      <c r="AO27" s="43">
        <f t="shared" ca="1" si="10"/>
        <v>0</v>
      </c>
      <c r="AP27" s="21">
        <f ca="1">AN27-AO27</f>
        <v>715</v>
      </c>
      <c r="AQ27" s="46">
        <v>15</v>
      </c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</row>
    <row r="28" spans="1:89" x14ac:dyDescent="0.25">
      <c r="A28" s="2">
        <f t="shared" ca="1" si="0"/>
        <v>3.0058489411994112</v>
      </c>
      <c r="B28" cm="1">
        <f t="array" aca="1" ref="B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28" s="2">
        <f t="shared" ca="1" si="1"/>
        <v>3.019317573334718</v>
      </c>
      <c r="D28" t="str" cm="1">
        <f t="array" aca="1" ref="D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8" s="2">
        <f t="shared" ca="1" si="2"/>
        <v>30.020042097529576</v>
      </c>
      <c r="F28" t="str" cm="1">
        <f t="array" aca="1" ref="F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8" s="2">
        <f t="shared" ca="1" si="3"/>
        <v>40.02336205602316</v>
      </c>
      <c r="H28" s="5" t="str" cm="1">
        <f t="array" aca="1" ref="H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J28"/>
      <c r="K28"/>
      <c r="L28"/>
      <c r="M28"/>
      <c r="N28"/>
      <c r="O28"/>
      <c r="P28"/>
      <c r="Q28"/>
      <c r="R28"/>
      <c r="S28"/>
      <c r="T28"/>
      <c r="U28"/>
      <c r="X28" s="1">
        <f t="shared" si="15"/>
        <v>73.06</v>
      </c>
      <c r="Y28" s="22" t="s">
        <v>9</v>
      </c>
      <c r="Z28" s="9" t="s">
        <v>11</v>
      </c>
      <c r="AA28" s="15" t="s">
        <v>10</v>
      </c>
      <c r="AB28" s="9">
        <f t="shared" ref="AB28:AB31" ca="1" si="19">_xlfn.XLOOKUP(Y28,$T$1:$T$7,$U$1:$U$7,"erro",0,1)</f>
        <v>706</v>
      </c>
      <c r="AC28" s="9">
        <f t="shared" ref="AC28:AC31" ca="1" si="20">_xlfn.XLOOKUP(Z28,$X$1:$X$7,$Y$1:$Y$7,"erro",0,1)</f>
        <v>0</v>
      </c>
      <c r="AD28" s="9">
        <f ca="1">_xlfn.XLOOKUP(AA28,$P$1:$P$7,$Q$1:$Q$7,"erro",0,1)-AE29</f>
        <v>85</v>
      </c>
      <c r="AE28" s="23">
        <f t="shared" ca="1" si="17"/>
        <v>0</v>
      </c>
      <c r="AF28" s="24">
        <f ca="1">AD28-AE28</f>
        <v>85</v>
      </c>
      <c r="AG28" s="46">
        <v>2</v>
      </c>
      <c r="AH28" s="1">
        <f t="shared" si="18"/>
        <v>73.06</v>
      </c>
      <c r="AI28" s="22" t="s">
        <v>9</v>
      </c>
      <c r="AJ28" s="9" t="s">
        <v>11</v>
      </c>
      <c r="AK28" s="15" t="s">
        <v>10</v>
      </c>
      <c r="AL28" s="9">
        <f ca="1">_xlfn.XLOOKUP(AI28,$T$1:$T$7,$U$1:$U$7,"erro",0,1)-AO23-AO33-AO37</f>
        <v>706</v>
      </c>
      <c r="AM28" s="9">
        <f ca="1">_xlfn.XLOOKUP(AJ28,$X$1:$X$7,$Y$1:$Y$7,"erro",0,1)-AO21-AO24-AO32</f>
        <v>0</v>
      </c>
      <c r="AN28" s="9">
        <f ca="1">_xlfn.XLOOKUP(AK28,$P$1:$P$7,$Q$1:$Q$7,"erro",0,1)-AO27-AO30-AO31</f>
        <v>715</v>
      </c>
      <c r="AO28" s="44">
        <f t="shared" ca="1" si="10"/>
        <v>0</v>
      </c>
      <c r="AP28" s="24">
        <f ca="1">AN28-AO28</f>
        <v>715</v>
      </c>
      <c r="AQ28" s="46">
        <v>18</v>
      </c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</row>
    <row r="29" spans="1:89" x14ac:dyDescent="0.25">
      <c r="A29" s="2">
        <f t="shared" ca="1" si="0"/>
        <v>3.002967735190035</v>
      </c>
      <c r="B29" cm="1">
        <f t="array" aca="1" ref="B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29" s="2">
        <f t="shared" ca="1" si="1"/>
        <v>3.0021576098102671</v>
      </c>
      <c r="D29" t="str" cm="1">
        <f t="array" aca="1" ref="D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9" s="2">
        <f t="shared" ca="1" si="2"/>
        <v>30.012724087813044</v>
      </c>
      <c r="F29" t="str" cm="1">
        <f t="array" aca="1" ref="F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9" s="2">
        <f t="shared" ca="1" si="3"/>
        <v>40.011450883841626</v>
      </c>
      <c r="H29" s="5" t="str" cm="1">
        <f t="array" aca="1" ref="H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J29" s="14"/>
      <c r="K29" s="6">
        <f>SUM(K31:K35)</f>
        <v>181</v>
      </c>
      <c r="L29" s="6">
        <f t="shared" ref="L29:T29" si="21">SUM(L31:L35)</f>
        <v>199</v>
      </c>
      <c r="M29" s="6">
        <f t="shared" si="21"/>
        <v>192</v>
      </c>
      <c r="N29" s="6">
        <f t="shared" si="21"/>
        <v>178</v>
      </c>
      <c r="O29" s="6">
        <f t="shared" si="21"/>
        <v>222</v>
      </c>
      <c r="P29" s="6">
        <f t="shared" si="21"/>
        <v>188</v>
      </c>
      <c r="Q29" s="6">
        <f t="shared" si="21"/>
        <v>188</v>
      </c>
      <c r="R29" s="6">
        <f t="shared" si="21"/>
        <v>184</v>
      </c>
      <c r="S29" s="6">
        <f t="shared" si="21"/>
        <v>239</v>
      </c>
      <c r="T29" s="6">
        <f t="shared" si="21"/>
        <v>229</v>
      </c>
      <c r="U29"/>
      <c r="X29" s="1">
        <f t="shared" si="15"/>
        <v>73.06</v>
      </c>
      <c r="Y29" s="22" t="s">
        <v>10</v>
      </c>
      <c r="Z29" s="9" t="s">
        <v>10</v>
      </c>
      <c r="AA29" s="15" t="s">
        <v>10</v>
      </c>
      <c r="AB29" s="9">
        <f t="shared" ca="1" si="19"/>
        <v>630</v>
      </c>
      <c r="AC29" s="9">
        <f t="shared" ca="1" si="20"/>
        <v>672</v>
      </c>
      <c r="AD29" s="9">
        <f t="shared" ref="AD29:AD34" ca="1" si="22">_xlfn.XLOOKUP(AA29,$P$1:$P$7,$Q$1:$Q$7,"erro",0,1)</f>
        <v>715</v>
      </c>
      <c r="AE29" s="25">
        <f ca="1">SMALL(AB29:AD29,1)</f>
        <v>630</v>
      </c>
      <c r="AF29" s="24">
        <f ca="1">AD29-AE29</f>
        <v>85</v>
      </c>
      <c r="AG29" s="46">
        <v>1</v>
      </c>
      <c r="AH29" s="1">
        <f t="shared" si="18"/>
        <v>73.06</v>
      </c>
      <c r="AI29" s="22" t="s">
        <v>10</v>
      </c>
      <c r="AJ29" s="9" t="s">
        <v>10</v>
      </c>
      <c r="AK29" s="15" t="s">
        <v>10</v>
      </c>
      <c r="AL29" s="9">
        <f ca="1">_xlfn.XLOOKUP(AI29,$T$1:$T$7,$U$1:$U$7,"erro",0,1)-AO20-AO24-AO34-AO38</f>
        <v>630</v>
      </c>
      <c r="AM29" s="9">
        <f ca="1">_xlfn.XLOOKUP(AJ29,$X$1:$X$7,$Y$1:$Y$7,"erro",0,1)-AO22-AO25-AO33-AO36</f>
        <v>672</v>
      </c>
      <c r="AN29" s="9">
        <f ca="1">_xlfn.XLOOKUP(AK29,$P$1:$P$7,$Q$1:$Q$7,"erro",0,1)-AO27-AO28-AO30-AO31</f>
        <v>715</v>
      </c>
      <c r="AO29" s="44">
        <f ca="1">SMALL(AL29:AN29,1)</f>
        <v>630</v>
      </c>
      <c r="AP29" s="24">
        <f ca="1">AN29-AO29</f>
        <v>85</v>
      </c>
      <c r="AQ29" s="46">
        <v>19</v>
      </c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</row>
    <row r="30" spans="1:89" x14ac:dyDescent="0.25">
      <c r="A30" s="2">
        <f t="shared" ca="1" si="0"/>
        <v>3.0009570423185394</v>
      </c>
      <c r="B30" cm="1">
        <f t="array" aca="1" ref="B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30" s="2">
        <f t="shared" ca="1" si="1"/>
        <v>3.0222401173947921</v>
      </c>
      <c r="D30" t="str" cm="1">
        <f t="array" aca="1" ref="D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0" s="2">
        <f t="shared" ca="1" si="2"/>
        <v>30.015529340682651</v>
      </c>
      <c r="F30" t="str" cm="1">
        <f t="array" aca="1" ref="F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0" s="2">
        <f t="shared" ca="1" si="3"/>
        <v>40.013080525637974</v>
      </c>
      <c r="H30" s="5" t="str" cm="1">
        <f t="array" aca="1" ref="H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J30" s="54"/>
      <c r="K30" s="10">
        <v>1</v>
      </c>
      <c r="L30" s="10">
        <v>2</v>
      </c>
      <c r="M30" s="10">
        <v>3</v>
      </c>
      <c r="N30" s="10">
        <v>4</v>
      </c>
      <c r="O30" s="10">
        <v>5</v>
      </c>
      <c r="P30" s="10">
        <v>6</v>
      </c>
      <c r="Q30" s="10">
        <v>7</v>
      </c>
      <c r="R30" s="10">
        <v>8</v>
      </c>
      <c r="S30" s="10">
        <v>9</v>
      </c>
      <c r="T30" s="10">
        <v>10</v>
      </c>
      <c r="U30"/>
      <c r="X30" s="1">
        <f t="shared" si="15"/>
        <v>73.059999999999988</v>
      </c>
      <c r="Y30" s="22" t="s">
        <v>11</v>
      </c>
      <c r="Z30" s="9" t="s">
        <v>9</v>
      </c>
      <c r="AA30" s="15" t="s">
        <v>10</v>
      </c>
      <c r="AB30" s="9">
        <f t="shared" ca="1" si="19"/>
        <v>0</v>
      </c>
      <c r="AC30" s="9">
        <f t="shared" ca="1" si="20"/>
        <v>670</v>
      </c>
      <c r="AD30" s="9">
        <f ca="1">_xlfn.XLOOKUP(AA30,$P$1:$P$7,$Q$1:$Q$7,"erro",0,1)-AE29-AE28</f>
        <v>85</v>
      </c>
      <c r="AE30" s="23">
        <f t="shared" ca="1" si="17"/>
        <v>0</v>
      </c>
      <c r="AF30" s="24">
        <f ca="1">AD30-AE30</f>
        <v>85</v>
      </c>
      <c r="AG30" s="46">
        <v>3</v>
      </c>
      <c r="AH30" s="1">
        <f t="shared" si="18"/>
        <v>73.059999999999988</v>
      </c>
      <c r="AI30" s="22" t="s">
        <v>11</v>
      </c>
      <c r="AJ30" s="9" t="s">
        <v>9</v>
      </c>
      <c r="AK30" s="15" t="s">
        <v>10</v>
      </c>
      <c r="AL30" s="9">
        <f ca="1">_xlfn.XLOOKUP(AI30,$T$1:$T$7,$U$1:$U$7,"erro",0,1)-AO21-AO25-AO35</f>
        <v>0</v>
      </c>
      <c r="AM30" s="9">
        <f ca="1">_xlfn.XLOOKUP(AJ30,$X$1:$X$7,$Y$1:$Y$7,"erro",0,1)-AO34-AO37-AO26</f>
        <v>670</v>
      </c>
      <c r="AN30" s="9">
        <f ca="1">_xlfn.XLOOKUP(AK30,$P$1:$P$7,$Q$1:$Q$7,"erro",0,1)-AO31-AO27</f>
        <v>715</v>
      </c>
      <c r="AO30" s="44">
        <f t="shared" ref="AO30:AO38" ca="1" si="23">SMALL(AL30:AN30,1)</f>
        <v>0</v>
      </c>
      <c r="AP30" s="24">
        <f ca="1">AN30-AO30</f>
        <v>715</v>
      </c>
      <c r="AQ30" s="46">
        <v>17</v>
      </c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</row>
    <row r="31" spans="1:89" ht="15.75" thickBot="1" x14ac:dyDescent="0.3">
      <c r="A31" s="2">
        <f t="shared" ca="1" si="0"/>
        <v>3.0050142769009143</v>
      </c>
      <c r="B31" cm="1">
        <f t="array" aca="1" ref="B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31" s="2">
        <f t="shared" ca="1" si="1"/>
        <v>3.01772395350496</v>
      </c>
      <c r="D31" t="str" cm="1">
        <f t="array" aca="1" ref="D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1" s="2">
        <f t="shared" ca="1" si="2"/>
        <v>30.00288408390605</v>
      </c>
      <c r="F31" t="str" cm="1">
        <f t="array" aca="1" ref="F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1" s="2">
        <f t="shared" ca="1" si="3"/>
        <v>40.01961138870444</v>
      </c>
      <c r="H31" s="5" t="str" cm="1">
        <f t="array" aca="1" ref="H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J31" s="11" t="s">
        <v>8</v>
      </c>
      <c r="K31" s="12">
        <v>34</v>
      </c>
      <c r="L31" s="12">
        <v>41</v>
      </c>
      <c r="M31" s="12">
        <v>41</v>
      </c>
      <c r="N31" s="12">
        <v>42</v>
      </c>
      <c r="O31" s="12">
        <v>45</v>
      </c>
      <c r="P31" s="12">
        <v>25</v>
      </c>
      <c r="Q31" s="12">
        <v>46</v>
      </c>
      <c r="R31" s="12">
        <v>41</v>
      </c>
      <c r="S31" s="12">
        <v>41</v>
      </c>
      <c r="T31" s="12">
        <v>54</v>
      </c>
      <c r="U31" s="6">
        <f>SUM(K31:T31)</f>
        <v>410</v>
      </c>
      <c r="X31" s="1">
        <f t="shared" si="15"/>
        <v>73.059999999999988</v>
      </c>
      <c r="Y31" s="26" t="s">
        <v>13</v>
      </c>
      <c r="Z31" s="27" t="s">
        <v>8</v>
      </c>
      <c r="AA31" s="32" t="s">
        <v>10</v>
      </c>
      <c r="AB31" s="27">
        <f t="shared" ca="1" si="19"/>
        <v>0</v>
      </c>
      <c r="AC31" s="27">
        <f t="shared" ca="1" si="20"/>
        <v>658</v>
      </c>
      <c r="AD31" s="27">
        <f ca="1">_xlfn.XLOOKUP(AA31,$P$1:$P$7,$Q$1:$Q$7,"erro",0,1)-AE29-AE28-AE30-AE27</f>
        <v>85</v>
      </c>
      <c r="AE31" s="29">
        <f t="shared" ca="1" si="17"/>
        <v>0</v>
      </c>
      <c r="AF31" s="30">
        <f ca="1">AD31-AE31</f>
        <v>85</v>
      </c>
      <c r="AG31" s="46">
        <v>5</v>
      </c>
      <c r="AH31" s="1">
        <f t="shared" si="18"/>
        <v>73.059999999999988</v>
      </c>
      <c r="AI31" s="26" t="s">
        <v>13</v>
      </c>
      <c r="AJ31" s="27" t="s">
        <v>8</v>
      </c>
      <c r="AK31" s="32" t="s">
        <v>10</v>
      </c>
      <c r="AL31" s="27">
        <f ca="1">_xlfn.XLOOKUP(AI31,$T$1:$T$7,$U$1:$U$7,"erro",0,1)-AO22-AO26</f>
        <v>0</v>
      </c>
      <c r="AM31" s="27">
        <f ca="1">_xlfn.XLOOKUP(AJ31,$X$1:$X$7,$Y$1:$Y$7,"erro",0,1)-AO38-AO35</f>
        <v>658</v>
      </c>
      <c r="AN31" s="27">
        <f ca="1">_xlfn.XLOOKUP(AK31,$P$1:$P$7,$Q$1:$Q$7,"erro",0,1)-AO27</f>
        <v>715</v>
      </c>
      <c r="AO31" s="33">
        <f t="shared" ca="1" si="23"/>
        <v>0</v>
      </c>
      <c r="AP31" s="30">
        <f ca="1">AN31-AO31</f>
        <v>715</v>
      </c>
      <c r="AQ31" s="46">
        <v>16</v>
      </c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</row>
    <row r="32" spans="1:89" x14ac:dyDescent="0.25">
      <c r="A32" s="2">
        <f t="shared" ca="1" si="0"/>
        <v>3.0057434740133484</v>
      </c>
      <c r="B32" cm="1">
        <f t="array" aca="1" ref="B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32" s="2">
        <f t="shared" ca="1" si="1"/>
        <v>3.0197547437391332</v>
      </c>
      <c r="D32" t="str" cm="1">
        <f t="array" aca="1" ref="D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2" s="2">
        <f t="shared" ca="1" si="2"/>
        <v>30.008162494236178</v>
      </c>
      <c r="F32" t="str" cm="1">
        <f t="array" aca="1" ref="F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2" s="2">
        <f t="shared" ca="1" si="3"/>
        <v>40.020765926125137</v>
      </c>
      <c r="H32" s="5" t="str" cm="1">
        <f t="array" aca="1" ref="H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J32" s="11" t="s">
        <v>9</v>
      </c>
      <c r="K32" s="12">
        <v>35</v>
      </c>
      <c r="L32" s="12">
        <v>37</v>
      </c>
      <c r="M32" s="12">
        <v>28</v>
      </c>
      <c r="N32" s="12">
        <v>37</v>
      </c>
      <c r="O32" s="12">
        <v>48</v>
      </c>
      <c r="P32" s="12">
        <v>37</v>
      </c>
      <c r="Q32" s="12">
        <v>39</v>
      </c>
      <c r="R32" s="12">
        <v>33</v>
      </c>
      <c r="S32" s="12">
        <v>45</v>
      </c>
      <c r="T32" s="12">
        <v>52</v>
      </c>
      <c r="U32" s="6">
        <f>SUM(K32:T32)</f>
        <v>391</v>
      </c>
      <c r="X32" s="1">
        <f t="shared" si="15"/>
        <v>73.06</v>
      </c>
      <c r="Y32" s="17" t="s">
        <v>8</v>
      </c>
      <c r="Z32" s="18" t="s">
        <v>11</v>
      </c>
      <c r="AA32" s="19" t="s">
        <v>11</v>
      </c>
      <c r="AB32" s="18">
        <f ca="1">_xlfn.XLOOKUP(Y32,$T$1:$T$7,$U$1:$U$7,"erro",0,1)-AE27</f>
        <v>664</v>
      </c>
      <c r="AC32" s="18">
        <f ca="1">_xlfn.XLOOKUP(Z32,$X$1:$X$7,$Y$1:$Y$7,"erro",0,1)-AE28</f>
        <v>0</v>
      </c>
      <c r="AD32" s="18">
        <f ca="1">_xlfn.XLOOKUP(AA32,$P$1:$P$7,$Q$1:$Q$7,"erro",0,1)-AE34-AE33-AE35</f>
        <v>0</v>
      </c>
      <c r="AE32" s="20">
        <f t="shared" ca="1" si="17"/>
        <v>0</v>
      </c>
      <c r="AF32" s="21">
        <f t="shared" ref="AF32:AF35" ca="1" si="24">AD32-AE32</f>
        <v>0</v>
      </c>
      <c r="AG32" s="46">
        <v>9</v>
      </c>
      <c r="AH32" s="1">
        <f t="shared" si="18"/>
        <v>73.06</v>
      </c>
      <c r="AI32" s="17" t="s">
        <v>8</v>
      </c>
      <c r="AJ32" s="18" t="s">
        <v>11</v>
      </c>
      <c r="AK32" s="19" t="s">
        <v>11</v>
      </c>
      <c r="AL32" s="18">
        <f ca="1">_xlfn.XLOOKUP(AI32,$T$1:$T$7,$U$1:$U$7,"erro",0,1)-AO36</f>
        <v>664</v>
      </c>
      <c r="AM32" s="18">
        <f ca="1">_xlfn.XLOOKUP(AJ32,$X$1:$X$7,$Y$1:$Y$7,"erro",0,1)-AO21</f>
        <v>0</v>
      </c>
      <c r="AN32" s="18">
        <f ca="1">_xlfn.XLOOKUP(AK32,$P$1:$P$7,$Q$1:$Q$7,"erro",0,1)-AO35</f>
        <v>0</v>
      </c>
      <c r="AO32" s="43">
        <f t="shared" ca="1" si="23"/>
        <v>0</v>
      </c>
      <c r="AP32" s="21">
        <f t="shared" ref="AP32:AP38" ca="1" si="25">AN32-AO32</f>
        <v>0</v>
      </c>
      <c r="AQ32" s="46">
        <v>9</v>
      </c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</row>
    <row r="33" spans="1:120" x14ac:dyDescent="0.25">
      <c r="A33" s="2">
        <f t="shared" ca="1" si="0"/>
        <v>3.0060434618734075</v>
      </c>
      <c r="B33" cm="1">
        <f t="array" aca="1" ref="B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33" s="2">
        <f t="shared" ca="1" si="1"/>
        <v>3.0297166647794884</v>
      </c>
      <c r="D33" t="str" cm="1">
        <f t="array" aca="1" ref="D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3" s="2">
        <f t="shared" ca="1" si="2"/>
        <v>30.002843186354102</v>
      </c>
      <c r="F33" t="str" cm="1">
        <f t="array" aca="1" ref="F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3" s="2">
        <f t="shared" ca="1" si="3"/>
        <v>40.021318648011274</v>
      </c>
      <c r="H33" s="5" t="str" cm="1">
        <f t="array" aca="1" ref="H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J33" s="11" t="s">
        <v>10</v>
      </c>
      <c r="K33" s="12">
        <v>44</v>
      </c>
      <c r="L33" s="12">
        <v>31</v>
      </c>
      <c r="M33" s="12">
        <v>44</v>
      </c>
      <c r="N33" s="12">
        <v>33</v>
      </c>
      <c r="O33" s="12">
        <v>42</v>
      </c>
      <c r="P33" s="12">
        <v>43</v>
      </c>
      <c r="Q33" s="12">
        <v>29</v>
      </c>
      <c r="R33" s="12">
        <v>32</v>
      </c>
      <c r="S33" s="12">
        <v>50</v>
      </c>
      <c r="T33" s="12">
        <v>35</v>
      </c>
      <c r="U33" s="6">
        <f t="shared" ref="U33:U35" si="26">SUM(K33:T33)</f>
        <v>383</v>
      </c>
      <c r="X33" s="1">
        <f t="shared" si="15"/>
        <v>73.06</v>
      </c>
      <c r="Y33" s="22" t="s">
        <v>9</v>
      </c>
      <c r="Z33" s="9" t="s">
        <v>10</v>
      </c>
      <c r="AA33" s="16" t="s">
        <v>11</v>
      </c>
      <c r="AB33" s="9">
        <f ca="1">_xlfn.XLOOKUP(Y33,$T$1:$T$7,$U$1:$U$7,"erro",0,1)-AE28</f>
        <v>706</v>
      </c>
      <c r="AC33" s="9">
        <f ca="1">_xlfn.XLOOKUP(Z33,$X$1:$X$7,$Y$1:$Y$7,"erro",0,1)-AE29</f>
        <v>42</v>
      </c>
      <c r="AD33" s="9">
        <f ca="1">_xlfn.XLOOKUP(AA33,$P$1:$P$7,$Q$1:$Q$7,"erro",0,1)-AE34</f>
        <v>0</v>
      </c>
      <c r="AE33" s="23">
        <f t="shared" ca="1" si="17"/>
        <v>0</v>
      </c>
      <c r="AF33" s="24">
        <f t="shared" ca="1" si="24"/>
        <v>0</v>
      </c>
      <c r="AG33" s="46">
        <v>7</v>
      </c>
      <c r="AH33" s="1">
        <f t="shared" si="18"/>
        <v>73.06</v>
      </c>
      <c r="AI33" s="22" t="s">
        <v>9</v>
      </c>
      <c r="AJ33" s="9" t="s">
        <v>10</v>
      </c>
      <c r="AK33" s="16" t="s">
        <v>11</v>
      </c>
      <c r="AL33" s="9">
        <f ca="1">_xlfn.XLOOKUP(AI33,$T$1:$T$7,$U$1:$U$7,"erro",0,1)-AO23-AO37</f>
        <v>706</v>
      </c>
      <c r="AM33" s="9">
        <f ca="1">_xlfn.XLOOKUP(AJ33,$X$1:$X$7,$Y$1:$Y$7,"erro",0,1)-AO22-AO36</f>
        <v>672</v>
      </c>
      <c r="AN33" s="9">
        <f ca="1">_xlfn.XLOOKUP(AK33,$P$1:$P$7,$Q$1:$Q$7,"erro",0,1)-AO32-AO35</f>
        <v>0</v>
      </c>
      <c r="AO33" s="44">
        <f t="shared" ca="1" si="23"/>
        <v>0</v>
      </c>
      <c r="AP33" s="24">
        <f t="shared" ca="1" si="25"/>
        <v>0</v>
      </c>
      <c r="AQ33" s="46">
        <v>12</v>
      </c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</row>
    <row r="34" spans="1:120" x14ac:dyDescent="0.25">
      <c r="A34" s="2">
        <f t="shared" ca="1" si="0"/>
        <v>3.0011684911397221</v>
      </c>
      <c r="B34" cm="1">
        <f t="array" aca="1" ref="B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34" s="2">
        <f t="shared" ca="1" si="1"/>
        <v>3.0298539504836275</v>
      </c>
      <c r="D34" t="str" cm="1">
        <f t="array" aca="1" ref="D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4" s="2">
        <f t="shared" ca="1" si="2"/>
        <v>30.02826112051283</v>
      </c>
      <c r="F34" t="str" cm="1">
        <f t="array" aca="1" ref="F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4" s="2">
        <f t="shared" ca="1" si="3"/>
        <v>40.000695434455963</v>
      </c>
      <c r="H34" s="5" t="str" cm="1">
        <f t="array" aca="1" ref="H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J34" s="11" t="s">
        <v>11</v>
      </c>
      <c r="K34" s="12">
        <v>34</v>
      </c>
      <c r="L34" s="12">
        <v>46</v>
      </c>
      <c r="M34" s="12">
        <v>41</v>
      </c>
      <c r="N34" s="12">
        <v>35</v>
      </c>
      <c r="O34" s="12">
        <v>46</v>
      </c>
      <c r="P34" s="12">
        <v>44</v>
      </c>
      <c r="Q34" s="12">
        <v>34</v>
      </c>
      <c r="R34" s="12">
        <v>37</v>
      </c>
      <c r="S34" s="12">
        <v>50</v>
      </c>
      <c r="T34" s="12">
        <v>42</v>
      </c>
      <c r="U34" s="6">
        <f t="shared" si="26"/>
        <v>409</v>
      </c>
      <c r="X34" s="1">
        <f t="shared" si="15"/>
        <v>73.06</v>
      </c>
      <c r="Y34" s="22" t="s">
        <v>10</v>
      </c>
      <c r="Z34" s="9" t="s">
        <v>9</v>
      </c>
      <c r="AA34" s="16" t="s">
        <v>11</v>
      </c>
      <c r="AB34" s="9">
        <f ca="1">_xlfn.XLOOKUP(Y34,$T$1:$T$7,$U$1:$U$7,"erro",0,1)-AE29</f>
        <v>0</v>
      </c>
      <c r="AC34" s="9">
        <f ca="1">_xlfn.XLOOKUP(Z34,$X$1:$X$7,$Y$1:$Y$7,"erro",0,1)-AE30</f>
        <v>670</v>
      </c>
      <c r="AD34" s="9">
        <f t="shared" ca="1" si="22"/>
        <v>0</v>
      </c>
      <c r="AE34" s="25">
        <f t="shared" ca="1" si="17"/>
        <v>0</v>
      </c>
      <c r="AF34" s="24">
        <f t="shared" ca="1" si="24"/>
        <v>0</v>
      </c>
      <c r="AG34" s="46">
        <v>6</v>
      </c>
      <c r="AH34" s="1">
        <f t="shared" si="18"/>
        <v>73.06</v>
      </c>
      <c r="AI34" s="22" t="s">
        <v>10</v>
      </c>
      <c r="AJ34" s="9" t="s">
        <v>9</v>
      </c>
      <c r="AK34" s="16" t="s">
        <v>11</v>
      </c>
      <c r="AL34" s="9">
        <f ca="1">_xlfn.XLOOKUP(AI34,$T$1:$T$7,$U$1:$U$7,"erro",0,1)-AO20-AO24-AO38</f>
        <v>630</v>
      </c>
      <c r="AM34" s="9">
        <f ca="1">_xlfn.XLOOKUP(AJ34,$X$1:$X$7,$Y$1:$Y$7,"erro",0,1)-AO37-AO26</f>
        <v>670</v>
      </c>
      <c r="AN34" s="9">
        <f ca="1">_xlfn.XLOOKUP(AK34,$P$1:$P$7,$Q$1:$Q$7,"erro",0,1)-AO32-AO33-AO35</f>
        <v>0</v>
      </c>
      <c r="AO34" s="44">
        <f t="shared" ca="1" si="23"/>
        <v>0</v>
      </c>
      <c r="AP34" s="24">
        <f t="shared" ca="1" si="25"/>
        <v>0</v>
      </c>
      <c r="AQ34" s="46">
        <v>13</v>
      </c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</row>
    <row r="35" spans="1:120" ht="15.75" thickBot="1" x14ac:dyDescent="0.3">
      <c r="A35" s="2">
        <f t="shared" ca="1" si="0"/>
        <v>3.0094019394696496</v>
      </c>
      <c r="B35" cm="1">
        <f t="array" aca="1" ref="B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35" s="2">
        <f t="shared" ca="1" si="1"/>
        <v>3.0156361181694478</v>
      </c>
      <c r="D35" t="str" cm="1">
        <f t="array" aca="1" ref="D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5" s="2">
        <f t="shared" ca="1" si="2"/>
        <v>30.022176162238093</v>
      </c>
      <c r="F35" t="str" cm="1">
        <f t="array" aca="1" ref="F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5" s="2">
        <f t="shared" ca="1" si="3"/>
        <v>40.027765649134828</v>
      </c>
      <c r="H35" s="5" t="str" cm="1">
        <f t="array" aca="1" ref="H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J35" s="11" t="s">
        <v>13</v>
      </c>
      <c r="K35" s="12">
        <v>34</v>
      </c>
      <c r="L35" s="12">
        <v>44</v>
      </c>
      <c r="M35" s="12">
        <v>38</v>
      </c>
      <c r="N35" s="12">
        <v>31</v>
      </c>
      <c r="O35" s="12">
        <v>41</v>
      </c>
      <c r="P35" s="12">
        <v>39</v>
      </c>
      <c r="Q35" s="12">
        <v>40</v>
      </c>
      <c r="R35" s="12">
        <v>41</v>
      </c>
      <c r="S35" s="12">
        <v>53</v>
      </c>
      <c r="T35" s="12">
        <v>46</v>
      </c>
      <c r="U35" s="6">
        <f t="shared" si="26"/>
        <v>407</v>
      </c>
      <c r="X35" s="1">
        <f t="shared" si="15"/>
        <v>73.06</v>
      </c>
      <c r="Y35" s="26" t="s">
        <v>11</v>
      </c>
      <c r="Z35" s="27" t="s">
        <v>8</v>
      </c>
      <c r="AA35" s="28" t="s">
        <v>11</v>
      </c>
      <c r="AB35" s="27">
        <f ca="1">_xlfn.XLOOKUP(Y35,$T$1:$T$7,$U$1:$U$7,"erro",0,1)-AE30</f>
        <v>0</v>
      </c>
      <c r="AC35" s="27">
        <f ca="1">_xlfn.XLOOKUP(Z35,$X$1:$X$7,$Y$1:$Y$7,"erro",0,1)-AE31</f>
        <v>658</v>
      </c>
      <c r="AD35" s="27">
        <f ca="1">_xlfn.XLOOKUP(AA35,$P$1:$P$7,$Q$1:$Q$7,"erro",0,1)-AE34-AE33</f>
        <v>0</v>
      </c>
      <c r="AE35" s="29">
        <f t="shared" ca="1" si="17"/>
        <v>0</v>
      </c>
      <c r="AF35" s="30">
        <f t="shared" ca="1" si="24"/>
        <v>0</v>
      </c>
      <c r="AG35" s="46">
        <v>8</v>
      </c>
      <c r="AH35" s="1">
        <f t="shared" si="18"/>
        <v>73.06</v>
      </c>
      <c r="AI35" s="26" t="s">
        <v>11</v>
      </c>
      <c r="AJ35" s="27" t="s">
        <v>8</v>
      </c>
      <c r="AK35" s="28" t="s">
        <v>11</v>
      </c>
      <c r="AL35" s="27">
        <f ca="1">_xlfn.XLOOKUP(AI35,$T$1:$T$7,$U$1:$U$7,"erro",0,1)-AO21</f>
        <v>0</v>
      </c>
      <c r="AM35" s="27">
        <f ca="1">_xlfn.XLOOKUP(AJ35,$X$1:$X$7,$Y$1:$Y$7,"erro",0,1)-AO38</f>
        <v>658</v>
      </c>
      <c r="AN35" s="27">
        <f ca="1">_xlfn.XLOOKUP(AK35,$P$1:$P$7,$Q$1:$Q$7,"erro",0,1)</f>
        <v>0</v>
      </c>
      <c r="AO35" s="33">
        <f t="shared" ca="1" si="23"/>
        <v>0</v>
      </c>
      <c r="AP35" s="30">
        <f t="shared" ca="1" si="25"/>
        <v>0</v>
      </c>
      <c r="AQ35" s="46">
        <v>8</v>
      </c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</row>
    <row r="36" spans="1:120" x14ac:dyDescent="0.25">
      <c r="A36" s="2">
        <f t="shared" ca="1" si="0"/>
        <v>3.004348833098804</v>
      </c>
      <c r="B36" cm="1">
        <f t="array" aca="1" ref="B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36" s="2">
        <f t="shared" ca="1" si="1"/>
        <v>3.0236210022611445</v>
      </c>
      <c r="D36" t="str" cm="1">
        <f t="array" aca="1" ref="D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6" s="2">
        <f t="shared" ca="1" si="2"/>
        <v>30.023412542674951</v>
      </c>
      <c r="F36" t="str" cm="1">
        <f t="array" aca="1" ref="F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6" s="2">
        <f t="shared" ca="1" si="3"/>
        <v>40.019758999325475</v>
      </c>
      <c r="H36" s="5" t="str" cm="1">
        <f t="array" aca="1" ref="H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X36" s="1">
        <f t="shared" si="15"/>
        <v>73.060000000000016</v>
      </c>
      <c r="Y36" s="17" t="s">
        <v>8</v>
      </c>
      <c r="Z36" s="18" t="s">
        <v>10</v>
      </c>
      <c r="AA36" s="34" t="s">
        <v>13</v>
      </c>
      <c r="AB36" s="18">
        <f ca="1">_xlfn.XLOOKUP(Y36,$T$1:$T$7,$U$1:$U$7,"erro",0,1)-AE27-AE32</f>
        <v>664</v>
      </c>
      <c r="AC36" s="18">
        <f ca="1">_xlfn.XLOOKUP(Z36,$X$1:$X$7,$Y$1:$Y$7,"erro",0,1)-AE29-AE33-AE25</f>
        <v>42</v>
      </c>
      <c r="AD36" s="18">
        <f ca="1">_xlfn.XLOOKUP(AA36,$P$1:$P$7,$Q$1:$Q$7,"erro",0,1)-AE37</f>
        <v>0</v>
      </c>
      <c r="AE36" s="20">
        <f t="shared" ref="AE36:AE38" ca="1" si="27">SMALL(AB36:AD36,1)</f>
        <v>0</v>
      </c>
      <c r="AF36" s="21">
        <f t="shared" ref="AF36:AF38" ca="1" si="28">AD36-AE36</f>
        <v>0</v>
      </c>
      <c r="AG36" s="46">
        <v>15</v>
      </c>
      <c r="AH36" s="1">
        <f t="shared" si="18"/>
        <v>73.060000000000016</v>
      </c>
      <c r="AI36" s="17" t="s">
        <v>8</v>
      </c>
      <c r="AJ36" s="18" t="s">
        <v>10</v>
      </c>
      <c r="AK36" s="34" t="s">
        <v>13</v>
      </c>
      <c r="AL36" s="18">
        <f t="shared" ref="AL36:AL37" ca="1" si="29">_xlfn.XLOOKUP(AI36,$T$1:$T$7,$U$1:$U$7,"erro",0,1)</f>
        <v>664</v>
      </c>
      <c r="AM36" s="18">
        <f ca="1">_xlfn.XLOOKUP(AJ36,$X$1:$X$7,$Y$1:$Y$7,"erro",0,1)-AO22</f>
        <v>672</v>
      </c>
      <c r="AN36" s="18">
        <f ca="1">_xlfn.XLOOKUP(AK36,$P$1:$P$7,$Q$1:$Q$7,"erro",0,1)-AO38</f>
        <v>0</v>
      </c>
      <c r="AO36" s="43">
        <f t="shared" ca="1" si="23"/>
        <v>0</v>
      </c>
      <c r="AP36" s="21">
        <f t="shared" ca="1" si="25"/>
        <v>0</v>
      </c>
      <c r="AQ36" s="46">
        <v>4</v>
      </c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</row>
    <row r="37" spans="1:120" x14ac:dyDescent="0.25">
      <c r="A37" s="2">
        <f t="shared" ca="1" si="0"/>
        <v>3.0018990127673395</v>
      </c>
      <c r="B37" cm="1">
        <f t="array" aca="1" ref="B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37" s="2">
        <f t="shared" ca="1" si="1"/>
        <v>3.01897087430785</v>
      </c>
      <c r="D37" t="str" cm="1">
        <f t="array" aca="1" ref="D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7" s="2">
        <f t="shared" ca="1" si="2"/>
        <v>30.002949596200541</v>
      </c>
      <c r="F37" t="str" cm="1">
        <f t="array" aca="1" ref="F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7" s="2">
        <f t="shared" ca="1" si="3"/>
        <v>40.028754099025633</v>
      </c>
      <c r="H37" s="5" t="str" cm="1">
        <f t="array" aca="1" ref="H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X37" s="1">
        <f t="shared" si="15"/>
        <v>73.06</v>
      </c>
      <c r="Y37" s="22" t="s">
        <v>9</v>
      </c>
      <c r="Z37" s="9" t="s">
        <v>9</v>
      </c>
      <c r="AA37" s="35" t="s">
        <v>13</v>
      </c>
      <c r="AB37" s="9">
        <f ca="1">_xlfn.XLOOKUP(Y37,$T$1:$T$7,$U$1:$U$7,"erro",0,1)-AE28-AE33-AE23</f>
        <v>706</v>
      </c>
      <c r="AC37" s="9">
        <f ca="1">_xlfn.XLOOKUP(Z37,$X$1:$X$7,$Y$1:$Y$7,"erro",0,1)-AE26-AE30-AE34</f>
        <v>670</v>
      </c>
      <c r="AD37" s="9">
        <f ca="1">_xlfn.XLOOKUP(AA37,$P$1:$P$7,$Q$1:$Q$7,"erro",0,1)</f>
        <v>0</v>
      </c>
      <c r="AE37" s="25">
        <f t="shared" ca="1" si="27"/>
        <v>0</v>
      </c>
      <c r="AF37" s="24">
        <f t="shared" ca="1" si="28"/>
        <v>0</v>
      </c>
      <c r="AG37" s="46">
        <v>14</v>
      </c>
      <c r="AH37" s="1">
        <f t="shared" si="18"/>
        <v>73.06</v>
      </c>
      <c r="AI37" s="22" t="s">
        <v>9</v>
      </c>
      <c r="AJ37" s="9" t="s">
        <v>9</v>
      </c>
      <c r="AK37" s="35" t="s">
        <v>13</v>
      </c>
      <c r="AL37" s="9">
        <f t="shared" ca="1" si="29"/>
        <v>706</v>
      </c>
      <c r="AM37" s="9">
        <f t="shared" ref="AM37:AM38" ca="1" si="30">_xlfn.XLOOKUP(AJ37,$X$1:$X$7,$Y$1:$Y$7,"erro",0,1)</f>
        <v>670</v>
      </c>
      <c r="AN37" s="9">
        <f ca="1">_xlfn.XLOOKUP(AK37,$P$1:$P$7,$Q$1:$Q$7,"erro",0,1)-AO38-AO36</f>
        <v>0</v>
      </c>
      <c r="AO37" s="44">
        <f t="shared" ca="1" si="23"/>
        <v>0</v>
      </c>
      <c r="AP37" s="24">
        <f t="shared" ca="1" si="25"/>
        <v>0</v>
      </c>
      <c r="AQ37" s="46">
        <v>5</v>
      </c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</row>
    <row r="38" spans="1:120" ht="15.75" thickBot="1" x14ac:dyDescent="0.3">
      <c r="A38" s="2">
        <f t="shared" ca="1" si="0"/>
        <v>3.0029905600140756</v>
      </c>
      <c r="B38" cm="1">
        <f t="array" aca="1" ref="B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38" s="2">
        <f t="shared" ca="1" si="1"/>
        <v>3.0122319126341384</v>
      </c>
      <c r="D38" t="str" cm="1">
        <f t="array" aca="1" ref="D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8" s="2">
        <f t="shared" ca="1" si="2"/>
        <v>30.020504566406533</v>
      </c>
      <c r="F38" t="str" cm="1">
        <f t="array" aca="1" ref="F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8" s="2">
        <f t="shared" ca="1" si="3"/>
        <v>40.029760639490959</v>
      </c>
      <c r="H38" s="5" t="str" cm="1">
        <f t="array" aca="1" ref="H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X38" s="1">
        <f t="shared" si="15"/>
        <v>73.06</v>
      </c>
      <c r="Y38" s="26" t="s">
        <v>10</v>
      </c>
      <c r="Z38" s="27" t="s">
        <v>8</v>
      </c>
      <c r="AA38" s="36" t="s">
        <v>13</v>
      </c>
      <c r="AB38" s="27">
        <f ca="1">_xlfn.XLOOKUP(Y38,$T$1:$T$7,$U$1:$U$7,"erro",0,1)-AE29-AE34-AE24</f>
        <v>0</v>
      </c>
      <c r="AC38" s="27">
        <f ca="1">_xlfn.XLOOKUP(Z38,$X$1:$X$7,$Y$1:$Y$7,"erro",0,1)-AE35-AE31</f>
        <v>658</v>
      </c>
      <c r="AD38" s="27">
        <f ca="1">_xlfn.XLOOKUP(AA38,$P$1:$P$7,$Q$1:$Q$7,"erro",0,1)-AE37-AE36</f>
        <v>0</v>
      </c>
      <c r="AE38" s="33">
        <f t="shared" ca="1" si="27"/>
        <v>0</v>
      </c>
      <c r="AF38" s="30">
        <f t="shared" ca="1" si="28"/>
        <v>0</v>
      </c>
      <c r="AG38" s="46">
        <v>16</v>
      </c>
      <c r="AH38" s="1">
        <f t="shared" si="18"/>
        <v>73.06</v>
      </c>
      <c r="AI38" s="26" t="s">
        <v>10</v>
      </c>
      <c r="AJ38" s="27" t="s">
        <v>8</v>
      </c>
      <c r="AK38" s="36" t="s">
        <v>13</v>
      </c>
      <c r="AL38" s="27">
        <f ca="1">_xlfn.XLOOKUP(AI38,$T$1:$T$7,$U$1:$U$7,"erro",0,1)</f>
        <v>630</v>
      </c>
      <c r="AM38" s="27">
        <f t="shared" ca="1" si="30"/>
        <v>658</v>
      </c>
      <c r="AN38" s="27">
        <f ca="1">_xlfn.XLOOKUP(AK38,$P$1:$P$7,$Q$1:$Q$7,"erro",0,1)</f>
        <v>0</v>
      </c>
      <c r="AO38" s="45">
        <f t="shared" ca="1" si="23"/>
        <v>0</v>
      </c>
      <c r="AP38" s="30">
        <f t="shared" ca="1" si="25"/>
        <v>0</v>
      </c>
      <c r="AQ38" s="46">
        <v>1</v>
      </c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</row>
    <row r="39" spans="1:120" x14ac:dyDescent="0.25">
      <c r="A39" s="2">
        <f t="shared" ca="1" si="0"/>
        <v>3.0056976193861065</v>
      </c>
      <c r="B39" cm="1">
        <f t="array" aca="1" ref="B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39" s="2">
        <f t="shared" ca="1" si="1"/>
        <v>3.0240094416624808</v>
      </c>
      <c r="D39" t="str" cm="1">
        <f t="array" aca="1" ref="D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9" s="2">
        <f t="shared" ca="1" si="2"/>
        <v>30.020517115171579</v>
      </c>
      <c r="F39" t="str" cm="1">
        <f t="array" aca="1" ref="F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9" s="2">
        <f t="shared" ca="1" si="3"/>
        <v>40.001983106623896</v>
      </c>
      <c r="H39" s="5" t="str" cm="1">
        <f t="array" aca="1" ref="H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Y39"/>
      <c r="Z39"/>
      <c r="AA39"/>
      <c r="AB39"/>
      <c r="AC39"/>
      <c r="AD39"/>
      <c r="AE39"/>
      <c r="AF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</row>
    <row r="40" spans="1:120" x14ac:dyDescent="0.25">
      <c r="A40" s="2">
        <f t="shared" ca="1" si="0"/>
        <v>3.0060148723396631</v>
      </c>
      <c r="B40" cm="1">
        <f t="array" aca="1" ref="B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40" s="2">
        <f t="shared" ca="1" si="1"/>
        <v>3.018024493579472</v>
      </c>
      <c r="D40" t="str" cm="1">
        <f t="array" aca="1" ref="D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0" s="2">
        <f t="shared" ca="1" si="2"/>
        <v>30.019568162257634</v>
      </c>
      <c r="F40" t="str" cm="1">
        <f t="array" aca="1" ref="F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0" s="2">
        <f t="shared" ca="1" si="3"/>
        <v>40.026392127472469</v>
      </c>
      <c r="H40" s="5" t="str" cm="1">
        <f t="array" aca="1" ref="H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Z40" s="64" t="s">
        <v>15</v>
      </c>
      <c r="AA40" s="64"/>
      <c r="AB40" s="64"/>
      <c r="AC40" s="64"/>
      <c r="AD40" s="64"/>
      <c r="AE40" s="64"/>
      <c r="AJ40" s="64" t="s">
        <v>15</v>
      </c>
      <c r="AK40" s="64"/>
      <c r="AL40" s="64"/>
      <c r="AM40" s="64"/>
      <c r="AN40" s="64"/>
      <c r="AO40" s="64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</row>
    <row r="41" spans="1:120" x14ac:dyDescent="0.25">
      <c r="A41" s="2">
        <f t="shared" ca="1" si="0"/>
        <v>3.0028072979781184</v>
      </c>
      <c r="B41" cm="1">
        <f t="array" aca="1" ref="B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41" s="2">
        <f t="shared" ca="1" si="1"/>
        <v>3.0085225441361869</v>
      </c>
      <c r="D41" t="str" cm="1">
        <f t="array" aca="1" ref="D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1" s="2">
        <f t="shared" ca="1" si="2"/>
        <v>30.002366932283387</v>
      </c>
      <c r="F41" t="str" cm="1">
        <f t="array" aca="1" ref="F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1" s="2">
        <f t="shared" ca="1" si="3"/>
        <v>40.004253614594617</v>
      </c>
      <c r="H41" s="5" t="str" cm="1">
        <f t="array" aca="1" ref="H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Z41" s="9" t="s">
        <v>16</v>
      </c>
      <c r="AA41" s="9" t="s">
        <v>8</v>
      </c>
      <c r="AB41" s="9" t="s">
        <v>9</v>
      </c>
      <c r="AC41" s="9" t="s">
        <v>10</v>
      </c>
      <c r="AD41" s="9" t="s">
        <v>11</v>
      </c>
      <c r="AE41" s="9" t="s">
        <v>13</v>
      </c>
      <c r="AJ41" s="9" t="s">
        <v>16</v>
      </c>
      <c r="AK41" s="9" t="s">
        <v>8</v>
      </c>
      <c r="AL41" s="9" t="s">
        <v>9</v>
      </c>
      <c r="AM41" s="9" t="s">
        <v>10</v>
      </c>
      <c r="AN41" s="9" t="s">
        <v>11</v>
      </c>
      <c r="AO41" s="9" t="s">
        <v>13</v>
      </c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</row>
    <row r="42" spans="1:120" x14ac:dyDescent="0.25">
      <c r="A42" s="2">
        <f t="shared" ca="1" si="0"/>
        <v>3.009648799757239</v>
      </c>
      <c r="B42" cm="1">
        <f t="array" aca="1" ref="B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42" s="2">
        <f t="shared" ca="1" si="1"/>
        <v>3.0229262700322947</v>
      </c>
      <c r="D42" t="str" cm="1">
        <f t="array" aca="1" ref="D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2" s="2">
        <f t="shared" ca="1" si="2"/>
        <v>30.004664881717083</v>
      </c>
      <c r="F42" t="str" cm="1">
        <f t="array" aca="1" ref="F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2" s="2">
        <f t="shared" ca="1" si="3"/>
        <v>40.012857006872736</v>
      </c>
      <c r="H42" s="5" t="str" cm="1">
        <f t="array" aca="1" ref="H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Z42" s="9" t="s">
        <v>17</v>
      </c>
      <c r="AA42" s="9">
        <f ca="1">_xlfn.XLOOKUP(AA41,$T$1:$T$7,$U$1:$U$7,"ERRO",0,1)-AE27-AE32-AE36</f>
        <v>664</v>
      </c>
      <c r="AB42" s="9">
        <f ca="1">_xlfn.XLOOKUP(AB$41,$T$1:$T$7,$U$1:$U$7,"ERRO",0,1)-AE23-AE28-AE33-AE37</f>
        <v>706</v>
      </c>
      <c r="AC42" s="9">
        <f ca="1">_xlfn.XLOOKUP(AC41,$T$1:$T$7,$U$1:$U$7,"ERRO",0,1)-AE20-AE24-AE29-AE34-AE38</f>
        <v>0</v>
      </c>
      <c r="AD42" s="9">
        <f ca="1">_xlfn.XLOOKUP(AD41,$T$1:$T$7,$U$1:$U$7,"ERRO",0,1)-AE21-AE25-AE30-AE35</f>
        <v>0</v>
      </c>
      <c r="AE42" s="9">
        <f ca="1">_xlfn.XLOOKUP(AE41,$T$1:$T$7,$U$1:$U$7,"ERRO",0,1)-AE22-AE26-AE31</f>
        <v>0</v>
      </c>
      <c r="AJ42" s="9" t="s">
        <v>17</v>
      </c>
      <c r="AK42" s="9">
        <f ca="1">_xlfn.XLOOKUP(AK41,$T$1:$T$7,$U$1:$U$7,"ERRO",0,1)-AO27-AO32-AO36</f>
        <v>664</v>
      </c>
      <c r="AL42" s="9">
        <f ca="1">_xlfn.XLOOKUP(AL$41,$T$1:$T$7,$U$1:$U$7,"ERRO",0,1)-AO23-AO28-AO33-AO37</f>
        <v>706</v>
      </c>
      <c r="AM42" s="9">
        <f ca="1">_xlfn.XLOOKUP(AM41,$T$1:$T$7,$U$1:$U$7,"ERRO",0,1)-AO20-AO24-AO29-AO34-AO38</f>
        <v>0</v>
      </c>
      <c r="AN42" s="9">
        <f ca="1">_xlfn.XLOOKUP(AN41,$T$1:$T$7,$U$1:$U$7,"ERRO",0,1)-AO21-AO25-AO30-AO35</f>
        <v>0</v>
      </c>
      <c r="AO42" s="9">
        <f ca="1">_xlfn.XLOOKUP(AO41,$T$1:$T$7,$U$1:$U$7,"ERRO",0,1)-AO22-AO26-AO31</f>
        <v>0</v>
      </c>
      <c r="AS42"/>
      <c r="AT42"/>
      <c r="AU42"/>
      <c r="AV42"/>
      <c r="AW42"/>
      <c r="AX42"/>
      <c r="AY42"/>
      <c r="AZ42"/>
      <c r="BA42"/>
      <c r="BB42"/>
    </row>
    <row r="43" spans="1:120" x14ac:dyDescent="0.25">
      <c r="A43" s="2">
        <f t="shared" ca="1" si="0"/>
        <v>3.0079952178941851</v>
      </c>
      <c r="B43" cm="1">
        <f t="array" aca="1" ref="B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43" s="2">
        <f t="shared" ca="1" si="1"/>
        <v>3.0203756268296162</v>
      </c>
      <c r="D43" t="str" cm="1">
        <f t="array" aca="1" ref="D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3" s="2">
        <f t="shared" ca="1" si="2"/>
        <v>30.001261623904469</v>
      </c>
      <c r="F43" t="str" cm="1">
        <f t="array" aca="1" ref="F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3" s="2">
        <f t="shared" ca="1" si="3"/>
        <v>40.003063966350823</v>
      </c>
      <c r="H43" s="5" t="str" cm="1">
        <f t="array" aca="1" ref="H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Z43" s="9" t="s">
        <v>18</v>
      </c>
      <c r="AA43" s="9">
        <f ca="1">_xlfn.XLOOKUP(AA41,$X$1:$X$7,$Y$1:$Y$7,"ERRO",0,1)-AE38-AE35-AE31</f>
        <v>658</v>
      </c>
      <c r="AB43" s="9">
        <f ca="1">_xlfn.XLOOKUP(AB41,$X$1:$X$7,$Y$1:$Y$7,"ERRO",0,1)-AE37-AE34-AE30-AE26</f>
        <v>670</v>
      </c>
      <c r="AC43" s="9">
        <f ca="1">_xlfn.XLOOKUP(AC41,$X$1:$X$7,$Y$1:$Y$7,"ERRO",0,1)-AE22-AE25-AE29-AE33-AE36</f>
        <v>42</v>
      </c>
      <c r="AD43" s="9">
        <f ca="1">_xlfn.XLOOKUP(AD41,$X$1:$X$7,$Y$1:$Y$7,"ERRO",0,1)-AE32-AE28-AE21-AE24</f>
        <v>0</v>
      </c>
      <c r="AE43" s="9">
        <f ca="1">_xlfn.XLOOKUP(AE41,$X$1:$X$7,$Y$1:$Y$7,"ERRO",0,1)-AE20-AE23-AE27</f>
        <v>0</v>
      </c>
      <c r="AJ43" s="9" t="s">
        <v>18</v>
      </c>
      <c r="AK43" s="9">
        <f ca="1">_xlfn.XLOOKUP(AK41,$X$1:$X$7,$Y$1:$Y$7,"ERRO",0,1)-AO38-AO35-AO31</f>
        <v>658</v>
      </c>
      <c r="AL43" s="9">
        <f ca="1">_xlfn.XLOOKUP(AL41,$X$1:$X$7,$Y$1:$Y$7,"ERRO",0,1)-AO37-AO34-AO30-AO26</f>
        <v>670</v>
      </c>
      <c r="AM43" s="9">
        <f ca="1">_xlfn.XLOOKUP(AM41,$X$1:$X$7,$Y$1:$Y$7,"ERRO",0,1)-AO22-AO25-AO29-AO33-AO36</f>
        <v>42</v>
      </c>
      <c r="AN43" s="9">
        <f ca="1">_xlfn.XLOOKUP(AN41,$X$1:$X$7,$Y$1:$Y$7,"ERRO",0,1)-AO32-AO28-AO21-AO24</f>
        <v>0</v>
      </c>
      <c r="AO43" s="9">
        <f ca="1">_xlfn.XLOOKUP(AO41,$X$1:$X$7,$Y$1:$Y$7,"ERRO",0,1)-AO20-AO23-AO27</f>
        <v>0</v>
      </c>
      <c r="AS43"/>
      <c r="AT43"/>
      <c r="AU43"/>
      <c r="AV43"/>
      <c r="AW43"/>
      <c r="AX43"/>
      <c r="AY43"/>
      <c r="AZ43"/>
      <c r="BA43"/>
      <c r="BB43"/>
    </row>
    <row r="44" spans="1:120" x14ac:dyDescent="0.25">
      <c r="A44" s="2">
        <f t="shared" ca="1" si="0"/>
        <v>3.0016207958676384</v>
      </c>
      <c r="B44" cm="1">
        <f t="array" aca="1" ref="B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44" s="2">
        <f t="shared" ca="1" si="1"/>
        <v>3.0039147697185551</v>
      </c>
      <c r="D44" t="str" cm="1">
        <f t="array" aca="1" ref="D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4" s="2">
        <f t="shared" ca="1" si="2"/>
        <v>30.021096640637705</v>
      </c>
      <c r="F44" t="str" cm="1">
        <f t="array" aca="1" ref="F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4" s="2">
        <f t="shared" ca="1" si="3"/>
        <v>40.022954781328181</v>
      </c>
      <c r="H44" s="5" t="str" cm="1">
        <f t="array" aca="1" ref="H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Z44" s="9" t="s">
        <v>19</v>
      </c>
      <c r="AA44" s="9">
        <f ca="1">_xlfn.XLOOKUP(AA41,$P$1:$P$7,$Q$1:$Q$7,"ERRO",0,1)-AE20-AE21-AE22</f>
        <v>614</v>
      </c>
      <c r="AB44" s="9">
        <f ca="1">_xlfn.XLOOKUP(AB41,$P$1:$P$7,$Q$1:$Q$7,"ERRO",0,1)-AE23-AE24-AE25-AE26</f>
        <v>671</v>
      </c>
      <c r="AC44" s="9">
        <f ca="1">_xlfn.XLOOKUP(AC41,$P$1:$P$7,$Q$1:$Q$7,"ERRO",0,1)-AE27-AE28-AE29-AE30-AE31</f>
        <v>85</v>
      </c>
      <c r="AD44" s="9">
        <f ca="1">_xlfn.XLOOKUP(AD41,$P$1:$P$7,$Q$1:$Q$7,"ERRO",0,1)-AE32-AE33-AE34-AE35</f>
        <v>0</v>
      </c>
      <c r="AE44" s="9">
        <f ca="1">_xlfn.XLOOKUP(AE41,$P$1:$P$7,$Q$1:$Q$7,"ERRO",0,1)-AE36-AE37-AE38</f>
        <v>0</v>
      </c>
      <c r="AJ44" s="9" t="s">
        <v>19</v>
      </c>
      <c r="AK44" s="9">
        <f ca="1">_xlfn.XLOOKUP(AK41,$P$1:$P$7,$Q$1:$Q$7,"ERRO",0,1)-AO20-AO21-AO22</f>
        <v>614</v>
      </c>
      <c r="AL44" s="9">
        <f ca="1">_xlfn.XLOOKUP(AL41,$P$1:$P$7,$Q$1:$Q$7,"ERRO",0,1)-AO23-AO24-AO25-AO26</f>
        <v>671</v>
      </c>
      <c r="AM44" s="9">
        <f ca="1">_xlfn.XLOOKUP(AM41,$P$1:$P$7,$Q$1:$Q$7,"ERRO",0,1)-AO27-AO28-AO29-AO30-AO31</f>
        <v>85</v>
      </c>
      <c r="AN44" s="9">
        <f ca="1">_xlfn.XLOOKUP(AN41,$P$1:$P$7,$Q$1:$Q$7,"ERRO",0,1)-AO32-AO33-AO34-AO35</f>
        <v>0</v>
      </c>
      <c r="AO44" s="9">
        <f ca="1">_xlfn.XLOOKUP(AO41,$P$1:$P$7,$Q$1:$Q$7,"ERRO",0,1)-AO36-AO37-AO38</f>
        <v>0</v>
      </c>
      <c r="AS44"/>
      <c r="AT44"/>
      <c r="AU44"/>
      <c r="AV44"/>
      <c r="AW44"/>
      <c r="AX44"/>
      <c r="AY44"/>
      <c r="AZ44"/>
      <c r="BA44"/>
      <c r="BB44"/>
    </row>
    <row r="45" spans="1:120" x14ac:dyDescent="0.25">
      <c r="A45" s="2">
        <f t="shared" ca="1" si="0"/>
        <v>3.0007510956041474</v>
      </c>
      <c r="B45" cm="1">
        <f t="array" aca="1" ref="B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45" s="2">
        <f t="shared" ca="1" si="1"/>
        <v>3.0296090907458293</v>
      </c>
      <c r="D45" t="str" cm="1">
        <f t="array" aca="1" ref="D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5" s="2">
        <f t="shared" ca="1" si="2"/>
        <v>30.024078167249431</v>
      </c>
      <c r="F45" t="str" cm="1">
        <f t="array" aca="1" ref="F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5" s="2">
        <f t="shared" ca="1" si="3"/>
        <v>40.01873816708153</v>
      </c>
      <c r="H45" s="5" t="str" cm="1">
        <f t="array" aca="1" ref="H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AS45"/>
      <c r="AT45"/>
      <c r="AU45"/>
      <c r="AV45"/>
      <c r="AW45"/>
      <c r="AX45"/>
      <c r="AY45"/>
      <c r="AZ45"/>
      <c r="BA45"/>
      <c r="BB45"/>
    </row>
    <row r="46" spans="1:120" ht="15.75" thickBot="1" x14ac:dyDescent="0.3">
      <c r="A46" s="2">
        <f t="shared" ca="1" si="0"/>
        <v>3.0053203094238219</v>
      </c>
      <c r="B46" cm="1">
        <f t="array" aca="1" ref="B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46" s="2">
        <f t="shared" ca="1" si="1"/>
        <v>3.0121356393047032</v>
      </c>
      <c r="D46" t="str" cm="1">
        <f t="array" aca="1" ref="D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6" s="2">
        <f t="shared" ca="1" si="2"/>
        <v>30.010657929452453</v>
      </c>
      <c r="F46" t="str" cm="1">
        <f t="array" aca="1" ref="F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6" s="2">
        <f t="shared" ca="1" si="3"/>
        <v>40.00474296128553</v>
      </c>
      <c r="H46" s="5" t="str" cm="1">
        <f t="array" aca="1" ref="H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L46" t="s">
        <v>20</v>
      </c>
      <c r="M46"/>
      <c r="N46"/>
      <c r="O46"/>
      <c r="P46"/>
      <c r="Q46"/>
      <c r="R46" s="50">
        <f ca="1">SUM(R47:R65)/K15</f>
        <v>0.34170854271356782</v>
      </c>
      <c r="S46"/>
      <c r="T46"/>
      <c r="V46" t="s">
        <v>21</v>
      </c>
      <c r="W46"/>
      <c r="X46"/>
      <c r="Y46"/>
      <c r="Z46"/>
      <c r="AA46"/>
      <c r="AB46" s="50">
        <f ca="1">SUM(AB47:AB65)/L15</f>
        <v>0.29081632653061223</v>
      </c>
      <c r="AC46"/>
      <c r="AD46"/>
      <c r="AF46" t="s">
        <v>23</v>
      </c>
      <c r="AG46"/>
      <c r="AH46"/>
      <c r="AI46"/>
      <c r="AJ46"/>
      <c r="AK46"/>
      <c r="AL46" s="50">
        <f ca="1">SUM(AL47:AL65)/M15</f>
        <v>0.30808080808080807</v>
      </c>
      <c r="AM46"/>
      <c r="AN46"/>
      <c r="AP46" t="s">
        <v>24</v>
      </c>
      <c r="AQ46"/>
      <c r="AR46"/>
      <c r="AS46"/>
      <c r="AT46"/>
      <c r="AU46"/>
      <c r="AV46" s="50">
        <f ca="1">SUM(AV47:AV65)/N15</f>
        <v>0.35175879396984927</v>
      </c>
      <c r="AW46"/>
      <c r="AX46"/>
      <c r="AZ46" t="s">
        <v>25</v>
      </c>
      <c r="BA46"/>
      <c r="BB46"/>
      <c r="BC46"/>
      <c r="BD46"/>
      <c r="BE46"/>
      <c r="BF46" s="50">
        <f ca="1">SUM(BF47:BF65)/O15</f>
        <v>0.3551912568306011</v>
      </c>
      <c r="BG46"/>
      <c r="BH46"/>
      <c r="BJ46" t="s">
        <v>26</v>
      </c>
      <c r="BK46"/>
      <c r="BL46"/>
      <c r="BM46"/>
      <c r="BN46"/>
      <c r="BO46"/>
      <c r="BP46" s="50">
        <f ca="1">SUM(BP47:BP65)/P15</f>
        <v>0.38541666666666669</v>
      </c>
      <c r="BQ46"/>
      <c r="BR46"/>
      <c r="BT46" t="s">
        <v>27</v>
      </c>
      <c r="BU46"/>
      <c r="BV46"/>
      <c r="BW46"/>
      <c r="BX46"/>
      <c r="BY46"/>
      <c r="BZ46" s="50">
        <f ca="1">SUM(BZ47:BZ65)/Q15</f>
        <v>0.37280701754385964</v>
      </c>
      <c r="CA46"/>
      <c r="CB46"/>
      <c r="CD46" t="s">
        <v>28</v>
      </c>
      <c r="CE46"/>
      <c r="CF46"/>
      <c r="CG46"/>
      <c r="CH46"/>
      <c r="CI46"/>
      <c r="CJ46" s="50">
        <f ca="1">SUM(CJ47:CJ65)/R15</f>
        <v>0.40465116279069768</v>
      </c>
      <c r="CK46"/>
      <c r="CL46"/>
      <c r="CN46" t="s">
        <v>29</v>
      </c>
      <c r="CO46"/>
      <c r="CP46"/>
      <c r="CQ46"/>
      <c r="CR46"/>
      <c r="CS46"/>
      <c r="CT46" s="50">
        <f ca="1">SUM(CT47:CT65)/S15</f>
        <v>0.33689839572192515</v>
      </c>
      <c r="CU46"/>
      <c r="CV46"/>
      <c r="CX46" t="s">
        <v>30</v>
      </c>
      <c r="CY46"/>
      <c r="CZ46"/>
      <c r="DA46"/>
      <c r="DB46"/>
      <c r="DC46"/>
      <c r="DD46" s="50">
        <f ca="1">SUM(DD47:DD65)/T15</f>
        <v>0</v>
      </c>
      <c r="DE46"/>
      <c r="DF46"/>
      <c r="DH46"/>
      <c r="DI46"/>
      <c r="DJ46"/>
      <c r="DK46"/>
      <c r="DL46"/>
      <c r="DM46"/>
      <c r="DN46"/>
      <c r="DO46"/>
      <c r="DP46"/>
    </row>
    <row r="47" spans="1:120" x14ac:dyDescent="0.25">
      <c r="A47" s="2">
        <f t="shared" ca="1" si="0"/>
        <v>3.0003149268834903</v>
      </c>
      <c r="B47" cm="1">
        <f t="array" aca="1" ref="B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47" s="2">
        <f t="shared" ca="1" si="1"/>
        <v>3.0293275313681911</v>
      </c>
      <c r="D47" t="str" cm="1">
        <f t="array" aca="1" ref="D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7" s="2">
        <f t="shared" ca="1" si="2"/>
        <v>30.020803305492262</v>
      </c>
      <c r="F47" t="str" cm="1">
        <f t="array" aca="1" ref="F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7" s="2">
        <f t="shared" ca="1" si="3"/>
        <v>40.011052927292347</v>
      </c>
      <c r="H47" s="5" t="str" cm="1">
        <f t="array" aca="1" ref="H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L47" s="17" t="s">
        <v>10</v>
      </c>
      <c r="M47" s="18" t="s">
        <v>13</v>
      </c>
      <c r="N47" s="40" t="s">
        <v>8</v>
      </c>
      <c r="O47" s="18">
        <f ca="1">_xlfn.XLOOKUP(L47,$T$1:$T$7,$U$1:$U$7,"erro",0,1)-R65</f>
        <v>630</v>
      </c>
      <c r="P47" s="18">
        <f ca="1">_xlfn.XLOOKUP(M47,$X$1:$X$7,$Y$1:$Y$7,"erro",0,1)</f>
        <v>0</v>
      </c>
      <c r="Q47" s="18">
        <f ca="1">_xlfn.XLOOKUP(N47,$J$17:$J$23,$K$17:$K$23,"erro",0,1)</f>
        <v>56</v>
      </c>
      <c r="R47" s="43">
        <f t="shared" ref="R47:R55" ca="1" si="31">SMALL(O47:Q47,1)</f>
        <v>0</v>
      </c>
      <c r="S47" s="21">
        <f t="shared" ref="S47:S53" ca="1" si="32">Q47-R47</f>
        <v>56</v>
      </c>
      <c r="T47" s="46">
        <v>2</v>
      </c>
      <c r="V47" s="17" t="s">
        <v>10</v>
      </c>
      <c r="W47" s="18" t="s">
        <v>13</v>
      </c>
      <c r="X47" s="40" t="s">
        <v>8</v>
      </c>
      <c r="Y47" s="18">
        <f ca="1">_xlfn.XLOOKUP(V47,N$68:N$72,O$68:O$72,"erro",0,1)-AB65</f>
        <v>562</v>
      </c>
      <c r="Z47" s="18">
        <f ca="1">_xlfn.XLOOKUP(W47,N$68:N$72,P$68:P$72,"erro",0,1)</f>
        <v>0</v>
      </c>
      <c r="AA47" s="18">
        <f ca="1">_xlfn.XLOOKUP(X47,$J$17:$J$23,$L$17:$L$23,"erro",0,1)</f>
        <v>69</v>
      </c>
      <c r="AB47" s="43">
        <f t="shared" ref="AB47:AB55" ca="1" si="33">SMALL(Y47:AA47,1)</f>
        <v>0</v>
      </c>
      <c r="AC47" s="21">
        <f t="shared" ref="AC47:AC53" ca="1" si="34">AA47-AB47</f>
        <v>69</v>
      </c>
      <c r="AD47" s="46">
        <v>2</v>
      </c>
      <c r="AF47" s="17" t="s">
        <v>10</v>
      </c>
      <c r="AG47" s="18" t="s">
        <v>13</v>
      </c>
      <c r="AH47" s="40" t="s">
        <v>8</v>
      </c>
      <c r="AI47" s="18">
        <f ca="1">_xlfn.XLOOKUP(AF47,X$68:X$72,Y$68:Y$72,"erro",0,1)-AL65</f>
        <v>505</v>
      </c>
      <c r="AJ47" s="18">
        <f ca="1">_xlfn.XLOOKUP(AG47,X$68:X$72,Z$68:Z$72,"erro",0,1)</f>
        <v>0</v>
      </c>
      <c r="AK47" s="18">
        <f ca="1">_xlfn.XLOOKUP(AH47,$J$17:$J$23,$M$17:$M$23,"erro",0,1)</f>
        <v>65</v>
      </c>
      <c r="AL47" s="43">
        <f t="shared" ref="AL47:AL55" ca="1" si="35">SMALL(AI47:AK47,1)</f>
        <v>0</v>
      </c>
      <c r="AM47" s="21">
        <f t="shared" ref="AM47:AM53" ca="1" si="36">AK47-AL47</f>
        <v>65</v>
      </c>
      <c r="AN47" s="46">
        <v>2</v>
      </c>
      <c r="AP47" s="17" t="s">
        <v>10</v>
      </c>
      <c r="AQ47" s="18" t="s">
        <v>13</v>
      </c>
      <c r="AR47" s="40" t="s">
        <v>8</v>
      </c>
      <c r="AS47" s="18">
        <f ca="1">_xlfn.XLOOKUP(AP47,AH$68:AH$72,AI$68:AI$72,"erro",0,1)-AV65</f>
        <v>444</v>
      </c>
      <c r="AT47" s="18">
        <f ca="1">_xlfn.XLOOKUP(AQ47,AH$68:AH$72,AJ$68:AJ$72,"erro",0,1)</f>
        <v>0</v>
      </c>
      <c r="AU47" s="18">
        <f ca="1">_xlfn.XLOOKUP(AR47,$J$17:$J$23,$N$17:$N$23,"erro",0,1)</f>
        <v>60</v>
      </c>
      <c r="AV47" s="43">
        <f t="shared" ref="AV47:AV55" ca="1" si="37">SMALL(AS47:AU47,1)</f>
        <v>0</v>
      </c>
      <c r="AW47" s="21">
        <f t="shared" ref="AW47:AW53" ca="1" si="38">AU47-AV47</f>
        <v>60</v>
      </c>
      <c r="AX47" s="46">
        <v>2</v>
      </c>
      <c r="AZ47" s="17" t="s">
        <v>10</v>
      </c>
      <c r="BA47" s="18" t="s">
        <v>13</v>
      </c>
      <c r="BB47" s="40" t="s">
        <v>8</v>
      </c>
      <c r="BC47" s="18">
        <f ca="1">_xlfn.XLOOKUP(AZ47,AR$68:AR$72,AS$68:AS$72,"erro",0,1)-BF65</f>
        <v>374</v>
      </c>
      <c r="BD47" s="18">
        <f ca="1">_xlfn.XLOOKUP(BA47,AR$68:AR$72,AT$68:AT$72,"erro",0,1)</f>
        <v>0</v>
      </c>
      <c r="BE47" s="18">
        <f ca="1">_xlfn.XLOOKUP(BB47,$J$17:$J$23,$O$17:$O$23,"erro",0,1)</f>
        <v>65</v>
      </c>
      <c r="BF47" s="43">
        <f t="shared" ref="BF47:BF55" ca="1" si="39">SMALL(BC47:BE47,1)</f>
        <v>0</v>
      </c>
      <c r="BG47" s="21">
        <f t="shared" ref="BG47:BG53" ca="1" si="40">BE47-BF47</f>
        <v>65</v>
      </c>
      <c r="BH47" s="46">
        <v>2</v>
      </c>
      <c r="BJ47" s="17" t="s">
        <v>10</v>
      </c>
      <c r="BK47" s="18" t="s">
        <v>13</v>
      </c>
      <c r="BL47" s="40" t="s">
        <v>8</v>
      </c>
      <c r="BM47" s="18">
        <f ca="1">_xlfn.XLOOKUP(BJ47,BB$68:BB$72,BC$68:BC$72,"erro",0,1)-BP65</f>
        <v>309</v>
      </c>
      <c r="BN47" s="18">
        <f ca="1">_xlfn.XLOOKUP(BK47,BB$68:BB$72,BD$68:BD$72,"erro",0,1)</f>
        <v>0</v>
      </c>
      <c r="BO47" s="18">
        <f ca="1">_xlfn.XLOOKUP(BL47,$J$17:$J$23,$P$17:$P$23,"erro",0,1)</f>
        <v>57</v>
      </c>
      <c r="BP47" s="43">
        <f t="shared" ref="BP47:BP55" ca="1" si="41">SMALL(BM47:BO47,1)</f>
        <v>0</v>
      </c>
      <c r="BQ47" s="21">
        <f t="shared" ref="BQ47:BQ53" ca="1" si="42">BO47-BP47</f>
        <v>57</v>
      </c>
      <c r="BR47" s="46">
        <v>2</v>
      </c>
      <c r="BT47" s="17" t="s">
        <v>10</v>
      </c>
      <c r="BU47" s="18" t="s">
        <v>13</v>
      </c>
      <c r="BV47" s="40" t="s">
        <v>8</v>
      </c>
      <c r="BW47" s="18">
        <f ca="1">_xlfn.XLOOKUP(BT47,BL$68:BL$72,BM$68:BM$72,"erro",0,1)-BZ65</f>
        <v>235</v>
      </c>
      <c r="BX47" s="18">
        <f ca="1">_xlfn.XLOOKUP(BU47,BL$68:BL$72,BN$68:BN$72,"erro",0,1)</f>
        <v>0</v>
      </c>
      <c r="BY47" s="18">
        <f ca="1">_xlfn.XLOOKUP(BV47,$J$17:$J$23,$Q$17:$Q$23,"erro",0,1)</f>
        <v>66</v>
      </c>
      <c r="BZ47" s="43">
        <f t="shared" ref="BZ47:BZ55" ca="1" si="43">SMALL(BW47:BY47,1)</f>
        <v>0</v>
      </c>
      <c r="CA47" s="21">
        <f t="shared" ref="CA47:CA53" ca="1" si="44">BY47-BZ47</f>
        <v>66</v>
      </c>
      <c r="CB47" s="46">
        <v>2</v>
      </c>
      <c r="CD47" s="17" t="s">
        <v>10</v>
      </c>
      <c r="CE47" s="18" t="s">
        <v>13</v>
      </c>
      <c r="CF47" s="40" t="s">
        <v>8</v>
      </c>
      <c r="CG47" s="18">
        <f ca="1">_xlfn.XLOOKUP(CD47,BV$68:BV$72,BW$68:BW$72,"erro",0,1)-CJ65</f>
        <v>150</v>
      </c>
      <c r="CH47" s="18">
        <f ca="1">_xlfn.XLOOKUP(CE47,BV$68:BV$72,BX$68:BX$72,"erro",0,1)</f>
        <v>0</v>
      </c>
      <c r="CI47" s="18">
        <f ca="1">_xlfn.XLOOKUP(CF47,$J$17:$J$23,$R$17:$R$23,"erro",0,1)</f>
        <v>62</v>
      </c>
      <c r="CJ47" s="43">
        <f t="shared" ref="CJ47:CJ55" ca="1" si="45">SMALL(CG47:CI47,1)</f>
        <v>0</v>
      </c>
      <c r="CK47" s="21">
        <f t="shared" ref="CK47:CK53" ca="1" si="46">CI47-CJ47</f>
        <v>62</v>
      </c>
      <c r="CL47" s="46">
        <v>2</v>
      </c>
      <c r="CN47" s="17" t="s">
        <v>10</v>
      </c>
      <c r="CO47" s="18" t="s">
        <v>13</v>
      </c>
      <c r="CP47" s="40" t="s">
        <v>8</v>
      </c>
      <c r="CQ47" s="18">
        <f ca="1">_xlfn.XLOOKUP(CN47,CF$68:CF$72,CG$68:CG$72,"erro",0,1)-CT65</f>
        <v>63</v>
      </c>
      <c r="CR47" s="18">
        <f ca="1">_xlfn.XLOOKUP(CO47,CF$68:CF$72,CH$68:CH$72,"erro",0,1)</f>
        <v>0</v>
      </c>
      <c r="CS47" s="18">
        <f ca="1">_xlfn.XLOOKUP(CP47,$J$17:$J$23,$S$17:$S$23,"erro",0,1)</f>
        <v>60</v>
      </c>
      <c r="CT47" s="43">
        <f t="shared" ref="CT47:CT55" ca="1" si="47">SMALL(CQ47:CS47,1)</f>
        <v>0</v>
      </c>
      <c r="CU47" s="21">
        <f t="shared" ref="CU47:CU53" ca="1" si="48">CS47-CT47</f>
        <v>60</v>
      </c>
      <c r="CV47" s="46">
        <v>2</v>
      </c>
      <c r="CX47" s="17" t="s">
        <v>10</v>
      </c>
      <c r="CY47" s="18" t="s">
        <v>13</v>
      </c>
      <c r="CZ47" s="40" t="s">
        <v>8</v>
      </c>
      <c r="DA47" s="18">
        <f ca="1">_xlfn.XLOOKUP(CX47,CP$68:CP$72,CQ$68:CQ$72,"erro",0,1)-DD65</f>
        <v>0</v>
      </c>
      <c r="DB47" s="18">
        <f ca="1">_xlfn.XLOOKUP(CY47,CP$68:CP$72,CR$68:CR$72,"erro",0,1)</f>
        <v>0</v>
      </c>
      <c r="DC47" s="18">
        <f ca="1">_xlfn.XLOOKUP(CZ47,$J$17:$J$23,$T$17:$T$23,"erro",0,1)</f>
        <v>54</v>
      </c>
      <c r="DD47" s="43">
        <f t="shared" ref="DD47:DD55" ca="1" si="49">SMALL(DA47:DC47,1)</f>
        <v>0</v>
      </c>
      <c r="DE47" s="21">
        <f t="shared" ref="DE47:DE53" ca="1" si="50">DC47-DD47</f>
        <v>54</v>
      </c>
      <c r="DF47" s="46">
        <v>2</v>
      </c>
      <c r="DH47"/>
      <c r="DI47"/>
      <c r="DJ47"/>
      <c r="DK47"/>
      <c r="DL47"/>
      <c r="DM47"/>
      <c r="DN47"/>
      <c r="DO47"/>
      <c r="DP47"/>
    </row>
    <row r="48" spans="1:120" x14ac:dyDescent="0.25">
      <c r="A48" s="2">
        <f t="shared" ca="1" si="0"/>
        <v>3.0068781711758996</v>
      </c>
      <c r="B48" cm="1">
        <f t="array" aca="1" ref="B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48" s="2">
        <f t="shared" ca="1" si="1"/>
        <v>3.0203491516373941</v>
      </c>
      <c r="D48" t="str" cm="1">
        <f t="array" aca="1" ref="D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8" s="2">
        <f t="shared" ca="1" si="2"/>
        <v>30.025332360341519</v>
      </c>
      <c r="F48" t="str" cm="1">
        <f t="array" aca="1" ref="F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8" s="2">
        <f t="shared" ca="1" si="3"/>
        <v>40.014237931804367</v>
      </c>
      <c r="H48" s="5" t="str" cm="1">
        <f t="array" aca="1" ref="H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L48" s="22" t="s">
        <v>11</v>
      </c>
      <c r="M48" s="9" t="s">
        <v>11</v>
      </c>
      <c r="N48" s="41" t="s">
        <v>8</v>
      </c>
      <c r="O48" s="9">
        <f t="shared" ref="O48:O49" ca="1" si="51">_xlfn.XLOOKUP(L48,$T$1:$T$7,$U$1:$U$7,"erro",0,1)</f>
        <v>0</v>
      </c>
      <c r="P48" s="9">
        <f ca="1">_xlfn.XLOOKUP(M48,$X$1:$X$7,$Y$1:$Y$7,"erro",0,1)</f>
        <v>0</v>
      </c>
      <c r="Q48" s="9">
        <f ca="1">_xlfn.XLOOKUP(N48,$J$17:$J$23,$K$17:$K$23,"erro",0,1)-R47-R49</f>
        <v>56</v>
      </c>
      <c r="R48" s="44">
        <f t="shared" ca="1" si="31"/>
        <v>0</v>
      </c>
      <c r="S48" s="24">
        <f t="shared" ca="1" si="32"/>
        <v>56</v>
      </c>
      <c r="T48" s="46">
        <v>6</v>
      </c>
      <c r="V48" s="22" t="s">
        <v>11</v>
      </c>
      <c r="W48" s="9" t="s">
        <v>11</v>
      </c>
      <c r="X48" s="41" t="s">
        <v>8</v>
      </c>
      <c r="Y48" s="9">
        <f ca="1">_xlfn.XLOOKUP(V48,N$68:N$72,O$68:O$72,"erro",0,1)</f>
        <v>0</v>
      </c>
      <c r="Z48" s="9">
        <f ca="1">_xlfn.XLOOKUP(W48,N$68:N$72,P$68:P$72,"erro",0,1)</f>
        <v>0</v>
      </c>
      <c r="AA48" s="9">
        <f ca="1">_xlfn.XLOOKUP(X48,$J$17:$J$23,$L$17:$L$23,"erro",0,1)-AB47-AB49</f>
        <v>69</v>
      </c>
      <c r="AB48" s="44">
        <f t="shared" ca="1" si="33"/>
        <v>0</v>
      </c>
      <c r="AC48" s="24">
        <f t="shared" ca="1" si="34"/>
        <v>69</v>
      </c>
      <c r="AD48" s="46">
        <v>6</v>
      </c>
      <c r="AF48" s="22" t="s">
        <v>11</v>
      </c>
      <c r="AG48" s="9" t="s">
        <v>11</v>
      </c>
      <c r="AH48" s="41" t="s">
        <v>8</v>
      </c>
      <c r="AI48" s="9">
        <f ca="1">_xlfn.XLOOKUP(AF48,X$68:X$72,Y$68:Y$72,"erro",0,1)</f>
        <v>0</v>
      </c>
      <c r="AJ48" s="9">
        <f ca="1">_xlfn.XLOOKUP(AG48,X$68:X$72,Z$68:Z$72,"erro",0,1)</f>
        <v>0</v>
      </c>
      <c r="AK48" s="9">
        <f ca="1">_xlfn.XLOOKUP(AH48,$J$17:$J$23,$M$17:$M$23,"erro",0,1)-AL47-AL49</f>
        <v>65</v>
      </c>
      <c r="AL48" s="44">
        <f t="shared" ca="1" si="35"/>
        <v>0</v>
      </c>
      <c r="AM48" s="24">
        <f t="shared" ca="1" si="36"/>
        <v>65</v>
      </c>
      <c r="AN48" s="46">
        <v>6</v>
      </c>
      <c r="AP48" s="22" t="s">
        <v>11</v>
      </c>
      <c r="AQ48" s="9" t="s">
        <v>11</v>
      </c>
      <c r="AR48" s="41" t="s">
        <v>8</v>
      </c>
      <c r="AS48" s="9">
        <f ca="1">_xlfn.XLOOKUP(AP48,AH$68:AH$72,AI$68:AI$72,"erro",0,1)</f>
        <v>0</v>
      </c>
      <c r="AT48" s="9">
        <f ca="1">_xlfn.XLOOKUP(AQ48,AH$68:AH$72,AJ$68:AJ$72,"erro",0,1)</f>
        <v>0</v>
      </c>
      <c r="AU48" s="9">
        <f ca="1">_xlfn.XLOOKUP(AR48,$J$17:$J$23,$N$17:$N$23,"erro",0,1)-AV47-AV49</f>
        <v>60</v>
      </c>
      <c r="AV48" s="44">
        <f t="shared" ca="1" si="37"/>
        <v>0</v>
      </c>
      <c r="AW48" s="24">
        <f t="shared" ca="1" si="38"/>
        <v>60</v>
      </c>
      <c r="AX48" s="46">
        <v>6</v>
      </c>
      <c r="AZ48" s="22" t="s">
        <v>11</v>
      </c>
      <c r="BA48" s="9" t="s">
        <v>11</v>
      </c>
      <c r="BB48" s="41" t="s">
        <v>8</v>
      </c>
      <c r="BC48" s="9">
        <f ca="1">_xlfn.XLOOKUP(AZ48,AR$68:AR$72,AS$68:AS$72,"erro",0,1)</f>
        <v>0</v>
      </c>
      <c r="BD48" s="9">
        <f ca="1">_xlfn.XLOOKUP(BA48,AR$68:AR$72,AT$68:AT$72,"erro",0,1)</f>
        <v>0</v>
      </c>
      <c r="BE48" s="9">
        <f ca="1">_xlfn.XLOOKUP(BB48,$J$17:$J$23,$O$17:$O$23,"erro",0,1)-BF47-BF49</f>
        <v>65</v>
      </c>
      <c r="BF48" s="44">
        <f t="shared" ca="1" si="39"/>
        <v>0</v>
      </c>
      <c r="BG48" s="24">
        <f t="shared" ca="1" si="40"/>
        <v>65</v>
      </c>
      <c r="BH48" s="46">
        <v>6</v>
      </c>
      <c r="BJ48" s="22" t="s">
        <v>11</v>
      </c>
      <c r="BK48" s="9" t="s">
        <v>11</v>
      </c>
      <c r="BL48" s="41" t="s">
        <v>8</v>
      </c>
      <c r="BM48" s="9">
        <f ca="1">_xlfn.XLOOKUP(BJ48,BB$68:BB$72,BC$68:BC$72,"erro",0,1)</f>
        <v>0</v>
      </c>
      <c r="BN48" s="9">
        <f ca="1">_xlfn.XLOOKUP(BK48,BB$68:BB$72,BD$68:BD$72,"erro",0,1)</f>
        <v>0</v>
      </c>
      <c r="BO48" s="9">
        <f ca="1">_xlfn.XLOOKUP(BL48,$J$17:$J$23,$P$17:$P$23,"erro",0,1)-BP47-BP49</f>
        <v>57</v>
      </c>
      <c r="BP48" s="44">
        <f t="shared" ca="1" si="41"/>
        <v>0</v>
      </c>
      <c r="BQ48" s="24">
        <f t="shared" ca="1" si="42"/>
        <v>57</v>
      </c>
      <c r="BR48" s="46">
        <v>6</v>
      </c>
      <c r="BT48" s="22" t="s">
        <v>11</v>
      </c>
      <c r="BU48" s="9" t="s">
        <v>11</v>
      </c>
      <c r="BV48" s="41" t="s">
        <v>8</v>
      </c>
      <c r="BW48" s="9">
        <f ca="1">_xlfn.XLOOKUP(BT48,BL$68:BL$72,BM$68:BM$72,"erro",0,1)</f>
        <v>0</v>
      </c>
      <c r="BX48" s="9">
        <f ca="1">_xlfn.XLOOKUP(BU48,BL$68:BL$72,BN$68:BN$72,"erro",0,1)</f>
        <v>0</v>
      </c>
      <c r="BY48" s="9">
        <f ca="1">_xlfn.XLOOKUP(BV48,$J$17:$J$23,$Q$17:$Q$23,"erro",0,1)-BZ47-BZ49</f>
        <v>66</v>
      </c>
      <c r="BZ48" s="44">
        <f t="shared" ca="1" si="43"/>
        <v>0</v>
      </c>
      <c r="CA48" s="24">
        <f t="shared" ca="1" si="44"/>
        <v>66</v>
      </c>
      <c r="CB48" s="46">
        <v>6</v>
      </c>
      <c r="CD48" s="22" t="s">
        <v>11</v>
      </c>
      <c r="CE48" s="9" t="s">
        <v>11</v>
      </c>
      <c r="CF48" s="41" t="s">
        <v>8</v>
      </c>
      <c r="CG48" s="9">
        <f ca="1">_xlfn.XLOOKUP(CD48,BV$68:BV$72,BW$68:BW$72,"erro",0,1)</f>
        <v>0</v>
      </c>
      <c r="CH48" s="9">
        <f ca="1">_xlfn.XLOOKUP(CE48,BV$68:BV$72,BX$68:BX$72,"erro",0,1)</f>
        <v>0</v>
      </c>
      <c r="CI48" s="9">
        <f ca="1">_xlfn.XLOOKUP(CF48,$J$17:$J$23,$R$17:$R$23,"erro",0,1)-CJ47-CJ49</f>
        <v>62</v>
      </c>
      <c r="CJ48" s="44">
        <f t="shared" ca="1" si="45"/>
        <v>0</v>
      </c>
      <c r="CK48" s="24">
        <f t="shared" ca="1" si="46"/>
        <v>62</v>
      </c>
      <c r="CL48" s="46">
        <v>6</v>
      </c>
      <c r="CN48" s="22" t="s">
        <v>11</v>
      </c>
      <c r="CO48" s="9" t="s">
        <v>11</v>
      </c>
      <c r="CP48" s="41" t="s">
        <v>8</v>
      </c>
      <c r="CQ48" s="9">
        <f ca="1">_xlfn.XLOOKUP(CN48,CF$68:CF$72,CG$68:CG$72,"erro",0,1)</f>
        <v>0</v>
      </c>
      <c r="CR48" s="9">
        <f ca="1">_xlfn.XLOOKUP(CO48,CF$68:CF$72,CH$68:CH$72,"erro",0,1)</f>
        <v>0</v>
      </c>
      <c r="CS48" s="9">
        <f ca="1">_xlfn.XLOOKUP(CP48,$J$17:$J$23,$S$17:$S$23,"erro",0,1)-CT47-CT49</f>
        <v>60</v>
      </c>
      <c r="CT48" s="44">
        <f t="shared" ca="1" si="47"/>
        <v>0</v>
      </c>
      <c r="CU48" s="24">
        <f t="shared" ca="1" si="48"/>
        <v>60</v>
      </c>
      <c r="CV48" s="46">
        <v>6</v>
      </c>
      <c r="CX48" s="22" t="s">
        <v>11</v>
      </c>
      <c r="CY48" s="9" t="s">
        <v>11</v>
      </c>
      <c r="CZ48" s="41" t="s">
        <v>8</v>
      </c>
      <c r="DA48" s="9">
        <f ca="1">_xlfn.XLOOKUP(CX48,CP$68:CP$72,CQ$68:CQ$72,"erro",0,1)</f>
        <v>0</v>
      </c>
      <c r="DB48" s="9">
        <f ca="1">_xlfn.XLOOKUP(CY48,CP$68:CP$72,CR$68:CR$72,"erro",0,1)</f>
        <v>0</v>
      </c>
      <c r="DC48" s="9">
        <f ca="1">_xlfn.XLOOKUP(CZ48,$J$17:$J$23,$T$17:$T$23,"erro",0,1)-DD47-DD49</f>
        <v>54</v>
      </c>
      <c r="DD48" s="44">
        <f t="shared" ca="1" si="49"/>
        <v>0</v>
      </c>
      <c r="DE48" s="24">
        <f t="shared" ca="1" si="50"/>
        <v>54</v>
      </c>
      <c r="DF48" s="46">
        <v>6</v>
      </c>
      <c r="DH48"/>
      <c r="DI48"/>
      <c r="DJ48"/>
      <c r="DK48"/>
      <c r="DL48"/>
      <c r="DM48"/>
      <c r="DN48"/>
      <c r="DO48"/>
      <c r="DP48"/>
    </row>
    <row r="49" spans="1:120" ht="15.75" thickBot="1" x14ac:dyDescent="0.3">
      <c r="A49" s="2">
        <f t="shared" ca="1" si="0"/>
        <v>3.0039663542322494</v>
      </c>
      <c r="B49" cm="1">
        <f t="array" aca="1" ref="B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49" s="2">
        <f t="shared" ca="1" si="1"/>
        <v>3.0144088987078348</v>
      </c>
      <c r="D49" t="str" cm="1">
        <f t="array" aca="1" ref="D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9" s="2">
        <f t="shared" ca="1" si="2"/>
        <v>30.018863302765979</v>
      </c>
      <c r="F49" t="str" cm="1">
        <f t="array" aca="1" ref="F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9" s="2">
        <f t="shared" ca="1" si="3"/>
        <v>40.020881285343876</v>
      </c>
      <c r="H49" s="5" t="str" cm="1">
        <f t="array" aca="1" ref="H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L49" s="26" t="s">
        <v>13</v>
      </c>
      <c r="M49" s="27" t="s">
        <v>10</v>
      </c>
      <c r="N49" s="42" t="s">
        <v>8</v>
      </c>
      <c r="O49" s="27">
        <f t="shared" ca="1" si="51"/>
        <v>0</v>
      </c>
      <c r="P49" s="27">
        <f ca="1">_xlfn.XLOOKUP(M49,$X$1:$X$7,$Y$1:$Y$7,"erro",0,1)</f>
        <v>672</v>
      </c>
      <c r="Q49" s="27">
        <f ca="1">_xlfn.XLOOKUP(N49,$J$17:$J$23,$K$17:$K$23,"erro",0,1)-R47</f>
        <v>56</v>
      </c>
      <c r="R49" s="33">
        <f t="shared" ca="1" si="31"/>
        <v>0</v>
      </c>
      <c r="S49" s="30">
        <f t="shared" ca="1" si="32"/>
        <v>56</v>
      </c>
      <c r="T49" s="46">
        <v>3</v>
      </c>
      <c r="V49" s="26" t="s">
        <v>13</v>
      </c>
      <c r="W49" s="27" t="s">
        <v>10</v>
      </c>
      <c r="X49" s="42" t="s">
        <v>8</v>
      </c>
      <c r="Y49" s="27">
        <f ca="1">_xlfn.XLOOKUP(V49,N$68:N$72,O$68:O$72,"erro",0,1)</f>
        <v>0</v>
      </c>
      <c r="Z49" s="27">
        <f ca="1">_xlfn.XLOOKUP(W49,N$68:N$72,P$68:P$72,"erro",0,1)</f>
        <v>604</v>
      </c>
      <c r="AA49" s="27">
        <f ca="1">_xlfn.XLOOKUP(X49,$J$17:$J$23,$L$17:$L$23,"erro",0,1)-AB47</f>
        <v>69</v>
      </c>
      <c r="AB49" s="33">
        <f t="shared" ca="1" si="33"/>
        <v>0</v>
      </c>
      <c r="AC49" s="30">
        <f t="shared" ca="1" si="34"/>
        <v>69</v>
      </c>
      <c r="AD49" s="46">
        <v>3</v>
      </c>
      <c r="AF49" s="26" t="s">
        <v>13</v>
      </c>
      <c r="AG49" s="27" t="s">
        <v>10</v>
      </c>
      <c r="AH49" s="42" t="s">
        <v>8</v>
      </c>
      <c r="AI49" s="27">
        <f ca="1">_xlfn.XLOOKUP(AF49,X$68:X$72,Y$68:Y$72,"erro",0,1)</f>
        <v>0</v>
      </c>
      <c r="AJ49" s="27">
        <f ca="1">_xlfn.XLOOKUP(AG49,X$68:X$72,Z$68:Z$72,"erro",0,1)</f>
        <v>547</v>
      </c>
      <c r="AK49" s="27">
        <f ca="1">_xlfn.XLOOKUP(AH49,$J$17:$J$23,$M$17:$M$23,"erro",0,1)-AL47</f>
        <v>65</v>
      </c>
      <c r="AL49" s="33">
        <f t="shared" ca="1" si="35"/>
        <v>0</v>
      </c>
      <c r="AM49" s="30">
        <f t="shared" ca="1" si="36"/>
        <v>65</v>
      </c>
      <c r="AN49" s="46">
        <v>3</v>
      </c>
      <c r="AP49" s="26" t="s">
        <v>13</v>
      </c>
      <c r="AQ49" s="27" t="s">
        <v>10</v>
      </c>
      <c r="AR49" s="42" t="s">
        <v>8</v>
      </c>
      <c r="AS49" s="27">
        <f ca="1">_xlfn.XLOOKUP(AP49,AH$68:AH$72,AI$68:AI$72,"erro",0,1)</f>
        <v>0</v>
      </c>
      <c r="AT49" s="27">
        <f ca="1">_xlfn.XLOOKUP(AQ49,AH$68:AH$72,AJ$68:AJ$72,"erro",0,1)</f>
        <v>486</v>
      </c>
      <c r="AU49" s="27">
        <f ca="1">_xlfn.XLOOKUP(AR49,$J$17:$J$23,$N$17:$N$23,"erro",0,1)-AV47</f>
        <v>60</v>
      </c>
      <c r="AV49" s="33">
        <f t="shared" ca="1" si="37"/>
        <v>0</v>
      </c>
      <c r="AW49" s="30">
        <f t="shared" ca="1" si="38"/>
        <v>60</v>
      </c>
      <c r="AX49" s="46">
        <v>3</v>
      </c>
      <c r="AZ49" s="26" t="s">
        <v>13</v>
      </c>
      <c r="BA49" s="27" t="s">
        <v>10</v>
      </c>
      <c r="BB49" s="42" t="s">
        <v>8</v>
      </c>
      <c r="BC49" s="27">
        <f ca="1">_xlfn.XLOOKUP(AZ49,AR$68:AR$72,AS$68:AS$72,"erro",0,1)</f>
        <v>0</v>
      </c>
      <c r="BD49" s="27">
        <f ca="1">_xlfn.XLOOKUP(BA49,AR$68:AR$72,AT$68:AT$72,"erro",0,1)</f>
        <v>416</v>
      </c>
      <c r="BE49" s="27">
        <f ca="1">_xlfn.XLOOKUP(BB49,$J$17:$J$23,$O$17:$O$23,"erro",0,1)-BF47</f>
        <v>65</v>
      </c>
      <c r="BF49" s="33">
        <f t="shared" ca="1" si="39"/>
        <v>0</v>
      </c>
      <c r="BG49" s="30">
        <f t="shared" ca="1" si="40"/>
        <v>65</v>
      </c>
      <c r="BH49" s="46">
        <v>3</v>
      </c>
      <c r="BJ49" s="26" t="s">
        <v>13</v>
      </c>
      <c r="BK49" s="27" t="s">
        <v>10</v>
      </c>
      <c r="BL49" s="42" t="s">
        <v>8</v>
      </c>
      <c r="BM49" s="27">
        <f ca="1">_xlfn.XLOOKUP(BJ49,BB$68:BB$72,BC$68:BC$72,"erro",0,1)</f>
        <v>0</v>
      </c>
      <c r="BN49" s="27">
        <f ca="1">_xlfn.XLOOKUP(BK49,BB$68:BB$72,BD$68:BD$72,"erro",0,1)</f>
        <v>351</v>
      </c>
      <c r="BO49" s="27">
        <f ca="1">_xlfn.XLOOKUP(BL49,$J$17:$J$23,$P$17:$P$23,"erro",0,1)-BP47</f>
        <v>57</v>
      </c>
      <c r="BP49" s="33">
        <f t="shared" ca="1" si="41"/>
        <v>0</v>
      </c>
      <c r="BQ49" s="30">
        <f t="shared" ca="1" si="42"/>
        <v>57</v>
      </c>
      <c r="BR49" s="46">
        <v>3</v>
      </c>
      <c r="BT49" s="26" t="s">
        <v>13</v>
      </c>
      <c r="BU49" s="27" t="s">
        <v>10</v>
      </c>
      <c r="BV49" s="42" t="s">
        <v>8</v>
      </c>
      <c r="BW49" s="27">
        <f ca="1">_xlfn.XLOOKUP(BT49,BL$68:BL$72,BM$68:BM$72,"erro",0,1)</f>
        <v>0</v>
      </c>
      <c r="BX49" s="27">
        <f ca="1">_xlfn.XLOOKUP(BU49,BL$68:BL$72,BN$68:BN$72,"erro",0,1)</f>
        <v>277</v>
      </c>
      <c r="BY49" s="27">
        <f ca="1">_xlfn.XLOOKUP(BV49,$J$17:$J$23,$Q$17:$Q$23,"erro",0,1)-BZ47</f>
        <v>66</v>
      </c>
      <c r="BZ49" s="33">
        <f t="shared" ca="1" si="43"/>
        <v>0</v>
      </c>
      <c r="CA49" s="30">
        <f t="shared" ca="1" si="44"/>
        <v>66</v>
      </c>
      <c r="CB49" s="46">
        <v>3</v>
      </c>
      <c r="CD49" s="26" t="s">
        <v>13</v>
      </c>
      <c r="CE49" s="27" t="s">
        <v>10</v>
      </c>
      <c r="CF49" s="42" t="s">
        <v>8</v>
      </c>
      <c r="CG49" s="27">
        <f ca="1">_xlfn.XLOOKUP(CD49,BV$68:BV$72,BW$68:BW$72,"erro",0,1)</f>
        <v>0</v>
      </c>
      <c r="CH49" s="27">
        <f ca="1">_xlfn.XLOOKUP(CE49,BV$68:BV$72,BX$68:BX$72,"erro",0,1)</f>
        <v>192</v>
      </c>
      <c r="CI49" s="27">
        <f ca="1">_xlfn.XLOOKUP(CF49,$J$17:$J$23,$R$17:$R$23,"erro",0,1)-CJ47</f>
        <v>62</v>
      </c>
      <c r="CJ49" s="33">
        <f t="shared" ca="1" si="45"/>
        <v>0</v>
      </c>
      <c r="CK49" s="30">
        <f t="shared" ca="1" si="46"/>
        <v>62</v>
      </c>
      <c r="CL49" s="46">
        <v>3</v>
      </c>
      <c r="CN49" s="26" t="s">
        <v>13</v>
      </c>
      <c r="CO49" s="27" t="s">
        <v>10</v>
      </c>
      <c r="CP49" s="42" t="s">
        <v>8</v>
      </c>
      <c r="CQ49" s="27">
        <f ca="1">_xlfn.XLOOKUP(CN49,CF$68:CF$72,CG$68:CG$72,"erro",0,1)</f>
        <v>0</v>
      </c>
      <c r="CR49" s="27">
        <f ca="1">_xlfn.XLOOKUP(CO49,CF$68:CF$72,CH$68:CH$72,"erro",0,1)</f>
        <v>105</v>
      </c>
      <c r="CS49" s="27">
        <f ca="1">_xlfn.XLOOKUP(CP49,$J$17:$J$23,$S$17:$S$23,"erro",0,1)-CT47</f>
        <v>60</v>
      </c>
      <c r="CT49" s="33">
        <f t="shared" ca="1" si="47"/>
        <v>0</v>
      </c>
      <c r="CU49" s="30">
        <f t="shared" ca="1" si="48"/>
        <v>60</v>
      </c>
      <c r="CV49" s="46">
        <v>3</v>
      </c>
      <c r="CX49" s="26" t="s">
        <v>13</v>
      </c>
      <c r="CY49" s="27" t="s">
        <v>10</v>
      </c>
      <c r="CZ49" s="42" t="s">
        <v>8</v>
      </c>
      <c r="DA49" s="27">
        <f ca="1">_xlfn.XLOOKUP(CX49,CP$68:CP$72,CQ$68:CQ$72,"erro",0,1)</f>
        <v>0</v>
      </c>
      <c r="DB49" s="27">
        <f ca="1">_xlfn.XLOOKUP(CY49,CP$68:CP$72,CR$68:CR$72,"erro",0,1)</f>
        <v>42</v>
      </c>
      <c r="DC49" s="27">
        <f ca="1">_xlfn.XLOOKUP(CZ49,$J$17:$J$23,$T$17:$T$23,"erro",0,1)-DD47</f>
        <v>54</v>
      </c>
      <c r="DD49" s="33">
        <f t="shared" ca="1" si="49"/>
        <v>0</v>
      </c>
      <c r="DE49" s="30">
        <f t="shared" ca="1" si="50"/>
        <v>54</v>
      </c>
      <c r="DF49" s="46">
        <v>3</v>
      </c>
      <c r="DH49"/>
      <c r="DI49"/>
      <c r="DJ49"/>
      <c r="DK49"/>
      <c r="DL49"/>
      <c r="DM49"/>
      <c r="DN49"/>
      <c r="DO49"/>
      <c r="DP49"/>
    </row>
    <row r="50" spans="1:120" x14ac:dyDescent="0.25">
      <c r="A50" s="2">
        <f t="shared" ca="1" si="0"/>
        <v>3.000513154501677</v>
      </c>
      <c r="B50" cm="1">
        <f t="array" aca="1" ref="B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50" s="2">
        <f t="shared" ca="1" si="1"/>
        <v>3.0095725699503815</v>
      </c>
      <c r="D50" t="str" cm="1">
        <f t="array" aca="1" ref="D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0" s="2">
        <f t="shared" ca="1" si="2"/>
        <v>30.001302837749687</v>
      </c>
      <c r="F50" t="str" cm="1">
        <f t="array" aca="1" ref="F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0" s="2">
        <f t="shared" ca="1" si="3"/>
        <v>40.00924473487904</v>
      </c>
      <c r="H50" s="5" t="str" cm="1">
        <f t="array" aca="1" ref="H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L50" s="17" t="s">
        <v>9</v>
      </c>
      <c r="M50" s="18" t="s">
        <v>13</v>
      </c>
      <c r="N50" s="37" t="s">
        <v>9</v>
      </c>
      <c r="O50" s="18">
        <f ca="1">_xlfn.XLOOKUP(L50,$T$1:$T$7,$U$1:$U$7,"erro",0,1)-R64</f>
        <v>706</v>
      </c>
      <c r="P50" s="18">
        <f ca="1">_xlfn.XLOOKUP(M50,$X$1:$X$7,$Y$1:$Y$7,"erro",0,1)-R47</f>
        <v>0</v>
      </c>
      <c r="Q50" s="18">
        <f ca="1">_xlfn.XLOOKUP(N50,$J$17:$J$23,$K$17:$K$23,"erro",0,1)</f>
        <v>75</v>
      </c>
      <c r="R50" s="43">
        <f t="shared" ca="1" si="31"/>
        <v>0</v>
      </c>
      <c r="S50" s="21">
        <f t="shared" ca="1" si="32"/>
        <v>75</v>
      </c>
      <c r="T50" s="46">
        <v>7</v>
      </c>
      <c r="V50" s="17" t="s">
        <v>9</v>
      </c>
      <c r="W50" s="18" t="s">
        <v>13</v>
      </c>
      <c r="X50" s="37" t="s">
        <v>9</v>
      </c>
      <c r="Y50" s="18">
        <f ca="1">_xlfn.XLOOKUP(V50,N$68:N$72,O$68:O$72,"erro",0,1)-AB64</f>
        <v>706</v>
      </c>
      <c r="Z50" s="18">
        <f ca="1">_xlfn.XLOOKUP(W50,N$68:N$72,P$68:P$72,"erro",0,1)-AB47</f>
        <v>0</v>
      </c>
      <c r="AA50" s="18">
        <f ca="1">_xlfn.XLOOKUP(X50,$J$17:$J$23,$L$17:$L$23,"erro",0,1)</f>
        <v>70</v>
      </c>
      <c r="AB50" s="43">
        <f t="shared" ca="1" si="33"/>
        <v>0</v>
      </c>
      <c r="AC50" s="21">
        <f t="shared" ca="1" si="34"/>
        <v>70</v>
      </c>
      <c r="AD50" s="46">
        <v>7</v>
      </c>
      <c r="AF50" s="17" t="s">
        <v>9</v>
      </c>
      <c r="AG50" s="18" t="s">
        <v>13</v>
      </c>
      <c r="AH50" s="37" t="s">
        <v>9</v>
      </c>
      <c r="AI50" s="18">
        <f ca="1">_xlfn.XLOOKUP(AF50,X$68:X$72,Y$68:Y$72,"erro",0,1)-AL64</f>
        <v>706</v>
      </c>
      <c r="AJ50" s="18">
        <f ca="1">_xlfn.XLOOKUP(AG50,X$68:X$72,Z$68:Z$72,"erro",0,1)-AL47</f>
        <v>0</v>
      </c>
      <c r="AK50" s="18">
        <f ca="1">_xlfn.XLOOKUP(AH50,$J$17:$J$23,$M$17:$M$23,"erro",0,1)</f>
        <v>72</v>
      </c>
      <c r="AL50" s="43">
        <f t="shared" ca="1" si="35"/>
        <v>0</v>
      </c>
      <c r="AM50" s="21">
        <f t="shared" ca="1" si="36"/>
        <v>72</v>
      </c>
      <c r="AN50" s="46">
        <v>7</v>
      </c>
      <c r="AP50" s="17" t="s">
        <v>9</v>
      </c>
      <c r="AQ50" s="18" t="s">
        <v>13</v>
      </c>
      <c r="AR50" s="37" t="s">
        <v>9</v>
      </c>
      <c r="AS50" s="18">
        <f ca="1">_xlfn.XLOOKUP(AP50,AH$68:AH$72,AI$68:AI$72,"erro",0,1)-AV64</f>
        <v>706</v>
      </c>
      <c r="AT50" s="18">
        <f ca="1">_xlfn.XLOOKUP(AQ50,AH$68:AH$72,AJ$68:AJ$72,"erro",0,1)-AV47</f>
        <v>0</v>
      </c>
      <c r="AU50" s="18">
        <f ca="1">_xlfn.XLOOKUP(AR50,$J$17:$J$23,$N$17:$N$23,"erro",0,1)</f>
        <v>69</v>
      </c>
      <c r="AV50" s="43">
        <f t="shared" ca="1" si="37"/>
        <v>0</v>
      </c>
      <c r="AW50" s="21">
        <f t="shared" ca="1" si="38"/>
        <v>69</v>
      </c>
      <c r="AX50" s="46">
        <v>7</v>
      </c>
      <c r="AZ50" s="17" t="s">
        <v>9</v>
      </c>
      <c r="BA50" s="18" t="s">
        <v>13</v>
      </c>
      <c r="BB50" s="37" t="s">
        <v>9</v>
      </c>
      <c r="BC50" s="18">
        <f ca="1">_xlfn.XLOOKUP(AZ50,AR$68:AR$72,AS$68:AS$72,"erro",0,1)-BF64</f>
        <v>706</v>
      </c>
      <c r="BD50" s="18">
        <f ca="1">_xlfn.XLOOKUP(BA50,AR$68:AR$72,AT$68:AT$72,"erro",0,1)-BF47</f>
        <v>0</v>
      </c>
      <c r="BE50" s="18">
        <f ca="1">_xlfn.XLOOKUP(BB50,$J$17:$J$23,$O$17:$O$23,"erro",0,1)</f>
        <v>53</v>
      </c>
      <c r="BF50" s="43">
        <f t="shared" ca="1" si="39"/>
        <v>0</v>
      </c>
      <c r="BG50" s="21">
        <f t="shared" ca="1" si="40"/>
        <v>53</v>
      </c>
      <c r="BH50" s="46">
        <v>7</v>
      </c>
      <c r="BJ50" s="17" t="s">
        <v>9</v>
      </c>
      <c r="BK50" s="18" t="s">
        <v>13</v>
      </c>
      <c r="BL50" s="37" t="s">
        <v>9</v>
      </c>
      <c r="BM50" s="18">
        <f ca="1">_xlfn.XLOOKUP(BJ50,BB$68:BB$72,BC$68:BC$72,"erro",0,1)-BP64</f>
        <v>706</v>
      </c>
      <c r="BN50" s="18">
        <f ca="1">_xlfn.XLOOKUP(BK50,BB$68:BB$72,BD$68:BD$72,"erro",0,1)-BP47</f>
        <v>0</v>
      </c>
      <c r="BO50" s="18">
        <f ca="1">_xlfn.XLOOKUP(BL50,$J$17:$J$23,$P$17:$P$23,"erro",0,1)</f>
        <v>61</v>
      </c>
      <c r="BP50" s="43">
        <f t="shared" ca="1" si="41"/>
        <v>0</v>
      </c>
      <c r="BQ50" s="21">
        <f t="shared" ca="1" si="42"/>
        <v>61</v>
      </c>
      <c r="BR50" s="46">
        <v>7</v>
      </c>
      <c r="BT50" s="17" t="s">
        <v>9</v>
      </c>
      <c r="BU50" s="18" t="s">
        <v>13</v>
      </c>
      <c r="BV50" s="37" t="s">
        <v>9</v>
      </c>
      <c r="BW50" s="18">
        <f ca="1">_xlfn.XLOOKUP(BT50,BL$68:BL$72,BM$68:BM$72,"erro",0,1)-BZ64</f>
        <v>706</v>
      </c>
      <c r="BX50" s="18">
        <f ca="1">_xlfn.XLOOKUP(BU50,BL$68:BL$72,BN$68:BN$72,"erro",0,1)-BZ47</f>
        <v>0</v>
      </c>
      <c r="BY50" s="18">
        <f ca="1">_xlfn.XLOOKUP(BV50,$J$17:$J$23,$Q$17:$Q$23,"erro",0,1)</f>
        <v>77</v>
      </c>
      <c r="BZ50" s="43">
        <f t="shared" ca="1" si="43"/>
        <v>0</v>
      </c>
      <c r="CA50" s="21">
        <f t="shared" ca="1" si="44"/>
        <v>77</v>
      </c>
      <c r="CB50" s="46">
        <v>7</v>
      </c>
      <c r="CD50" s="17" t="s">
        <v>9</v>
      </c>
      <c r="CE50" s="18" t="s">
        <v>13</v>
      </c>
      <c r="CF50" s="37" t="s">
        <v>9</v>
      </c>
      <c r="CG50" s="18">
        <f ca="1">_xlfn.XLOOKUP(CD50,BV$68:BV$72,BW$68:BW$72,"erro",0,1)-CJ64</f>
        <v>706</v>
      </c>
      <c r="CH50" s="18">
        <f ca="1">_xlfn.XLOOKUP(CE50,BV$68:BV$72,BX$68:BX$72,"erro",0,1)-CJ47</f>
        <v>0</v>
      </c>
      <c r="CI50" s="18">
        <f ca="1">_xlfn.XLOOKUP(CF50,$J$17:$J$23,$R$17:$R$23,"erro",0,1)</f>
        <v>66</v>
      </c>
      <c r="CJ50" s="43">
        <f t="shared" ca="1" si="45"/>
        <v>0</v>
      </c>
      <c r="CK50" s="21">
        <f t="shared" ca="1" si="46"/>
        <v>66</v>
      </c>
      <c r="CL50" s="46">
        <v>7</v>
      </c>
      <c r="CN50" s="17" t="s">
        <v>9</v>
      </c>
      <c r="CO50" s="18" t="s">
        <v>13</v>
      </c>
      <c r="CP50" s="37" t="s">
        <v>9</v>
      </c>
      <c r="CQ50" s="18">
        <f ca="1">_xlfn.XLOOKUP(CN50,CF$68:CF$72,CG$68:CG$72,"erro",0,1)-CT64</f>
        <v>706</v>
      </c>
      <c r="CR50" s="18">
        <f ca="1">_xlfn.XLOOKUP(CO50,CF$68:CF$72,CH$68:CH$72,"erro",0,1)-CT47</f>
        <v>0</v>
      </c>
      <c r="CS50" s="18">
        <f ca="1">_xlfn.XLOOKUP(CP50,$J$17:$J$23,$S$17:$S$23,"erro",0,1)</f>
        <v>62</v>
      </c>
      <c r="CT50" s="43">
        <f t="shared" ca="1" si="47"/>
        <v>0</v>
      </c>
      <c r="CU50" s="21">
        <f t="shared" ca="1" si="48"/>
        <v>62</v>
      </c>
      <c r="CV50" s="46">
        <v>7</v>
      </c>
      <c r="CX50" s="17" t="s">
        <v>9</v>
      </c>
      <c r="CY50" s="18" t="s">
        <v>13</v>
      </c>
      <c r="CZ50" s="37" t="s">
        <v>9</v>
      </c>
      <c r="DA50" s="18">
        <f ca="1">_xlfn.XLOOKUP(CX50,CP$68:CP$72,CQ$68:CQ$72,"erro",0,1)-DD64</f>
        <v>706</v>
      </c>
      <c r="DB50" s="18">
        <f ca="1">_xlfn.XLOOKUP(CY50,CP$68:CP$72,CR$68:CR$72,"erro",0,1)-DD47</f>
        <v>0</v>
      </c>
      <c r="DC50" s="18">
        <f ca="1">_xlfn.XLOOKUP(CZ50,$J$17:$J$23,$T$17:$T$23,"erro",0,1)</f>
        <v>66</v>
      </c>
      <c r="DD50" s="43">
        <f t="shared" ca="1" si="49"/>
        <v>0</v>
      </c>
      <c r="DE50" s="21">
        <f t="shared" ca="1" si="50"/>
        <v>66</v>
      </c>
      <c r="DF50" s="46">
        <v>7</v>
      </c>
      <c r="DH50"/>
      <c r="DI50"/>
      <c r="DJ50"/>
      <c r="DK50"/>
      <c r="DL50"/>
      <c r="DM50"/>
      <c r="DN50"/>
      <c r="DO50"/>
      <c r="DP50"/>
    </row>
    <row r="51" spans="1:120" x14ac:dyDescent="0.25">
      <c r="A51" s="2">
        <f t="shared" ca="1" si="0"/>
        <v>3.0007537751991675</v>
      </c>
      <c r="B51" cm="1">
        <f t="array" aca="1" ref="B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51" s="2">
        <f t="shared" ca="1" si="1"/>
        <v>3.0275227506198652</v>
      </c>
      <c r="D51" t="str" cm="1">
        <f t="array" aca="1" ref="D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1" s="2">
        <f t="shared" ca="1" si="2"/>
        <v>30.026690235322885</v>
      </c>
      <c r="F51" t="str" cm="1">
        <f t="array" aca="1" ref="F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1" s="2">
        <f t="shared" ca="1" si="3"/>
        <v>40.019245606069767</v>
      </c>
      <c r="H51" s="5" t="str" cm="1">
        <f t="array" aca="1" ref="H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L51" s="22" t="s">
        <v>10</v>
      </c>
      <c r="M51" s="9" t="s">
        <v>11</v>
      </c>
      <c r="N51" s="38" t="s">
        <v>9</v>
      </c>
      <c r="O51" s="9">
        <f ca="1">_xlfn.XLOOKUP(L51,$T$1:$T$7,$U$1:$U$7,"erro",0,1)-R47-R65</f>
        <v>630</v>
      </c>
      <c r="P51" s="9">
        <f ca="1">_xlfn.XLOOKUP(M51,$X$1:$X$7,$Y$1:$Y$7,"erro",0,1)-R48-R59</f>
        <v>0</v>
      </c>
      <c r="Q51" s="9">
        <f ca="1">_xlfn.XLOOKUP(N51,$J$17:$J$23,$K$17:$K$23,"erro",0,1)-R50-R53</f>
        <v>75</v>
      </c>
      <c r="R51" s="44">
        <f t="shared" ca="1" si="31"/>
        <v>0</v>
      </c>
      <c r="S51" s="24">
        <f t="shared" ca="1" si="32"/>
        <v>75</v>
      </c>
      <c r="T51" s="46">
        <v>11</v>
      </c>
      <c r="V51" s="22" t="s">
        <v>10</v>
      </c>
      <c r="W51" s="9" t="s">
        <v>11</v>
      </c>
      <c r="X51" s="38" t="s">
        <v>9</v>
      </c>
      <c r="Y51" s="9">
        <f ca="1">_xlfn.XLOOKUP(V51,N$68:N$72,O$68:O$72,"erro",0,1)-AB47-AB65</f>
        <v>562</v>
      </c>
      <c r="Z51" s="9">
        <f ca="1">_xlfn.XLOOKUP(W51,N$68:N$72,P$68:P$72,"erro",0,1)-AB48-AB59</f>
        <v>0</v>
      </c>
      <c r="AA51" s="9">
        <f ca="1">_xlfn.XLOOKUP(X51,$J$17:$J$23,$L$17:$L$23,"erro",0,1)-AB50-AB53</f>
        <v>70</v>
      </c>
      <c r="AB51" s="44">
        <f t="shared" ca="1" si="33"/>
        <v>0</v>
      </c>
      <c r="AC51" s="24">
        <f t="shared" ca="1" si="34"/>
        <v>70</v>
      </c>
      <c r="AD51" s="46">
        <v>11</v>
      </c>
      <c r="AF51" s="22" t="s">
        <v>10</v>
      </c>
      <c r="AG51" s="9" t="s">
        <v>11</v>
      </c>
      <c r="AH51" s="38" t="s">
        <v>9</v>
      </c>
      <c r="AI51" s="9">
        <f ca="1">_xlfn.XLOOKUP(AF51,X$68:X$72,Y$68:Y$72,"erro",0,1)-AL47-AL65</f>
        <v>505</v>
      </c>
      <c r="AJ51" s="9">
        <f ca="1">_xlfn.XLOOKUP(AG51,X$68:X$72,Z$68:Z$72,"erro",0,1)-AL48-AL59</f>
        <v>0</v>
      </c>
      <c r="AK51" s="9">
        <f ca="1">_xlfn.XLOOKUP(AH51,$J$17:$J$23,$M$17:$M$23,"erro",0,1)-AL50-AL53</f>
        <v>72</v>
      </c>
      <c r="AL51" s="44">
        <f t="shared" ca="1" si="35"/>
        <v>0</v>
      </c>
      <c r="AM51" s="24">
        <f t="shared" ca="1" si="36"/>
        <v>72</v>
      </c>
      <c r="AN51" s="46">
        <v>11</v>
      </c>
      <c r="AP51" s="22" t="s">
        <v>10</v>
      </c>
      <c r="AQ51" s="9" t="s">
        <v>11</v>
      </c>
      <c r="AR51" s="38" t="s">
        <v>9</v>
      </c>
      <c r="AS51" s="9">
        <f ca="1">_xlfn.XLOOKUP(AP51,AH$68:AH$72,AI$68:AI$72,"erro",0,1)-AV47-AV65</f>
        <v>444</v>
      </c>
      <c r="AT51" s="9">
        <f ca="1">_xlfn.XLOOKUP(AQ51,AH$68:AH$72,AJ$68:AJ$72,"erro",0,1)-AV48-AV59</f>
        <v>0</v>
      </c>
      <c r="AU51" s="9">
        <f ca="1">_xlfn.XLOOKUP(AR51,$J$17:$J$23,$N$17:$N$23,"erro",0,1)-AV50-AV53</f>
        <v>69</v>
      </c>
      <c r="AV51" s="44">
        <f t="shared" ca="1" si="37"/>
        <v>0</v>
      </c>
      <c r="AW51" s="24">
        <f t="shared" ca="1" si="38"/>
        <v>69</v>
      </c>
      <c r="AX51" s="46">
        <v>11</v>
      </c>
      <c r="AZ51" s="22" t="s">
        <v>10</v>
      </c>
      <c r="BA51" s="9" t="s">
        <v>11</v>
      </c>
      <c r="BB51" s="38" t="s">
        <v>9</v>
      </c>
      <c r="BC51" s="9">
        <f ca="1">_xlfn.XLOOKUP(AZ51,AR$68:AR$72,AS$68:AS$72,"erro",0,1)-BF47-BF65</f>
        <v>374</v>
      </c>
      <c r="BD51" s="9">
        <f ca="1">_xlfn.XLOOKUP(BA51,AR$68:AR$72,AT$68:AT$72,"erro",0,1)-BF48-BF59</f>
        <v>0</v>
      </c>
      <c r="BE51" s="9">
        <f ca="1">_xlfn.XLOOKUP(BB51,$J$17:$J$23,$O$17:$O$23,"erro",0,1)-BF50-BF53</f>
        <v>53</v>
      </c>
      <c r="BF51" s="44">
        <f t="shared" ca="1" si="39"/>
        <v>0</v>
      </c>
      <c r="BG51" s="24">
        <f t="shared" ca="1" si="40"/>
        <v>53</v>
      </c>
      <c r="BH51" s="46">
        <v>11</v>
      </c>
      <c r="BJ51" s="22" t="s">
        <v>10</v>
      </c>
      <c r="BK51" s="9" t="s">
        <v>11</v>
      </c>
      <c r="BL51" s="38" t="s">
        <v>9</v>
      </c>
      <c r="BM51" s="9">
        <f ca="1">_xlfn.XLOOKUP(BJ51,BB$68:BB$72,BC$68:BC$72,"erro",0,1)-BP47-BP65</f>
        <v>309</v>
      </c>
      <c r="BN51" s="9">
        <f ca="1">_xlfn.XLOOKUP(BK51,BB$68:BB$72,BD$68:BD$72,"erro",0,1)-BP48-BP59</f>
        <v>0</v>
      </c>
      <c r="BO51" s="9">
        <f ca="1">_xlfn.XLOOKUP(BL51,$J$17:$J$23,$P$17:$P$23,"erro",0,1)-BP50-BP53</f>
        <v>61</v>
      </c>
      <c r="BP51" s="44">
        <f t="shared" ca="1" si="41"/>
        <v>0</v>
      </c>
      <c r="BQ51" s="24">
        <f t="shared" ca="1" si="42"/>
        <v>61</v>
      </c>
      <c r="BR51" s="46">
        <v>11</v>
      </c>
      <c r="BT51" s="22" t="s">
        <v>10</v>
      </c>
      <c r="BU51" s="9" t="s">
        <v>11</v>
      </c>
      <c r="BV51" s="38" t="s">
        <v>9</v>
      </c>
      <c r="BW51" s="9">
        <f ca="1">_xlfn.XLOOKUP(BT51,BL$68:BL$72,BM$68:BM$72,"erro",0,1)-BZ47-BZ65</f>
        <v>235</v>
      </c>
      <c r="BX51" s="9">
        <f ca="1">_xlfn.XLOOKUP(BU51,BL$68:BL$72,BN$68:BN$72,"erro",0,1)-BZ48-BZ59</f>
        <v>0</v>
      </c>
      <c r="BY51" s="9">
        <f ca="1">_xlfn.XLOOKUP(BV51,$J$17:$J$23,$Q$17:$Q$23,"erro",0,1)-BZ50-BZ53</f>
        <v>77</v>
      </c>
      <c r="BZ51" s="44">
        <f t="shared" ca="1" si="43"/>
        <v>0</v>
      </c>
      <c r="CA51" s="24">
        <f t="shared" ca="1" si="44"/>
        <v>77</v>
      </c>
      <c r="CB51" s="46">
        <v>11</v>
      </c>
      <c r="CD51" s="22" t="s">
        <v>10</v>
      </c>
      <c r="CE51" s="9" t="s">
        <v>11</v>
      </c>
      <c r="CF51" s="38" t="s">
        <v>9</v>
      </c>
      <c r="CG51" s="9">
        <f ca="1">_xlfn.XLOOKUP(CD51,BV$68:BV$72,BW$68:BW$72,"erro",0,1)-CJ47-CJ65</f>
        <v>150</v>
      </c>
      <c r="CH51" s="9">
        <f ca="1">_xlfn.XLOOKUP(CE51,BV$68:BV$72,BX$68:BX$72,"erro",0,1)-CJ48-CJ59</f>
        <v>0</v>
      </c>
      <c r="CI51" s="9">
        <f ca="1">_xlfn.XLOOKUP(CF51,$J$17:$J$23,$R$17:$R$23,"erro",0,1)-CJ50-CJ53</f>
        <v>66</v>
      </c>
      <c r="CJ51" s="44">
        <f t="shared" ca="1" si="45"/>
        <v>0</v>
      </c>
      <c r="CK51" s="24">
        <f t="shared" ca="1" si="46"/>
        <v>66</v>
      </c>
      <c r="CL51" s="46">
        <v>11</v>
      </c>
      <c r="CN51" s="22" t="s">
        <v>10</v>
      </c>
      <c r="CO51" s="9" t="s">
        <v>11</v>
      </c>
      <c r="CP51" s="38" t="s">
        <v>9</v>
      </c>
      <c r="CQ51" s="9">
        <f ca="1">_xlfn.XLOOKUP(CN51,CF$68:CF$72,CG$68:CG$72,"erro",0,1)-CT47-CT65</f>
        <v>63</v>
      </c>
      <c r="CR51" s="9">
        <f ca="1">_xlfn.XLOOKUP(CO51,CF$68:CF$72,CH$68:CH$72,"erro",0,1)-CT48-CT59</f>
        <v>0</v>
      </c>
      <c r="CS51" s="9">
        <f ca="1">_xlfn.XLOOKUP(CP51,$J$17:$J$23,$S$17:$S$23,"erro",0,1)-CT50-CT53</f>
        <v>62</v>
      </c>
      <c r="CT51" s="44">
        <f t="shared" ca="1" si="47"/>
        <v>0</v>
      </c>
      <c r="CU51" s="24">
        <f t="shared" ca="1" si="48"/>
        <v>62</v>
      </c>
      <c r="CV51" s="46">
        <v>11</v>
      </c>
      <c r="CX51" s="22" t="s">
        <v>10</v>
      </c>
      <c r="CY51" s="9" t="s">
        <v>11</v>
      </c>
      <c r="CZ51" s="38" t="s">
        <v>9</v>
      </c>
      <c r="DA51" s="9">
        <f ca="1">_xlfn.XLOOKUP(CX51,CP$68:CP$72,CQ$68:CQ$72,"erro",0,1)-DD47-DD65</f>
        <v>0</v>
      </c>
      <c r="DB51" s="9">
        <f ca="1">_xlfn.XLOOKUP(CY51,CP$68:CP$72,CR$68:CR$72,"erro",0,1)-DD48-DD59</f>
        <v>0</v>
      </c>
      <c r="DC51" s="9">
        <f ca="1">_xlfn.XLOOKUP(CZ51,$J$17:$J$23,$T$17:$T$23,"erro",0,1)-DD50-DD53</f>
        <v>66</v>
      </c>
      <c r="DD51" s="44">
        <f t="shared" ca="1" si="49"/>
        <v>0</v>
      </c>
      <c r="DE51" s="24">
        <f t="shared" ca="1" si="50"/>
        <v>66</v>
      </c>
      <c r="DF51" s="46">
        <v>11</v>
      </c>
      <c r="DH51"/>
      <c r="DI51"/>
      <c r="DJ51"/>
      <c r="DK51"/>
      <c r="DL51"/>
      <c r="DM51"/>
      <c r="DN51"/>
      <c r="DO51"/>
      <c r="DP51"/>
    </row>
    <row r="52" spans="1:120" x14ac:dyDescent="0.25">
      <c r="A52" s="2">
        <f t="shared" ca="1" si="0"/>
        <v>3.0005023660365469</v>
      </c>
      <c r="B52" cm="1">
        <f t="array" aca="1" ref="B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52" s="2">
        <f t="shared" ca="1" si="1"/>
        <v>3.0089678166477536</v>
      </c>
      <c r="D52" t="str" cm="1">
        <f t="array" aca="1" ref="D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2" s="2">
        <f t="shared" ca="1" si="2"/>
        <v>30.014629352093678</v>
      </c>
      <c r="F52" t="str" cm="1">
        <f t="array" aca="1" ref="F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2" s="2">
        <f t="shared" ca="1" si="3"/>
        <v>40.023750435154746</v>
      </c>
      <c r="H52" s="5" t="str" cm="1">
        <f t="array" aca="1" ref="H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L52" s="22" t="s">
        <v>11</v>
      </c>
      <c r="M52" s="9" t="s">
        <v>10</v>
      </c>
      <c r="N52" s="38" t="s">
        <v>9</v>
      </c>
      <c r="O52" s="9">
        <f ca="1">_xlfn.XLOOKUP(L52,$T$1:$T$7,$U$1:$U$7,"erro",0,1)-R48-R62</f>
        <v>0</v>
      </c>
      <c r="P52" s="9">
        <f ca="1">_xlfn.XLOOKUP(M52,$X$1:$X$7,$Y$1:$Y$7,"erro",0,1)-R49-R60-R63</f>
        <v>672</v>
      </c>
      <c r="Q52" s="9">
        <f ca="1">_xlfn.XLOOKUP(N52,$J$17:$J$23,$K$17:$K$23,"erro",0,1)-R50-R51-R53</f>
        <v>75</v>
      </c>
      <c r="R52" s="44">
        <f t="shared" ca="1" si="31"/>
        <v>0</v>
      </c>
      <c r="S52" s="24">
        <f t="shared" ca="1" si="32"/>
        <v>75</v>
      </c>
      <c r="T52" s="46">
        <v>14</v>
      </c>
      <c r="V52" s="22" t="s">
        <v>11</v>
      </c>
      <c r="W52" s="9" t="s">
        <v>10</v>
      </c>
      <c r="X52" s="38" t="s">
        <v>9</v>
      </c>
      <c r="Y52" s="9">
        <f ca="1">_xlfn.XLOOKUP(V52,N$68:N$72,O$68:O$72,"erro",0,1)-AB48-AB62</f>
        <v>0</v>
      </c>
      <c r="Z52" s="9">
        <f ca="1">_xlfn.XLOOKUP(W52,N$68:N$72,P$68:P$72,"erro",0,1)-AB49-AB60-AB63</f>
        <v>604</v>
      </c>
      <c r="AA52" s="9">
        <f ca="1">_xlfn.XLOOKUP(X52,$J$17:$J$23,$L$17:$L$23,"erro",0,1)-AB50-AB51-AB53</f>
        <v>70</v>
      </c>
      <c r="AB52" s="44">
        <f t="shared" ca="1" si="33"/>
        <v>0</v>
      </c>
      <c r="AC52" s="24">
        <f t="shared" ca="1" si="34"/>
        <v>70</v>
      </c>
      <c r="AD52" s="46">
        <v>14</v>
      </c>
      <c r="AF52" s="22" t="s">
        <v>11</v>
      </c>
      <c r="AG52" s="9" t="s">
        <v>10</v>
      </c>
      <c r="AH52" s="38" t="s">
        <v>9</v>
      </c>
      <c r="AI52" s="9">
        <f ca="1">_xlfn.XLOOKUP(AF52,X$68:X$72,Y$68:Y$72,"erro",0,1)-AL48-AL62</f>
        <v>0</v>
      </c>
      <c r="AJ52" s="9">
        <f ca="1">_xlfn.XLOOKUP(AG52,X$68:X$72,Z$68:Z$72,"erro",0,1)-AL49-AL60-AL63</f>
        <v>547</v>
      </c>
      <c r="AK52" s="9">
        <f ca="1">_xlfn.XLOOKUP(AH52,$J$17:$J$23,$M$17:$M$23,"erro",0,1)-AL50-AL51-AL53</f>
        <v>72</v>
      </c>
      <c r="AL52" s="44">
        <f t="shared" ca="1" si="35"/>
        <v>0</v>
      </c>
      <c r="AM52" s="24">
        <f t="shared" ca="1" si="36"/>
        <v>72</v>
      </c>
      <c r="AN52" s="46">
        <v>14</v>
      </c>
      <c r="AP52" s="22" t="s">
        <v>11</v>
      </c>
      <c r="AQ52" s="9" t="s">
        <v>10</v>
      </c>
      <c r="AR52" s="38" t="s">
        <v>9</v>
      </c>
      <c r="AS52" s="9">
        <f ca="1">_xlfn.XLOOKUP(AP52,AH$68:AH$72,AI$68:AI$72,"erro",0,1)-AV48-AV62</f>
        <v>0</v>
      </c>
      <c r="AT52" s="9">
        <f ca="1">_xlfn.XLOOKUP(AQ52,AH$68:AH$72,AJ$68:AJ$72,"erro",0,1)-AV49-AV60-AV63</f>
        <v>486</v>
      </c>
      <c r="AU52" s="9">
        <f ca="1">_xlfn.XLOOKUP(AR52,$J$17:$J$23,$N$17:$N$23,"erro",0,1)-AV50-AV51-AV53</f>
        <v>69</v>
      </c>
      <c r="AV52" s="44">
        <f t="shared" ca="1" si="37"/>
        <v>0</v>
      </c>
      <c r="AW52" s="24">
        <f t="shared" ca="1" si="38"/>
        <v>69</v>
      </c>
      <c r="AX52" s="46">
        <v>14</v>
      </c>
      <c r="AZ52" s="22" t="s">
        <v>11</v>
      </c>
      <c r="BA52" s="9" t="s">
        <v>10</v>
      </c>
      <c r="BB52" s="38" t="s">
        <v>9</v>
      </c>
      <c r="BC52" s="9">
        <f ca="1">_xlfn.XLOOKUP(AZ52,AR$68:AR$72,AS$68:AS$72,"erro",0,1)-BF48-BF62</f>
        <v>0</v>
      </c>
      <c r="BD52" s="9">
        <f ca="1">_xlfn.XLOOKUP(BA52,AR$68:AR$72,AT$68:AT$72,"erro",0,1)-BF49-BF60-BF63</f>
        <v>416</v>
      </c>
      <c r="BE52" s="9">
        <f ca="1">_xlfn.XLOOKUP(BB52,$J$17:$J$23,$O$17:$O$23,"erro",0,1)-BF50-BF51-BF53</f>
        <v>53</v>
      </c>
      <c r="BF52" s="44">
        <f t="shared" ca="1" si="39"/>
        <v>0</v>
      </c>
      <c r="BG52" s="24">
        <f t="shared" ca="1" si="40"/>
        <v>53</v>
      </c>
      <c r="BH52" s="46">
        <v>14</v>
      </c>
      <c r="BJ52" s="22" t="s">
        <v>11</v>
      </c>
      <c r="BK52" s="9" t="s">
        <v>10</v>
      </c>
      <c r="BL52" s="38" t="s">
        <v>9</v>
      </c>
      <c r="BM52" s="9">
        <f ca="1">_xlfn.XLOOKUP(BJ52,BB$68:BB$72,BC$68:BC$72,"erro",0,1)-BP48-BP62</f>
        <v>0</v>
      </c>
      <c r="BN52" s="9">
        <f ca="1">_xlfn.XLOOKUP(BK52,BB$68:BB$72,BD$68:BD$72,"erro",0,1)-BP49-BP60-BP63</f>
        <v>351</v>
      </c>
      <c r="BO52" s="9">
        <f ca="1">_xlfn.XLOOKUP(BL52,$J$17:$J$23,$P$17:$P$23,"erro",0,1)-BP50-BP51-BP53</f>
        <v>61</v>
      </c>
      <c r="BP52" s="44">
        <f t="shared" ca="1" si="41"/>
        <v>0</v>
      </c>
      <c r="BQ52" s="24">
        <f t="shared" ca="1" si="42"/>
        <v>61</v>
      </c>
      <c r="BR52" s="46">
        <v>14</v>
      </c>
      <c r="BT52" s="22" t="s">
        <v>11</v>
      </c>
      <c r="BU52" s="9" t="s">
        <v>10</v>
      </c>
      <c r="BV52" s="38" t="s">
        <v>9</v>
      </c>
      <c r="BW52" s="9">
        <f ca="1">_xlfn.XLOOKUP(BT52,BL$68:BL$72,BM$68:BM$72,"erro",0,1)-BZ48-BZ62</f>
        <v>0</v>
      </c>
      <c r="BX52" s="9">
        <f ca="1">_xlfn.XLOOKUP(BU52,BL$68:BL$72,BN$68:BN$72,"erro",0,1)-BZ49-BZ60-BZ63</f>
        <v>277</v>
      </c>
      <c r="BY52" s="9">
        <f ca="1">_xlfn.XLOOKUP(BV52,$J$17:$J$23,$Q$17:$Q$23,"erro",0,1)-BZ50-BZ51-BZ53</f>
        <v>77</v>
      </c>
      <c r="BZ52" s="44">
        <f t="shared" ca="1" si="43"/>
        <v>0</v>
      </c>
      <c r="CA52" s="24">
        <f t="shared" ca="1" si="44"/>
        <v>77</v>
      </c>
      <c r="CB52" s="46">
        <v>14</v>
      </c>
      <c r="CD52" s="22" t="s">
        <v>11</v>
      </c>
      <c r="CE52" s="9" t="s">
        <v>10</v>
      </c>
      <c r="CF52" s="38" t="s">
        <v>9</v>
      </c>
      <c r="CG52" s="9">
        <f ca="1">_xlfn.XLOOKUP(CD52,BV$68:BV$72,BW$68:BW$72,"erro",0,1)-CJ48-CJ62</f>
        <v>0</v>
      </c>
      <c r="CH52" s="9">
        <f ca="1">_xlfn.XLOOKUP(CE52,BV$68:BV$72,BX$68:BX$72,"erro",0,1)-CJ49-CJ60-CJ63</f>
        <v>192</v>
      </c>
      <c r="CI52" s="9">
        <f ca="1">_xlfn.XLOOKUP(CF52,$J$17:$J$23,$R$17:$R$23,"erro",0,1)-CJ50-CJ51-CJ53</f>
        <v>66</v>
      </c>
      <c r="CJ52" s="44">
        <f t="shared" ca="1" si="45"/>
        <v>0</v>
      </c>
      <c r="CK52" s="24">
        <f t="shared" ca="1" si="46"/>
        <v>66</v>
      </c>
      <c r="CL52" s="46">
        <v>14</v>
      </c>
      <c r="CN52" s="22" t="s">
        <v>11</v>
      </c>
      <c r="CO52" s="9" t="s">
        <v>10</v>
      </c>
      <c r="CP52" s="38" t="s">
        <v>9</v>
      </c>
      <c r="CQ52" s="9">
        <f ca="1">_xlfn.XLOOKUP(CN52,CF$68:CF$72,CG$68:CG$72,"erro",0,1)-CT48-CT62</f>
        <v>0</v>
      </c>
      <c r="CR52" s="9">
        <f ca="1">_xlfn.XLOOKUP(CO52,CF$68:CF$72,CH$68:CH$72,"erro",0,1)-CT49-CT60-CT63</f>
        <v>105</v>
      </c>
      <c r="CS52" s="9">
        <f ca="1">_xlfn.XLOOKUP(CP52,$J$17:$J$23,$S$17:$S$23,"erro",0,1)-CT50-CT51-CT53</f>
        <v>62</v>
      </c>
      <c r="CT52" s="44">
        <f t="shared" ca="1" si="47"/>
        <v>0</v>
      </c>
      <c r="CU52" s="24">
        <f t="shared" ca="1" si="48"/>
        <v>62</v>
      </c>
      <c r="CV52" s="46">
        <v>14</v>
      </c>
      <c r="CX52" s="22" t="s">
        <v>11</v>
      </c>
      <c r="CY52" s="9" t="s">
        <v>10</v>
      </c>
      <c r="CZ52" s="38" t="s">
        <v>9</v>
      </c>
      <c r="DA52" s="9">
        <f ca="1">_xlfn.XLOOKUP(CX52,CP$68:CP$72,CQ$68:CQ$72,"erro",0,1)-DD48-DD62</f>
        <v>0</v>
      </c>
      <c r="DB52" s="9">
        <f ca="1">_xlfn.XLOOKUP(CY52,CP$68:CP$72,CR$68:CR$72,"erro",0,1)-DD49-DD60-DD63</f>
        <v>42</v>
      </c>
      <c r="DC52" s="9">
        <f ca="1">_xlfn.XLOOKUP(CZ52,$J$17:$J$23,$T$17:$T$23,"erro",0,1)-DD50-DD51-DD53</f>
        <v>66</v>
      </c>
      <c r="DD52" s="44">
        <f t="shared" ca="1" si="49"/>
        <v>0</v>
      </c>
      <c r="DE52" s="24">
        <f t="shared" ca="1" si="50"/>
        <v>66</v>
      </c>
      <c r="DF52" s="46">
        <v>14</v>
      </c>
      <c r="DH52"/>
      <c r="DI52"/>
      <c r="DJ52"/>
      <c r="DK52"/>
      <c r="DL52"/>
      <c r="DM52"/>
      <c r="DN52"/>
      <c r="DO52"/>
      <c r="DP52"/>
    </row>
    <row r="53" spans="1:120" ht="15.75" thickBot="1" x14ac:dyDescent="0.3">
      <c r="A53" s="2">
        <f t="shared" ca="1" si="0"/>
        <v>3.0072474748176292</v>
      </c>
      <c r="B53" cm="1">
        <f t="array" aca="1" ref="B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53" s="2">
        <f t="shared" ca="1" si="1"/>
        <v>3.011151224179919</v>
      </c>
      <c r="D53" t="str" cm="1">
        <f t="array" aca="1" ref="D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3" s="2">
        <f t="shared" ca="1" si="2"/>
        <v>30.017225544498558</v>
      </c>
      <c r="F53" t="str" cm="1">
        <f t="array" aca="1" ref="F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3" s="2">
        <f t="shared" ca="1" si="3"/>
        <v>40.018400035704467</v>
      </c>
      <c r="H53" s="5" t="str" cm="1">
        <f t="array" aca="1" ref="H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L53" s="26" t="s">
        <v>13</v>
      </c>
      <c r="M53" s="27" t="s">
        <v>9</v>
      </c>
      <c r="N53" s="39" t="s">
        <v>9</v>
      </c>
      <c r="O53" s="27">
        <f ca="1">_xlfn.XLOOKUP(L53,$T$1:$T$7,$U$1:$U$7,"erro",0,1)-R49</f>
        <v>0</v>
      </c>
      <c r="P53" s="27">
        <f ca="1">_xlfn.XLOOKUP(M53,$X$1:$X$7,$Y$1:$Y$7,"erro",0,1)-R64</f>
        <v>670</v>
      </c>
      <c r="Q53" s="27">
        <f ca="1">_xlfn.XLOOKUP(N53,$J$17:$J$23,$K$17:$K$23,"erro",0,1)-R50</f>
        <v>75</v>
      </c>
      <c r="R53" s="33">
        <f t="shared" ca="1" si="31"/>
        <v>0</v>
      </c>
      <c r="S53" s="30">
        <f t="shared" ca="1" si="32"/>
        <v>75</v>
      </c>
      <c r="T53" s="46">
        <v>10</v>
      </c>
      <c r="V53" s="26" t="s">
        <v>13</v>
      </c>
      <c r="W53" s="27" t="s">
        <v>9</v>
      </c>
      <c r="X53" s="39" t="s">
        <v>9</v>
      </c>
      <c r="Y53" s="27">
        <f ca="1">_xlfn.XLOOKUP(V53,N$68:N$72,O$68:O$72,"erro",0,1)-AB49</f>
        <v>0</v>
      </c>
      <c r="Z53" s="27">
        <f ca="1">_xlfn.XLOOKUP(W53,N$68:N$72,P$68:P$72,"erro",0,1)-AB64</f>
        <v>670</v>
      </c>
      <c r="AA53" s="27">
        <f ca="1">_xlfn.XLOOKUP(X53,$J$17:$J$23,$L$17:$L$23,"erro",0,1)-AB50</f>
        <v>70</v>
      </c>
      <c r="AB53" s="33">
        <f t="shared" ca="1" si="33"/>
        <v>0</v>
      </c>
      <c r="AC53" s="30">
        <f t="shared" ca="1" si="34"/>
        <v>70</v>
      </c>
      <c r="AD53" s="46">
        <v>10</v>
      </c>
      <c r="AF53" s="26" t="s">
        <v>13</v>
      </c>
      <c r="AG53" s="27" t="s">
        <v>9</v>
      </c>
      <c r="AH53" s="39" t="s">
        <v>9</v>
      </c>
      <c r="AI53" s="27">
        <f ca="1">_xlfn.XLOOKUP(AF53,X$68:X$72,Y$68:Y$72,"erro",0,1)-AL49</f>
        <v>0</v>
      </c>
      <c r="AJ53" s="27">
        <f ca="1">_xlfn.XLOOKUP(AG53,X$68:X$72,Z$68:Z$72,"erro",0,1)-AL64</f>
        <v>670</v>
      </c>
      <c r="AK53" s="27">
        <f ca="1">_xlfn.XLOOKUP(AH53,$J$17:$J$23,$M$17:$M$23,"erro",0,1)-AL50</f>
        <v>72</v>
      </c>
      <c r="AL53" s="33">
        <f t="shared" ca="1" si="35"/>
        <v>0</v>
      </c>
      <c r="AM53" s="30">
        <f t="shared" ca="1" si="36"/>
        <v>72</v>
      </c>
      <c r="AN53" s="46">
        <v>10</v>
      </c>
      <c r="AP53" s="26" t="s">
        <v>13</v>
      </c>
      <c r="AQ53" s="27" t="s">
        <v>9</v>
      </c>
      <c r="AR53" s="39" t="s">
        <v>9</v>
      </c>
      <c r="AS53" s="27">
        <f ca="1">_xlfn.XLOOKUP(AP53,AH$68:AH$72,AI$68:AI$72,"erro",0,1)-AV49</f>
        <v>0</v>
      </c>
      <c r="AT53" s="27">
        <f ca="1">_xlfn.XLOOKUP(AQ53,AH$68:AH$72,AJ$68:AJ$72,"erro",0,1)-AV64</f>
        <v>670</v>
      </c>
      <c r="AU53" s="27">
        <f ca="1">_xlfn.XLOOKUP(AR53,$J$17:$J$23,$N$17:$N$23,"erro",0,1)-AV50</f>
        <v>69</v>
      </c>
      <c r="AV53" s="33">
        <f t="shared" ca="1" si="37"/>
        <v>0</v>
      </c>
      <c r="AW53" s="30">
        <f t="shared" ca="1" si="38"/>
        <v>69</v>
      </c>
      <c r="AX53" s="46">
        <v>10</v>
      </c>
      <c r="AZ53" s="26" t="s">
        <v>13</v>
      </c>
      <c r="BA53" s="27" t="s">
        <v>9</v>
      </c>
      <c r="BB53" s="39" t="s">
        <v>9</v>
      </c>
      <c r="BC53" s="27">
        <f ca="1">_xlfn.XLOOKUP(AZ53,AR$68:AR$72,AS$68:AS$72,"erro",0,1)-BF49</f>
        <v>0</v>
      </c>
      <c r="BD53" s="27">
        <f ca="1">_xlfn.XLOOKUP(BA53,AR$68:AR$72,AT$68:AT$72,"erro",0,1)-BF64</f>
        <v>670</v>
      </c>
      <c r="BE53" s="27">
        <f ca="1">_xlfn.XLOOKUP(BB53,$J$17:$J$23,$O$17:$O$23,"erro",0,1)-BF50</f>
        <v>53</v>
      </c>
      <c r="BF53" s="33">
        <f t="shared" ca="1" si="39"/>
        <v>0</v>
      </c>
      <c r="BG53" s="30">
        <f t="shared" ca="1" si="40"/>
        <v>53</v>
      </c>
      <c r="BH53" s="46">
        <v>10</v>
      </c>
      <c r="BJ53" s="26" t="s">
        <v>13</v>
      </c>
      <c r="BK53" s="27" t="s">
        <v>9</v>
      </c>
      <c r="BL53" s="39" t="s">
        <v>9</v>
      </c>
      <c r="BM53" s="27">
        <f ca="1">_xlfn.XLOOKUP(BJ53,BB$68:BB$72,BC$68:BC$72,"erro",0,1)-BP49</f>
        <v>0</v>
      </c>
      <c r="BN53" s="27">
        <f ca="1">_xlfn.XLOOKUP(BK53,BB$68:BB$72,BD$68:BD$72,"erro",0,1)-BP64</f>
        <v>670</v>
      </c>
      <c r="BO53" s="27">
        <f ca="1">_xlfn.XLOOKUP(BL53,$J$17:$J$23,$P$17:$P$23,"erro",0,1)-BP50</f>
        <v>61</v>
      </c>
      <c r="BP53" s="33">
        <f t="shared" ca="1" si="41"/>
        <v>0</v>
      </c>
      <c r="BQ53" s="30">
        <f t="shared" ca="1" si="42"/>
        <v>61</v>
      </c>
      <c r="BR53" s="46">
        <v>10</v>
      </c>
      <c r="BT53" s="26" t="s">
        <v>13</v>
      </c>
      <c r="BU53" s="27" t="s">
        <v>9</v>
      </c>
      <c r="BV53" s="39" t="s">
        <v>9</v>
      </c>
      <c r="BW53" s="27">
        <f ca="1">_xlfn.XLOOKUP(BT53,BL$68:BL$72,BM$68:BM$72,"erro",0,1)-BZ49</f>
        <v>0</v>
      </c>
      <c r="BX53" s="27">
        <f ca="1">_xlfn.XLOOKUP(BU53,BL$68:BL$72,BN$68:BN$72,"erro",0,1)-BZ64</f>
        <v>670</v>
      </c>
      <c r="BY53" s="27">
        <f ca="1">_xlfn.XLOOKUP(BV53,$J$17:$J$23,$Q$17:$Q$23,"erro",0,1)-BZ50</f>
        <v>77</v>
      </c>
      <c r="BZ53" s="33">
        <f t="shared" ca="1" si="43"/>
        <v>0</v>
      </c>
      <c r="CA53" s="30">
        <f t="shared" ca="1" si="44"/>
        <v>77</v>
      </c>
      <c r="CB53" s="46">
        <v>10</v>
      </c>
      <c r="CD53" s="26" t="s">
        <v>13</v>
      </c>
      <c r="CE53" s="27" t="s">
        <v>9</v>
      </c>
      <c r="CF53" s="39" t="s">
        <v>9</v>
      </c>
      <c r="CG53" s="27">
        <f ca="1">_xlfn.XLOOKUP(CD53,BV$68:BV$72,BW$68:BW$72,"erro",0,1)-CJ49</f>
        <v>0</v>
      </c>
      <c r="CH53" s="27">
        <f ca="1">_xlfn.XLOOKUP(CE53,BV$68:BV$72,BX$68:BX$72,"erro",0,1)-CJ64</f>
        <v>670</v>
      </c>
      <c r="CI53" s="27">
        <f ca="1">_xlfn.XLOOKUP(CF53,$J$17:$J$23,$R$17:$R$23,"erro",0,1)-CJ50</f>
        <v>66</v>
      </c>
      <c r="CJ53" s="33">
        <f t="shared" ca="1" si="45"/>
        <v>0</v>
      </c>
      <c r="CK53" s="30">
        <f t="shared" ca="1" si="46"/>
        <v>66</v>
      </c>
      <c r="CL53" s="46">
        <v>10</v>
      </c>
      <c r="CN53" s="26" t="s">
        <v>13</v>
      </c>
      <c r="CO53" s="27" t="s">
        <v>9</v>
      </c>
      <c r="CP53" s="39" t="s">
        <v>9</v>
      </c>
      <c r="CQ53" s="27">
        <f ca="1">_xlfn.XLOOKUP(CN53,CF$68:CF$72,CG$68:CG$72,"erro",0,1)-CT49</f>
        <v>0</v>
      </c>
      <c r="CR53" s="27">
        <f ca="1">_xlfn.XLOOKUP(CO53,CF$68:CF$72,CH$68:CH$72,"erro",0,1)-CT64</f>
        <v>670</v>
      </c>
      <c r="CS53" s="27">
        <f ca="1">_xlfn.XLOOKUP(CP53,$J$17:$J$23,$S$17:$S$23,"erro",0,1)-CT50</f>
        <v>62</v>
      </c>
      <c r="CT53" s="33">
        <f t="shared" ca="1" si="47"/>
        <v>0</v>
      </c>
      <c r="CU53" s="30">
        <f t="shared" ca="1" si="48"/>
        <v>62</v>
      </c>
      <c r="CV53" s="46">
        <v>10</v>
      </c>
      <c r="CX53" s="26" t="s">
        <v>13</v>
      </c>
      <c r="CY53" s="27" t="s">
        <v>9</v>
      </c>
      <c r="CZ53" s="39" t="s">
        <v>9</v>
      </c>
      <c r="DA53" s="27">
        <f ca="1">_xlfn.XLOOKUP(CX53,CP$68:CP$72,CQ$68:CQ$72,"erro",0,1)-DD49</f>
        <v>0</v>
      </c>
      <c r="DB53" s="27">
        <f ca="1">_xlfn.XLOOKUP(CY53,CP$68:CP$72,CR$68:CR$72,"erro",0,1)-DD64</f>
        <v>670</v>
      </c>
      <c r="DC53" s="27">
        <f ca="1">_xlfn.XLOOKUP(CZ53,$J$17:$J$23,$T$17:$T$23,"erro",0,1)-DD50</f>
        <v>66</v>
      </c>
      <c r="DD53" s="33">
        <f t="shared" ca="1" si="49"/>
        <v>0</v>
      </c>
      <c r="DE53" s="30">
        <f t="shared" ca="1" si="50"/>
        <v>66</v>
      </c>
      <c r="DF53" s="46">
        <v>10</v>
      </c>
      <c r="DH53"/>
      <c r="DI53"/>
      <c r="DJ53"/>
      <c r="DK53"/>
      <c r="DL53"/>
      <c r="DM53"/>
      <c r="DN53"/>
      <c r="DO53"/>
      <c r="DP53"/>
    </row>
    <row r="54" spans="1:120" x14ac:dyDescent="0.25">
      <c r="A54" s="2">
        <f t="shared" ca="1" si="0"/>
        <v>3.0032017352251081</v>
      </c>
      <c r="B54" cm="1">
        <f t="array" aca="1" ref="B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54" s="2">
        <f t="shared" ca="1" si="1"/>
        <v>3.0229190969760888</v>
      </c>
      <c r="D54" t="str" cm="1">
        <f t="array" aca="1" ref="D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4" s="2">
        <f t="shared" ca="1" si="2"/>
        <v>30.015032304359508</v>
      </c>
      <c r="F54" t="str" cm="1">
        <f t="array" aca="1" ref="F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4" s="2">
        <f t="shared" ca="1" si="3"/>
        <v>40.010190793105416</v>
      </c>
      <c r="H54" s="5" t="str" cm="1">
        <f t="array" aca="1" ref="H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L54" s="17" t="s">
        <v>8</v>
      </c>
      <c r="M54" s="18" t="s">
        <v>13</v>
      </c>
      <c r="N54" s="31" t="s">
        <v>10</v>
      </c>
      <c r="O54" s="18">
        <f ca="1">_xlfn.XLOOKUP(L54,$T$1:$T$7,$U$1:$U$7,"erro",0,1)-R59-R63</f>
        <v>664</v>
      </c>
      <c r="P54" s="18">
        <f ca="1">_xlfn.XLOOKUP(M54,$X$1:$X$7,$Y$1:$Y$7,"erro",0,1)-R47-R50</f>
        <v>0</v>
      </c>
      <c r="Q54" s="18">
        <f ca="1">_xlfn.XLOOKUP(N54,$J$17:$J$23,$K$17:$K$23,"erro",0,1)</f>
        <v>68</v>
      </c>
      <c r="R54" s="43">
        <f t="shared" ca="1" si="31"/>
        <v>0</v>
      </c>
      <c r="S54" s="21">
        <f ca="1">Q54-R54</f>
        <v>68</v>
      </c>
      <c r="T54" s="46">
        <v>15</v>
      </c>
      <c r="V54" s="17" t="s">
        <v>8</v>
      </c>
      <c r="W54" s="18" t="s">
        <v>13</v>
      </c>
      <c r="X54" s="31" t="s">
        <v>10</v>
      </c>
      <c r="Y54" s="18">
        <f ca="1">_xlfn.XLOOKUP(V54,N$68:N$72,O$68:O$72,"erro",0,1)-AB59-AB63</f>
        <v>664</v>
      </c>
      <c r="Z54" s="18">
        <f ca="1">_xlfn.XLOOKUP(W54,N$68:N$72,P$68:P$72,"erro",0,1)-AB47-AB50</f>
        <v>0</v>
      </c>
      <c r="AA54" s="18">
        <f ca="1">_xlfn.XLOOKUP(X54,$J$17:$J$23,$L$17:$L$23,"erro",0,1)</f>
        <v>57</v>
      </c>
      <c r="AB54" s="43">
        <f t="shared" ca="1" si="33"/>
        <v>0</v>
      </c>
      <c r="AC54" s="21">
        <f ca="1">AA54-AB54</f>
        <v>57</v>
      </c>
      <c r="AD54" s="46">
        <v>15</v>
      </c>
      <c r="AF54" s="17" t="s">
        <v>8</v>
      </c>
      <c r="AG54" s="18" t="s">
        <v>13</v>
      </c>
      <c r="AH54" s="31" t="s">
        <v>10</v>
      </c>
      <c r="AI54" s="18">
        <f ca="1">_xlfn.XLOOKUP(AF54,X$68:X$72,Y$68:Y$72,"erro",0,1)-AL59-AL63</f>
        <v>664</v>
      </c>
      <c r="AJ54" s="18">
        <f ca="1">_xlfn.XLOOKUP(AG54,X$68:X$72,Z$68:Z$72,"erro",0,1)-AL47-AL50</f>
        <v>0</v>
      </c>
      <c r="AK54" s="18">
        <f ca="1">_xlfn.XLOOKUP(AH54,$J$17:$J$23,$M$17:$M$23,"erro",0,1)</f>
        <v>61</v>
      </c>
      <c r="AL54" s="43">
        <f t="shared" ca="1" si="35"/>
        <v>0</v>
      </c>
      <c r="AM54" s="21">
        <f ca="1">AK54-AL54</f>
        <v>61</v>
      </c>
      <c r="AN54" s="46">
        <v>15</v>
      </c>
      <c r="AP54" s="17" t="s">
        <v>8</v>
      </c>
      <c r="AQ54" s="18" t="s">
        <v>13</v>
      </c>
      <c r="AR54" s="31" t="s">
        <v>10</v>
      </c>
      <c r="AS54" s="18">
        <f ca="1">_xlfn.XLOOKUP(AP54,AH$68:AH$72,AI$68:AI$72,"erro",0,1)-AV59-AV63</f>
        <v>664</v>
      </c>
      <c r="AT54" s="18">
        <f ca="1">_xlfn.XLOOKUP(AQ54,AH$68:AH$72,AJ$68:AJ$72,"erro",0,1)-AV47-AV50</f>
        <v>0</v>
      </c>
      <c r="AU54" s="18">
        <f ca="1">_xlfn.XLOOKUP(AR54,$J$17:$J$23,$N$17:$N$23,"erro",0,1)</f>
        <v>70</v>
      </c>
      <c r="AV54" s="43">
        <f t="shared" ca="1" si="37"/>
        <v>0</v>
      </c>
      <c r="AW54" s="21">
        <f ca="1">AU54-AV54</f>
        <v>70</v>
      </c>
      <c r="AX54" s="46">
        <v>15</v>
      </c>
      <c r="AZ54" s="17" t="s">
        <v>8</v>
      </c>
      <c r="BA54" s="18" t="s">
        <v>13</v>
      </c>
      <c r="BB54" s="31" t="s">
        <v>10</v>
      </c>
      <c r="BC54" s="18">
        <f ca="1">_xlfn.XLOOKUP(AZ54,AR$68:AR$72,AS$68:AS$72,"erro",0,1)-BF59-BF63</f>
        <v>664</v>
      </c>
      <c r="BD54" s="18">
        <f ca="1">_xlfn.XLOOKUP(BA54,AR$68:AR$72,AT$68:AT$72,"erro",0,1)-BF47-BF50</f>
        <v>0</v>
      </c>
      <c r="BE54" s="18">
        <f ca="1">_xlfn.XLOOKUP(BB54,$J$17:$J$23,$O$17:$O$23,"erro",0,1)</f>
        <v>65</v>
      </c>
      <c r="BF54" s="43">
        <f t="shared" ca="1" si="39"/>
        <v>0</v>
      </c>
      <c r="BG54" s="21">
        <f ca="1">BE54-BF54</f>
        <v>65</v>
      </c>
      <c r="BH54" s="46">
        <v>15</v>
      </c>
      <c r="BJ54" s="17" t="s">
        <v>8</v>
      </c>
      <c r="BK54" s="18" t="s">
        <v>13</v>
      </c>
      <c r="BL54" s="31" t="s">
        <v>10</v>
      </c>
      <c r="BM54" s="18">
        <f ca="1">_xlfn.XLOOKUP(BJ54,BB$68:BB$72,BC$68:BC$72,"erro",0,1)-BP59-BP63</f>
        <v>664</v>
      </c>
      <c r="BN54" s="18">
        <f ca="1">_xlfn.XLOOKUP(BK54,BB$68:BB$72,BD$68:BD$72,"erro",0,1)-BP47-BP50</f>
        <v>0</v>
      </c>
      <c r="BO54" s="18">
        <f ca="1">_xlfn.XLOOKUP(BL54,$J$17:$J$23,$P$17:$P$23,"erro",0,1)</f>
        <v>74</v>
      </c>
      <c r="BP54" s="43">
        <f t="shared" ca="1" si="41"/>
        <v>0</v>
      </c>
      <c r="BQ54" s="21">
        <f ca="1">BO54-BP54</f>
        <v>74</v>
      </c>
      <c r="BR54" s="46">
        <v>15</v>
      </c>
      <c r="BT54" s="17" t="s">
        <v>8</v>
      </c>
      <c r="BU54" s="18" t="s">
        <v>13</v>
      </c>
      <c r="BV54" s="31" t="s">
        <v>10</v>
      </c>
      <c r="BW54" s="18">
        <f ca="1">_xlfn.XLOOKUP(BT54,BL$68:BL$72,BM$68:BM$72,"erro",0,1)-BZ59-BZ63</f>
        <v>664</v>
      </c>
      <c r="BX54" s="18">
        <f ca="1">_xlfn.XLOOKUP(BU54,BL$68:BL$72,BN$68:BN$72,"erro",0,1)-BZ47-BZ50</f>
        <v>0</v>
      </c>
      <c r="BY54" s="18">
        <f ca="1">_xlfn.XLOOKUP(BV54,$J$17:$J$23,$Q$17:$Q$23,"erro",0,1)</f>
        <v>85</v>
      </c>
      <c r="BZ54" s="43">
        <f t="shared" ca="1" si="43"/>
        <v>0</v>
      </c>
      <c r="CA54" s="21">
        <f ca="1">BY54-BZ54</f>
        <v>85</v>
      </c>
      <c r="CB54" s="46">
        <v>15</v>
      </c>
      <c r="CD54" s="17" t="s">
        <v>8</v>
      </c>
      <c r="CE54" s="18" t="s">
        <v>13</v>
      </c>
      <c r="CF54" s="31" t="s">
        <v>10</v>
      </c>
      <c r="CG54" s="18">
        <f ca="1">_xlfn.XLOOKUP(CD54,BV$68:BV$72,BW$68:BW$72,"erro",0,1)-CJ59-CJ63</f>
        <v>664</v>
      </c>
      <c r="CH54" s="18">
        <f ca="1">_xlfn.XLOOKUP(CE54,BV$68:BV$72,BX$68:BX$72,"erro",0,1)-CJ47-CJ50</f>
        <v>0</v>
      </c>
      <c r="CI54" s="18">
        <f ca="1">_xlfn.XLOOKUP(CF54,$J$17:$J$23,$R$17:$R$23,"erro",0,1)</f>
        <v>87</v>
      </c>
      <c r="CJ54" s="43">
        <f t="shared" ca="1" si="45"/>
        <v>0</v>
      </c>
      <c r="CK54" s="21">
        <f ca="1">CI54-CJ54</f>
        <v>87</v>
      </c>
      <c r="CL54" s="46">
        <v>15</v>
      </c>
      <c r="CN54" s="17" t="s">
        <v>8</v>
      </c>
      <c r="CO54" s="18" t="s">
        <v>13</v>
      </c>
      <c r="CP54" s="31" t="s">
        <v>10</v>
      </c>
      <c r="CQ54" s="18">
        <f ca="1">_xlfn.XLOOKUP(CN54,CF$68:CF$72,CG$68:CG$72,"erro",0,1)-CT59-CT63</f>
        <v>664</v>
      </c>
      <c r="CR54" s="18">
        <f ca="1">_xlfn.XLOOKUP(CO54,CF$68:CF$72,CH$68:CH$72,"erro",0,1)-CT47-CT50</f>
        <v>0</v>
      </c>
      <c r="CS54" s="18">
        <f ca="1">_xlfn.XLOOKUP(CP54,$J$17:$J$23,$S$17:$S$23,"erro",0,1)</f>
        <v>65</v>
      </c>
      <c r="CT54" s="43">
        <f t="shared" ca="1" si="47"/>
        <v>0</v>
      </c>
      <c r="CU54" s="21">
        <f ca="1">CS54-CT54</f>
        <v>65</v>
      </c>
      <c r="CV54" s="46">
        <v>15</v>
      </c>
      <c r="CX54" s="17" t="s">
        <v>8</v>
      </c>
      <c r="CY54" s="18" t="s">
        <v>13</v>
      </c>
      <c r="CZ54" s="31" t="s">
        <v>10</v>
      </c>
      <c r="DA54" s="18">
        <f ca="1">_xlfn.XLOOKUP(CX54,CP$68:CP$72,CQ$68:CQ$72,"erro",0,1)-DD59-DD63</f>
        <v>664</v>
      </c>
      <c r="DB54" s="18">
        <f ca="1">_xlfn.XLOOKUP(CY54,CP$68:CP$72,CR$68:CR$72,"erro",0,1)-DD47-DD50</f>
        <v>0</v>
      </c>
      <c r="DC54" s="18">
        <f ca="1">_xlfn.XLOOKUP(CZ54,$J$17:$J$23,$T$17:$T$23,"erro",0,1)</f>
        <v>83</v>
      </c>
      <c r="DD54" s="43">
        <f t="shared" ca="1" si="49"/>
        <v>0</v>
      </c>
      <c r="DE54" s="21">
        <f ca="1">DC54-DD54</f>
        <v>83</v>
      </c>
      <c r="DF54" s="46">
        <v>15</v>
      </c>
      <c r="DH54"/>
      <c r="DI54"/>
      <c r="DJ54"/>
      <c r="DK54"/>
      <c r="DL54"/>
      <c r="DM54"/>
      <c r="DN54"/>
      <c r="DO54"/>
      <c r="DP54"/>
    </row>
    <row r="55" spans="1:120" x14ac:dyDescent="0.25">
      <c r="A55" s="2">
        <f t="shared" ca="1" si="0"/>
        <v>3.0017664999608584</v>
      </c>
      <c r="B55" cm="1">
        <f t="array" aca="1" ref="B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55" s="2">
        <f t="shared" ca="1" si="1"/>
        <v>3.0260892597825828</v>
      </c>
      <c r="D55" t="str" cm="1">
        <f t="array" aca="1" ref="D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5" s="2">
        <f t="shared" ca="1" si="2"/>
        <v>30.025248414456687</v>
      </c>
      <c r="F55" t="str" cm="1">
        <f t="array" aca="1" ref="F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5" s="2">
        <f t="shared" ca="1" si="3"/>
        <v>40.02204527672216</v>
      </c>
      <c r="H55" s="5" t="str" cm="1">
        <f t="array" aca="1" ref="H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L55" s="22" t="s">
        <v>9</v>
      </c>
      <c r="M55" s="9" t="s">
        <v>11</v>
      </c>
      <c r="N55" s="15" t="s">
        <v>10</v>
      </c>
      <c r="O55" s="9">
        <f ca="1">_xlfn.XLOOKUP(L55,$T$1:$T$7,$U$1:$U$7,"erro",0,1)-R50-R60-R64</f>
        <v>706</v>
      </c>
      <c r="P55" s="9">
        <f ca="1">_xlfn.XLOOKUP(M55,$X$1:$X$7,$Y$1:$Y$7,"erro",0,1)-R48-R51-R59</f>
        <v>0</v>
      </c>
      <c r="Q55" s="9">
        <f ca="1">_xlfn.XLOOKUP(N55,$J$17:$J$23,$K$17:$K$23,"erro",0,1)-R54-R57-R58</f>
        <v>68</v>
      </c>
      <c r="R55" s="44">
        <f t="shared" ca="1" si="31"/>
        <v>0</v>
      </c>
      <c r="S55" s="24">
        <f ca="1">Q55-R55</f>
        <v>68</v>
      </c>
      <c r="T55" s="46">
        <v>18</v>
      </c>
      <c r="V55" s="22" t="s">
        <v>9</v>
      </c>
      <c r="W55" s="9" t="s">
        <v>11</v>
      </c>
      <c r="X55" s="15" t="s">
        <v>10</v>
      </c>
      <c r="Y55" s="9">
        <f ca="1">_xlfn.XLOOKUP(V55,N$68:N$72,O$68:O$72,"erro",0,1)-AB50-AB60-AB64</f>
        <v>706</v>
      </c>
      <c r="Z55" s="9">
        <f ca="1">_xlfn.XLOOKUP(W55,N$68:N$72,P$68:P$72,"erro",0,1)-AB48-AB51-AB59</f>
        <v>0</v>
      </c>
      <c r="AA55" s="9">
        <f ca="1">_xlfn.XLOOKUP(X55,$J$17:$J$23,$L$17:$L$23,"erro",0,1)-AB54-AB57-AB58</f>
        <v>57</v>
      </c>
      <c r="AB55" s="44">
        <f t="shared" ca="1" si="33"/>
        <v>0</v>
      </c>
      <c r="AC55" s="24">
        <f ca="1">AA55-AB55</f>
        <v>57</v>
      </c>
      <c r="AD55" s="46">
        <v>18</v>
      </c>
      <c r="AF55" s="22" t="s">
        <v>9</v>
      </c>
      <c r="AG55" s="9" t="s">
        <v>11</v>
      </c>
      <c r="AH55" s="15" t="s">
        <v>10</v>
      </c>
      <c r="AI55" s="9">
        <f ca="1">_xlfn.XLOOKUP(AF55,X$68:X$72,Y$68:Y$72,"erro",0,1)-AL50-AL60-AL64</f>
        <v>706</v>
      </c>
      <c r="AJ55" s="9">
        <f ca="1">_xlfn.XLOOKUP(AG55,X$68:X$72,Z$68:Z$72,"erro",0,1)-AL48-AL51-AL59</f>
        <v>0</v>
      </c>
      <c r="AK55" s="9">
        <f ca="1">_xlfn.XLOOKUP(AH55,$J$17:$J$23,$M$17:$M$23,"erro",0,1)-AL54-AL57-AL58</f>
        <v>61</v>
      </c>
      <c r="AL55" s="44">
        <f t="shared" ca="1" si="35"/>
        <v>0</v>
      </c>
      <c r="AM55" s="24">
        <f ca="1">AK55-AL55</f>
        <v>61</v>
      </c>
      <c r="AN55" s="46">
        <v>18</v>
      </c>
      <c r="AP55" s="22" t="s">
        <v>9</v>
      </c>
      <c r="AQ55" s="9" t="s">
        <v>11</v>
      </c>
      <c r="AR55" s="15" t="s">
        <v>10</v>
      </c>
      <c r="AS55" s="9">
        <f ca="1">_xlfn.XLOOKUP(AP55,AH$68:AH$72,AI$68:AI$72,"erro",0,1)-AV50-AV60-AV64</f>
        <v>706</v>
      </c>
      <c r="AT55" s="9">
        <f ca="1">_xlfn.XLOOKUP(AQ55,AH$68:AH$72,AJ$68:AJ$72,"erro",0,1)-AV48-AV51-AV59</f>
        <v>0</v>
      </c>
      <c r="AU55" s="9">
        <f ca="1">_xlfn.XLOOKUP(AR55,$J$17:$J$23,$N$17:$N$23,"erro",0,1)-AV54-AV57-AV58</f>
        <v>70</v>
      </c>
      <c r="AV55" s="44">
        <f t="shared" ca="1" si="37"/>
        <v>0</v>
      </c>
      <c r="AW55" s="24">
        <f ca="1">AU55-AV55</f>
        <v>70</v>
      </c>
      <c r="AX55" s="46">
        <v>18</v>
      </c>
      <c r="AZ55" s="22" t="s">
        <v>9</v>
      </c>
      <c r="BA55" s="9" t="s">
        <v>11</v>
      </c>
      <c r="BB55" s="15" t="s">
        <v>10</v>
      </c>
      <c r="BC55" s="9">
        <f ca="1">_xlfn.XLOOKUP(AZ55,AR$68:AR$72,AS$68:AS$72,"erro",0,1)-BF50-BF60-BF64</f>
        <v>706</v>
      </c>
      <c r="BD55" s="9">
        <f ca="1">_xlfn.XLOOKUP(BA55,AR$68:AR$72,AT$68:AT$72,"erro",0,1)-BF48-BF51-BF59</f>
        <v>0</v>
      </c>
      <c r="BE55" s="9">
        <f ca="1">_xlfn.XLOOKUP(BB55,$J$17:$J$23,$O$17:$O$23,"erro",0,1)-BF54-BF57-BF58</f>
        <v>65</v>
      </c>
      <c r="BF55" s="44">
        <f t="shared" ca="1" si="39"/>
        <v>0</v>
      </c>
      <c r="BG55" s="24">
        <f ca="1">BE55-BF55</f>
        <v>65</v>
      </c>
      <c r="BH55" s="46">
        <v>18</v>
      </c>
      <c r="BJ55" s="22" t="s">
        <v>9</v>
      </c>
      <c r="BK55" s="9" t="s">
        <v>11</v>
      </c>
      <c r="BL55" s="15" t="s">
        <v>10</v>
      </c>
      <c r="BM55" s="9">
        <f ca="1">_xlfn.XLOOKUP(BJ55,BB$68:BB$72,BC$68:BC$72,"erro",0,1)-BP50-BP60-BP64</f>
        <v>706</v>
      </c>
      <c r="BN55" s="9">
        <f ca="1">_xlfn.XLOOKUP(BK55,BB$68:BB$72,BD$68:BD$72,"erro",0,1)-BP48-BP51-BP59</f>
        <v>0</v>
      </c>
      <c r="BO55" s="9">
        <f ca="1">_xlfn.XLOOKUP(BL55,$J$17:$J$23,$P$17:$P$23,"erro",0,1)-BP54-BP57-BP58</f>
        <v>74</v>
      </c>
      <c r="BP55" s="44">
        <f t="shared" ca="1" si="41"/>
        <v>0</v>
      </c>
      <c r="BQ55" s="24">
        <f ca="1">BO55-BP55</f>
        <v>74</v>
      </c>
      <c r="BR55" s="46">
        <v>18</v>
      </c>
      <c r="BT55" s="22" t="s">
        <v>9</v>
      </c>
      <c r="BU55" s="9" t="s">
        <v>11</v>
      </c>
      <c r="BV55" s="15" t="s">
        <v>10</v>
      </c>
      <c r="BW55" s="9">
        <f ca="1">_xlfn.XLOOKUP(BT55,BL$68:BL$72,BM$68:BM$72,"erro",0,1)-BZ50-BZ60-BZ64</f>
        <v>706</v>
      </c>
      <c r="BX55" s="9">
        <f ca="1">_xlfn.XLOOKUP(BU55,BL$68:BL$72,BN$68:BN$72,"erro",0,1)-BZ48-BZ51-BZ59</f>
        <v>0</v>
      </c>
      <c r="BY55" s="9">
        <f ca="1">_xlfn.XLOOKUP(BV55,$J$17:$J$23,$Q$17:$Q$23,"erro",0,1)-BZ54-BZ57-BZ58</f>
        <v>85</v>
      </c>
      <c r="BZ55" s="44">
        <f t="shared" ca="1" si="43"/>
        <v>0</v>
      </c>
      <c r="CA55" s="24">
        <f ca="1">BY55-BZ55</f>
        <v>85</v>
      </c>
      <c r="CB55" s="46">
        <v>18</v>
      </c>
      <c r="CD55" s="22" t="s">
        <v>9</v>
      </c>
      <c r="CE55" s="9" t="s">
        <v>11</v>
      </c>
      <c r="CF55" s="15" t="s">
        <v>10</v>
      </c>
      <c r="CG55" s="9">
        <f ca="1">_xlfn.XLOOKUP(CD55,BV$68:BV$72,BW$68:BW$72,"erro",0,1)-CJ50-CJ60-CJ64</f>
        <v>706</v>
      </c>
      <c r="CH55" s="9">
        <f ca="1">_xlfn.XLOOKUP(CE55,BV$68:BV$72,BX$68:BX$72,"erro",0,1)-CJ48-CJ51-CJ59</f>
        <v>0</v>
      </c>
      <c r="CI55" s="9">
        <f ca="1">_xlfn.XLOOKUP(CF55,$J$17:$J$23,$R$17:$R$23,"erro",0,1)-CJ54-CJ57-CJ58</f>
        <v>87</v>
      </c>
      <c r="CJ55" s="44">
        <f t="shared" ca="1" si="45"/>
        <v>0</v>
      </c>
      <c r="CK55" s="24">
        <f ca="1">CI55-CJ55</f>
        <v>87</v>
      </c>
      <c r="CL55" s="46">
        <v>18</v>
      </c>
      <c r="CN55" s="22" t="s">
        <v>9</v>
      </c>
      <c r="CO55" s="9" t="s">
        <v>11</v>
      </c>
      <c r="CP55" s="15" t="s">
        <v>10</v>
      </c>
      <c r="CQ55" s="9">
        <f ca="1">_xlfn.XLOOKUP(CN55,CF$68:CF$72,CG$68:CG$72,"erro",0,1)-CT50-CT60-CT64</f>
        <v>706</v>
      </c>
      <c r="CR55" s="9">
        <f ca="1">_xlfn.XLOOKUP(CO55,CF$68:CF$72,CH$68:CH$72,"erro",0,1)-CT48-CT51-CT59</f>
        <v>0</v>
      </c>
      <c r="CS55" s="9">
        <f ca="1">_xlfn.XLOOKUP(CP55,$J$17:$J$23,$S$17:$S$23,"erro",0,1)-CT54-CT57-CT58</f>
        <v>65</v>
      </c>
      <c r="CT55" s="44">
        <f t="shared" ca="1" si="47"/>
        <v>0</v>
      </c>
      <c r="CU55" s="24">
        <f ca="1">CS55-CT55</f>
        <v>65</v>
      </c>
      <c r="CV55" s="46">
        <v>18</v>
      </c>
      <c r="CX55" s="22" t="s">
        <v>9</v>
      </c>
      <c r="CY55" s="9" t="s">
        <v>11</v>
      </c>
      <c r="CZ55" s="15" t="s">
        <v>10</v>
      </c>
      <c r="DA55" s="9">
        <f ca="1">_xlfn.XLOOKUP(CX55,CP$68:CP$72,CQ$68:CQ$72,"erro",0,1)-DD50-DD60-DD64</f>
        <v>706</v>
      </c>
      <c r="DB55" s="9">
        <f ca="1">_xlfn.XLOOKUP(CY55,CP$68:CP$72,CR$68:CR$72,"erro",0,1)-DD48-DD51-DD59</f>
        <v>0</v>
      </c>
      <c r="DC55" s="9">
        <f ca="1">_xlfn.XLOOKUP(CZ55,$J$17:$J$23,$T$17:$T$23,"erro",0,1)-DD54-DD57-DD58</f>
        <v>83</v>
      </c>
      <c r="DD55" s="44">
        <f t="shared" ca="1" si="49"/>
        <v>0</v>
      </c>
      <c r="DE55" s="24">
        <f ca="1">DC55-DD55</f>
        <v>83</v>
      </c>
      <c r="DF55" s="46">
        <v>18</v>
      </c>
      <c r="DH55"/>
      <c r="DI55"/>
      <c r="DJ55"/>
      <c r="DK55"/>
      <c r="DL55"/>
      <c r="DM55"/>
      <c r="DN55"/>
      <c r="DO55"/>
      <c r="DP55"/>
    </row>
    <row r="56" spans="1:120" x14ac:dyDescent="0.25">
      <c r="A56" s="2">
        <f t="shared" ca="1" si="0"/>
        <v>3.0027958182454939</v>
      </c>
      <c r="B56" cm="1">
        <f t="array" aca="1" ref="B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56" s="2">
        <f t="shared" ca="1" si="1"/>
        <v>3.022443090591322</v>
      </c>
      <c r="D56" t="str" cm="1">
        <f t="array" aca="1" ref="D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6" s="2">
        <f t="shared" ca="1" si="2"/>
        <v>30.025799766619269</v>
      </c>
      <c r="F56" t="str" cm="1">
        <f t="array" aca="1" ref="F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6" s="2">
        <f t="shared" ca="1" si="3"/>
        <v>40.016714577222437</v>
      </c>
      <c r="H56" s="5" t="str" cm="1">
        <f t="array" aca="1" ref="H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L56" s="22" t="s">
        <v>10</v>
      </c>
      <c r="M56" s="9" t="s">
        <v>10</v>
      </c>
      <c r="N56" s="15" t="s">
        <v>10</v>
      </c>
      <c r="O56" s="9">
        <f ca="1">_xlfn.XLOOKUP(L56,$T$1:$T$7,$U$1:$U$7,"erro",0,1)-R47-R51-R61-R65</f>
        <v>630</v>
      </c>
      <c r="P56" s="9">
        <f ca="1">_xlfn.XLOOKUP(M56,$X$1:$X$7,$Y$1:$Y$7,"erro",0,1)-R49-R52-R60-R63</f>
        <v>672</v>
      </c>
      <c r="Q56" s="9">
        <f ca="1">_xlfn.XLOOKUP(N56,$J$17:$J$23,$K$17:$K$23,"erro",0,1)-R54-R55-R57-R58</f>
        <v>68</v>
      </c>
      <c r="R56" s="44">
        <f ca="1">SMALL(O56:Q56,1)</f>
        <v>68</v>
      </c>
      <c r="S56" s="24">
        <f ca="1">Q56-R56</f>
        <v>0</v>
      </c>
      <c r="T56" s="46">
        <v>19</v>
      </c>
      <c r="V56" s="22" t="s">
        <v>10</v>
      </c>
      <c r="W56" s="9" t="s">
        <v>10</v>
      </c>
      <c r="X56" s="15" t="s">
        <v>10</v>
      </c>
      <c r="Y56" s="9">
        <f ca="1">_xlfn.XLOOKUP(V56,N$68:N$72,O$68:O$72,"erro",0,1)-AB47-AB51-AB61-AB65</f>
        <v>562</v>
      </c>
      <c r="Z56" s="9">
        <f ca="1">_xlfn.XLOOKUP(W56,N$68:N$72,P$68:P$72,"erro",0,1)-AB49-AB52-AB60-AB63</f>
        <v>604</v>
      </c>
      <c r="AA56" s="9">
        <f ca="1">_xlfn.XLOOKUP(X56,$J$17:$J$23,$L$17:$L$23,"erro",0,1)-AB54-AB55-AB57-AB58</f>
        <v>57</v>
      </c>
      <c r="AB56" s="44">
        <f ca="1">SMALL(Y56:AA56,1)</f>
        <v>57</v>
      </c>
      <c r="AC56" s="24">
        <f ca="1">AA56-AB56</f>
        <v>0</v>
      </c>
      <c r="AD56" s="46">
        <v>19</v>
      </c>
      <c r="AF56" s="22" t="s">
        <v>10</v>
      </c>
      <c r="AG56" s="9" t="s">
        <v>10</v>
      </c>
      <c r="AH56" s="15" t="s">
        <v>10</v>
      </c>
      <c r="AI56" s="9">
        <f ca="1">_xlfn.XLOOKUP(AF56,X$68:X$72,Y$68:Y$72,"erro",0,1)-AL47-AL51-AL61-AL65</f>
        <v>505</v>
      </c>
      <c r="AJ56" s="9">
        <f ca="1">_xlfn.XLOOKUP(AG56,X$68:X$72,Z$68:Z$72,"erro",0,1)-AL49-AL52-AL60-AL63</f>
        <v>547</v>
      </c>
      <c r="AK56" s="9">
        <f ca="1">_xlfn.XLOOKUP(AH56,$J$17:$J$23,$M$17:$M$23,"erro",0,1)-AL54-AL55-AL57-AL58</f>
        <v>61</v>
      </c>
      <c r="AL56" s="44">
        <f ca="1">SMALL(AI56:AK56,1)</f>
        <v>61</v>
      </c>
      <c r="AM56" s="24">
        <f ca="1">AK56-AL56</f>
        <v>0</v>
      </c>
      <c r="AN56" s="46">
        <v>19</v>
      </c>
      <c r="AP56" s="22" t="s">
        <v>10</v>
      </c>
      <c r="AQ56" s="9" t="s">
        <v>10</v>
      </c>
      <c r="AR56" s="15" t="s">
        <v>10</v>
      </c>
      <c r="AS56" s="9">
        <f ca="1">_xlfn.XLOOKUP(AP56,AH$68:AH$72,AI$68:AI$72,"erro",0,1)-AV47-AV51-AV61-AV65</f>
        <v>444</v>
      </c>
      <c r="AT56" s="9">
        <f ca="1">_xlfn.XLOOKUP(AQ56,AH$68:AH$72,AJ$68:AJ$72,"erro",0,1)-AV49-AV52-AV60-AV63</f>
        <v>486</v>
      </c>
      <c r="AU56" s="9">
        <f ca="1">_xlfn.XLOOKUP(AR56,$J$17:$J$23,$N$17:$N$23,"erro",0,1)-AV54-AV55-AV57-AV58</f>
        <v>70</v>
      </c>
      <c r="AV56" s="44">
        <f ca="1">SMALL(AS56:AU56,1)</f>
        <v>70</v>
      </c>
      <c r="AW56" s="24">
        <f ca="1">AU56-AV56</f>
        <v>0</v>
      </c>
      <c r="AX56" s="46">
        <v>19</v>
      </c>
      <c r="AZ56" s="22" t="s">
        <v>10</v>
      </c>
      <c r="BA56" s="9" t="s">
        <v>10</v>
      </c>
      <c r="BB56" s="15" t="s">
        <v>10</v>
      </c>
      <c r="BC56" s="9">
        <f ca="1">_xlfn.XLOOKUP(AZ56,AR$68:AR$72,AS$68:AS$72,"erro",0,1)-BF47-BF51-BF61-BF65</f>
        <v>374</v>
      </c>
      <c r="BD56" s="9">
        <f ca="1">_xlfn.XLOOKUP(BA56,AR$68:AR$72,AT$68:AT$72,"erro",0,1)-BF49-BF52-BF60-BF63</f>
        <v>416</v>
      </c>
      <c r="BE56" s="9">
        <f ca="1">_xlfn.XLOOKUP(BB56,$J$17:$J$23,$O$17:$O$23,"erro",0,1)-BF54-BF55-BF57-BF58</f>
        <v>65</v>
      </c>
      <c r="BF56" s="44">
        <f ca="1">SMALL(BC56:BE56,1)</f>
        <v>65</v>
      </c>
      <c r="BG56" s="24">
        <f ca="1">BE56-BF56</f>
        <v>0</v>
      </c>
      <c r="BH56" s="46">
        <v>19</v>
      </c>
      <c r="BJ56" s="22" t="s">
        <v>10</v>
      </c>
      <c r="BK56" s="9" t="s">
        <v>10</v>
      </c>
      <c r="BL56" s="15" t="s">
        <v>10</v>
      </c>
      <c r="BM56" s="9">
        <f ca="1">_xlfn.XLOOKUP(BJ56,BB$68:BB$72,BC$68:BC$72,"erro",0,1)-BP47-BP51-BP61-BP65</f>
        <v>309</v>
      </c>
      <c r="BN56" s="9">
        <f ca="1">_xlfn.XLOOKUP(BK56,BB$68:BB$72,BD$68:BD$72,"erro",0,1)-BP49-BP52-BP60-BP63</f>
        <v>351</v>
      </c>
      <c r="BO56" s="9">
        <f ca="1">_xlfn.XLOOKUP(BL56,$J$17:$J$23,$P$17:$P$23,"erro",0,1)-BP54-BP55-BP57-BP58</f>
        <v>74</v>
      </c>
      <c r="BP56" s="44">
        <f ca="1">SMALL(BM56:BO56,1)</f>
        <v>74</v>
      </c>
      <c r="BQ56" s="24">
        <f ca="1">BO56-BP56</f>
        <v>0</v>
      </c>
      <c r="BR56" s="46">
        <v>19</v>
      </c>
      <c r="BT56" s="22" t="s">
        <v>10</v>
      </c>
      <c r="BU56" s="9" t="s">
        <v>10</v>
      </c>
      <c r="BV56" s="15" t="s">
        <v>10</v>
      </c>
      <c r="BW56" s="9">
        <f ca="1">_xlfn.XLOOKUP(BT56,BL$68:BL$72,BM$68:BM$72,"erro",0,1)-BZ47-BZ51-BZ61-BZ65</f>
        <v>235</v>
      </c>
      <c r="BX56" s="9">
        <f ca="1">_xlfn.XLOOKUP(BU56,BL$68:BL$72,BN$68:BN$72,"erro",0,1)-BZ49-BZ52-BZ60-BZ63</f>
        <v>277</v>
      </c>
      <c r="BY56" s="9">
        <f ca="1">_xlfn.XLOOKUP(BV56,$J$17:$J$23,$Q$17:$Q$23,"erro",0,1)-BZ54-BZ55-BZ57-BZ58</f>
        <v>85</v>
      </c>
      <c r="BZ56" s="44">
        <f ca="1">SMALL(BW56:BY56,1)</f>
        <v>85</v>
      </c>
      <c r="CA56" s="24">
        <f ca="1">BY56-BZ56</f>
        <v>0</v>
      </c>
      <c r="CB56" s="46">
        <v>19</v>
      </c>
      <c r="CD56" s="22" t="s">
        <v>10</v>
      </c>
      <c r="CE56" s="9" t="s">
        <v>10</v>
      </c>
      <c r="CF56" s="15" t="s">
        <v>10</v>
      </c>
      <c r="CG56" s="9">
        <f ca="1">_xlfn.XLOOKUP(CD56,BV$68:BV$72,BW$68:BW$72,"erro",0,1)-CJ47-CJ51-CJ61-CJ65</f>
        <v>150</v>
      </c>
      <c r="CH56" s="9">
        <f ca="1">_xlfn.XLOOKUP(CE56,BV$68:BV$72,BX$68:BX$72,"erro",0,1)-CJ49-CJ52-CJ60-CJ63</f>
        <v>192</v>
      </c>
      <c r="CI56" s="9">
        <f ca="1">_xlfn.XLOOKUP(CF56,$J$17:$J$23,$R$17:$R$23,"erro",0,1)-CJ54-CJ55-CJ57-CJ58</f>
        <v>87</v>
      </c>
      <c r="CJ56" s="44">
        <f ca="1">SMALL(CG56:CI56,1)</f>
        <v>87</v>
      </c>
      <c r="CK56" s="24">
        <f ca="1">CI56-CJ56</f>
        <v>0</v>
      </c>
      <c r="CL56" s="46">
        <v>19</v>
      </c>
      <c r="CN56" s="22" t="s">
        <v>10</v>
      </c>
      <c r="CO56" s="9" t="s">
        <v>10</v>
      </c>
      <c r="CP56" s="15" t="s">
        <v>10</v>
      </c>
      <c r="CQ56" s="9">
        <f ca="1">_xlfn.XLOOKUP(CN56,CF$68:CF$72,CG$68:CG$72,"erro",0,1)-CT47-CT51-CT61-CT65</f>
        <v>63</v>
      </c>
      <c r="CR56" s="9">
        <f ca="1">_xlfn.XLOOKUP(CO56,CF$68:CF$72,CH$68:CH$72,"erro",0,1)-CT49-CT52-CT60-CT63</f>
        <v>105</v>
      </c>
      <c r="CS56" s="9">
        <f ca="1">_xlfn.XLOOKUP(CP56,$J$17:$J$23,$S$17:$S$23,"erro",0,1)-CT54-CT55-CT57-CT58</f>
        <v>65</v>
      </c>
      <c r="CT56" s="44">
        <f ca="1">SMALL(CQ56:CS56,1)</f>
        <v>63</v>
      </c>
      <c r="CU56" s="24">
        <f ca="1">CS56-CT56</f>
        <v>2</v>
      </c>
      <c r="CV56" s="46">
        <v>19</v>
      </c>
      <c r="CX56" s="22" t="s">
        <v>10</v>
      </c>
      <c r="CY56" s="9" t="s">
        <v>10</v>
      </c>
      <c r="CZ56" s="15" t="s">
        <v>10</v>
      </c>
      <c r="DA56" s="9">
        <f ca="1">_xlfn.XLOOKUP(CX56,CP$68:CP$72,CQ$68:CQ$72,"erro",0,1)-DD47-DD51-DD61-DD65</f>
        <v>0</v>
      </c>
      <c r="DB56" s="9">
        <f ca="1">_xlfn.XLOOKUP(CY56,CP$68:CP$72,CR$68:CR$72,"erro",0,1)-DD49-DD52-DD60-DD63</f>
        <v>42</v>
      </c>
      <c r="DC56" s="9">
        <f ca="1">_xlfn.XLOOKUP(CZ56,$J$17:$J$23,$T$17:$T$23,"erro",0,1)-DD54-DD55-DD57-DD58</f>
        <v>83</v>
      </c>
      <c r="DD56" s="44">
        <f ca="1">SMALL(DA56:DC56,1)</f>
        <v>0</v>
      </c>
      <c r="DE56" s="24">
        <f ca="1">DC56-DD56</f>
        <v>83</v>
      </c>
      <c r="DF56" s="46">
        <v>19</v>
      </c>
      <c r="DH56"/>
      <c r="DI56"/>
      <c r="DJ56"/>
      <c r="DK56"/>
      <c r="DL56"/>
      <c r="DM56"/>
      <c r="DN56"/>
      <c r="DO56"/>
      <c r="DP56"/>
    </row>
    <row r="57" spans="1:120" x14ac:dyDescent="0.25">
      <c r="A57" s="2">
        <f t="shared" ca="1" si="0"/>
        <v>3.0007974973382727</v>
      </c>
      <c r="B57" cm="1">
        <f t="array" aca="1" ref="B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57" s="2">
        <f t="shared" ca="1" si="1"/>
        <v>3.0008121648525266</v>
      </c>
      <c r="D57" t="str" cm="1">
        <f t="array" aca="1" ref="D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7" s="2">
        <f t="shared" ca="1" si="2"/>
        <v>30.024683282473884</v>
      </c>
      <c r="F57" t="str" cm="1">
        <f t="array" aca="1" ref="F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7" s="2">
        <f t="shared" ca="1" si="3"/>
        <v>40.011246992352532</v>
      </c>
      <c r="H57" s="5" t="str" cm="1">
        <f t="array" aca="1" ref="H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L57" s="22" t="s">
        <v>11</v>
      </c>
      <c r="M57" s="9" t="s">
        <v>9</v>
      </c>
      <c r="N57" s="15" t="s">
        <v>10</v>
      </c>
      <c r="O57" s="9">
        <f ca="1">_xlfn.XLOOKUP(L57,$T$1:$T$7,$U$1:$U$7,"erro",0,1)-R48-R52-R62</f>
        <v>0</v>
      </c>
      <c r="P57" s="9">
        <f ca="1">_xlfn.XLOOKUP(M57,$X$1:$X$7,$Y$1:$Y$7,"erro",0,1)-R61-R64-R53</f>
        <v>670</v>
      </c>
      <c r="Q57" s="9">
        <f ca="1">_xlfn.XLOOKUP(N57,$J$17:$J$23,$K$17:$K$23,"erro",0,1)-R58-R54</f>
        <v>68</v>
      </c>
      <c r="R57" s="44">
        <f t="shared" ref="R57:R65" ca="1" si="52">SMALL(O57:Q57,1)</f>
        <v>0</v>
      </c>
      <c r="S57" s="24">
        <f ca="1">Q57-R57</f>
        <v>68</v>
      </c>
      <c r="T57" s="46">
        <v>17</v>
      </c>
      <c r="V57" s="22" t="s">
        <v>11</v>
      </c>
      <c r="W57" s="9" t="s">
        <v>9</v>
      </c>
      <c r="X57" s="15" t="s">
        <v>10</v>
      </c>
      <c r="Y57" s="9">
        <f ca="1">_xlfn.XLOOKUP(V57,N$68:N$72,O$68:O$72,"erro",0,1)-AB48-AB52-AB62</f>
        <v>0</v>
      </c>
      <c r="Z57" s="9">
        <f ca="1">_xlfn.XLOOKUP(W57,N$68:N$72,P$68:P$72,"erro",0,1)-AB61-AB64-AB53</f>
        <v>670</v>
      </c>
      <c r="AA57" s="9">
        <f ca="1">_xlfn.XLOOKUP(X57,$J$17:$J$23,$L$17:$L$23,"erro",0,1)-AB58-AB54</f>
        <v>57</v>
      </c>
      <c r="AB57" s="44">
        <f t="shared" ref="AB57:AB65" ca="1" si="53">SMALL(Y57:AA57,1)</f>
        <v>0</v>
      </c>
      <c r="AC57" s="24">
        <f ca="1">AA57-AB57</f>
        <v>57</v>
      </c>
      <c r="AD57" s="46">
        <v>17</v>
      </c>
      <c r="AF57" s="22" t="s">
        <v>11</v>
      </c>
      <c r="AG57" s="9" t="s">
        <v>9</v>
      </c>
      <c r="AH57" s="15" t="s">
        <v>10</v>
      </c>
      <c r="AI57" s="9">
        <f ca="1">_xlfn.XLOOKUP(AF57,X$68:X$72,Y$68:Y$72,"erro",0,1)-AL48-AL52-AL62</f>
        <v>0</v>
      </c>
      <c r="AJ57" s="9">
        <f ca="1">_xlfn.XLOOKUP(AG57,X$68:X$72,Z$68:Z$72,"erro",0,1)-AL61-AL64-AL53</f>
        <v>670</v>
      </c>
      <c r="AK57" s="9">
        <f ca="1">_xlfn.XLOOKUP(AH57,$J$17:$J$23,$M$17:$M$23,"erro",0,1)-AL58-AL54</f>
        <v>61</v>
      </c>
      <c r="AL57" s="44">
        <f t="shared" ref="AL57:AL65" ca="1" si="54">SMALL(AI57:AK57,1)</f>
        <v>0</v>
      </c>
      <c r="AM57" s="24">
        <f ca="1">AK57-AL57</f>
        <v>61</v>
      </c>
      <c r="AN57" s="46">
        <v>17</v>
      </c>
      <c r="AP57" s="22" t="s">
        <v>11</v>
      </c>
      <c r="AQ57" s="9" t="s">
        <v>9</v>
      </c>
      <c r="AR57" s="15" t="s">
        <v>10</v>
      </c>
      <c r="AS57" s="9">
        <f ca="1">_xlfn.XLOOKUP(AP57,AH$68:AH$72,AI$68:AI$72,"erro",0,1)-AV48-AV52-AV62</f>
        <v>0</v>
      </c>
      <c r="AT57" s="9">
        <f ca="1">_xlfn.XLOOKUP(AQ57,AH$68:AH$72,AJ$68:AJ$72,"erro",0,1)-AV61-AV64-AV53</f>
        <v>670</v>
      </c>
      <c r="AU57" s="9">
        <f ca="1">_xlfn.XLOOKUP(AR57,$J$17:$J$23,$N$17:$N$23,"erro",0,1)-AV58-AV54</f>
        <v>70</v>
      </c>
      <c r="AV57" s="44">
        <f t="shared" ref="AV57:AV65" ca="1" si="55">SMALL(AS57:AU57,1)</f>
        <v>0</v>
      </c>
      <c r="AW57" s="24">
        <f ca="1">AU57-AV57</f>
        <v>70</v>
      </c>
      <c r="AX57" s="46">
        <v>17</v>
      </c>
      <c r="AZ57" s="22" t="s">
        <v>11</v>
      </c>
      <c r="BA57" s="9" t="s">
        <v>9</v>
      </c>
      <c r="BB57" s="15" t="s">
        <v>10</v>
      </c>
      <c r="BC57" s="9">
        <f ca="1">_xlfn.XLOOKUP(AZ57,AR$68:AR$72,AS$68:AS$72,"erro",0,1)-BF48-BF52-BF62</f>
        <v>0</v>
      </c>
      <c r="BD57" s="9">
        <f ca="1">_xlfn.XLOOKUP(BA57,AR$68:AR$72,AT$68:AT$72,"erro",0,1)-BF61-BF64-BF53</f>
        <v>670</v>
      </c>
      <c r="BE57" s="9">
        <f ca="1">_xlfn.XLOOKUP(BB57,$J$17:$J$23,$O$17:$O$23,"erro",0,1)-BF58-BF54</f>
        <v>65</v>
      </c>
      <c r="BF57" s="44">
        <f t="shared" ref="BF57:BF65" ca="1" si="56">SMALL(BC57:BE57,1)</f>
        <v>0</v>
      </c>
      <c r="BG57" s="24">
        <f ca="1">BE57-BF57</f>
        <v>65</v>
      </c>
      <c r="BH57" s="46">
        <v>17</v>
      </c>
      <c r="BJ57" s="22" t="s">
        <v>11</v>
      </c>
      <c r="BK57" s="9" t="s">
        <v>9</v>
      </c>
      <c r="BL57" s="15" t="s">
        <v>10</v>
      </c>
      <c r="BM57" s="9">
        <f ca="1">_xlfn.XLOOKUP(BJ57,BB$68:BB$72,BC$68:BC$72,"erro",0,1)-BP48-BP52-BP62</f>
        <v>0</v>
      </c>
      <c r="BN57" s="9">
        <f ca="1">_xlfn.XLOOKUP(BK57,BB$68:BB$72,BD$68:BD$72,"erro",0,1)-BP61-BP64-BP53</f>
        <v>670</v>
      </c>
      <c r="BO57" s="9">
        <f ca="1">_xlfn.XLOOKUP(BL57,$J$17:$J$23,$P$17:$P$23,"erro",0,1)-BP58-BP54</f>
        <v>74</v>
      </c>
      <c r="BP57" s="44">
        <f t="shared" ref="BP57:BP65" ca="1" si="57">SMALL(BM57:BO57,1)</f>
        <v>0</v>
      </c>
      <c r="BQ57" s="24">
        <f ca="1">BO57-BP57</f>
        <v>74</v>
      </c>
      <c r="BR57" s="46">
        <v>17</v>
      </c>
      <c r="BT57" s="22" t="s">
        <v>11</v>
      </c>
      <c r="BU57" s="9" t="s">
        <v>9</v>
      </c>
      <c r="BV57" s="15" t="s">
        <v>10</v>
      </c>
      <c r="BW57" s="9">
        <f ca="1">_xlfn.XLOOKUP(BT57,BL$68:BL$72,BM$68:BM$72,"erro",0,1)-BZ48-BZ52-BZ62</f>
        <v>0</v>
      </c>
      <c r="BX57" s="9">
        <f ca="1">_xlfn.XLOOKUP(BU57,BL$68:BL$72,BN$68:BN$72,"erro",0,1)-BZ61-BZ64-BZ53</f>
        <v>670</v>
      </c>
      <c r="BY57" s="9">
        <f ca="1">_xlfn.XLOOKUP(BV57,$J$17:$J$23,$Q$17:$Q$23,"erro",0,1)-BZ58-BZ54</f>
        <v>85</v>
      </c>
      <c r="BZ57" s="44">
        <f t="shared" ref="BZ57:BZ65" ca="1" si="58">SMALL(BW57:BY57,1)</f>
        <v>0</v>
      </c>
      <c r="CA57" s="24">
        <f ca="1">BY57-BZ57</f>
        <v>85</v>
      </c>
      <c r="CB57" s="46">
        <v>17</v>
      </c>
      <c r="CD57" s="22" t="s">
        <v>11</v>
      </c>
      <c r="CE57" s="9" t="s">
        <v>9</v>
      </c>
      <c r="CF57" s="15" t="s">
        <v>10</v>
      </c>
      <c r="CG57" s="9">
        <f ca="1">_xlfn.XLOOKUP(CD57,BV$68:BV$72,BW$68:BW$72,"erro",0,1)-CJ48-CJ52-CJ62</f>
        <v>0</v>
      </c>
      <c r="CH57" s="9">
        <f ca="1">_xlfn.XLOOKUP(CE57,BV$68:BV$72,BX$68:BX$72,"erro",0,1)-CJ61-CJ64-CJ53</f>
        <v>670</v>
      </c>
      <c r="CI57" s="9">
        <f ca="1">_xlfn.XLOOKUP(CF57,$J$17:$J$23,$R$17:$R$23,"erro",0,1)-CJ58-CJ54</f>
        <v>87</v>
      </c>
      <c r="CJ57" s="44">
        <f t="shared" ref="CJ57:CJ65" ca="1" si="59">SMALL(CG57:CI57,1)</f>
        <v>0</v>
      </c>
      <c r="CK57" s="24">
        <f ca="1">CI57-CJ57</f>
        <v>87</v>
      </c>
      <c r="CL57" s="46">
        <v>17</v>
      </c>
      <c r="CN57" s="22" t="s">
        <v>11</v>
      </c>
      <c r="CO57" s="9" t="s">
        <v>9</v>
      </c>
      <c r="CP57" s="15" t="s">
        <v>10</v>
      </c>
      <c r="CQ57" s="9">
        <f ca="1">_xlfn.XLOOKUP(CN57,CF$68:CF$72,CG$68:CG$72,"erro",0,1)-CT48-CT52-CT62</f>
        <v>0</v>
      </c>
      <c r="CR57" s="9">
        <f ca="1">_xlfn.XLOOKUP(CO57,CF$68:CF$72,CH$68:CH$72,"erro",0,1)-CT61-CT64-CT53</f>
        <v>670</v>
      </c>
      <c r="CS57" s="9">
        <f ca="1">_xlfn.XLOOKUP(CP57,$J$17:$J$23,$S$17:$S$23,"erro",0,1)-CT58-CT54</f>
        <v>65</v>
      </c>
      <c r="CT57" s="44">
        <f t="shared" ref="CT57:CT65" ca="1" si="60">SMALL(CQ57:CS57,1)</f>
        <v>0</v>
      </c>
      <c r="CU57" s="24">
        <f ca="1">CS57-CT57</f>
        <v>65</v>
      </c>
      <c r="CV57" s="46">
        <v>17</v>
      </c>
      <c r="CX57" s="22" t="s">
        <v>11</v>
      </c>
      <c r="CY57" s="9" t="s">
        <v>9</v>
      </c>
      <c r="CZ57" s="15" t="s">
        <v>10</v>
      </c>
      <c r="DA57" s="9">
        <f ca="1">_xlfn.XLOOKUP(CX57,CP$68:CP$72,CQ$68:CQ$72,"erro",0,1)-DD48-DD52-DD62</f>
        <v>0</v>
      </c>
      <c r="DB57" s="9">
        <f ca="1">_xlfn.XLOOKUP(CY57,CP$68:CP$72,CR$68:CR$72,"erro",0,1)-DD61-DD64-DD53</f>
        <v>670</v>
      </c>
      <c r="DC57" s="9">
        <f ca="1">_xlfn.XLOOKUP(CZ57,$J$17:$J$23,$T$17:$T$23,"erro",0,1)-DD58-DD54</f>
        <v>83</v>
      </c>
      <c r="DD57" s="44">
        <f t="shared" ref="DD57:DD65" ca="1" si="61">SMALL(DA57:DC57,1)</f>
        <v>0</v>
      </c>
      <c r="DE57" s="24">
        <f ca="1">DC57-DD57</f>
        <v>83</v>
      </c>
      <c r="DF57" s="46">
        <v>17</v>
      </c>
      <c r="DH57"/>
      <c r="DI57"/>
      <c r="DJ57"/>
      <c r="DK57"/>
      <c r="DL57"/>
      <c r="DM57"/>
      <c r="DN57"/>
      <c r="DO57"/>
      <c r="DP57"/>
    </row>
    <row r="58" spans="1:120" ht="15.75" thickBot="1" x14ac:dyDescent="0.3">
      <c r="A58" s="2">
        <f t="shared" ca="1" si="0"/>
        <v>3.003237971281087</v>
      </c>
      <c r="B58" cm="1">
        <f t="array" aca="1" ref="B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58" s="2">
        <f t="shared" ca="1" si="1"/>
        <v>3.0253399535010597</v>
      </c>
      <c r="D58" t="str" cm="1">
        <f t="array" aca="1" ref="D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8" s="2">
        <f t="shared" ca="1" si="2"/>
        <v>30.029978984321303</v>
      </c>
      <c r="F58" t="str" cm="1">
        <f t="array" aca="1" ref="F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8" s="2">
        <f t="shared" ca="1" si="3"/>
        <v>40.023406375764601</v>
      </c>
      <c r="H58" s="5" t="str" cm="1">
        <f t="array" aca="1" ref="H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L58" s="26" t="s">
        <v>13</v>
      </c>
      <c r="M58" s="27" t="s">
        <v>8</v>
      </c>
      <c r="N58" s="32" t="s">
        <v>10</v>
      </c>
      <c r="O58" s="27">
        <f ca="1">_xlfn.XLOOKUP(L58,$T$1:$T$7,$U$1:$U$7,"erro",0,1)-R49-R53</f>
        <v>0</v>
      </c>
      <c r="P58" s="27">
        <f ca="1">_xlfn.XLOOKUP(M58,$X$1:$X$7,$Y$1:$Y$7,"erro",0,1)-R65-R62</f>
        <v>658</v>
      </c>
      <c r="Q58" s="27">
        <f ca="1">_xlfn.XLOOKUP(N58,$J$17:$J$23,$K$17:$K$23,"erro",0,1)-R54</f>
        <v>68</v>
      </c>
      <c r="R58" s="33">
        <f t="shared" ca="1" si="52"/>
        <v>0</v>
      </c>
      <c r="S58" s="30">
        <f ca="1">Q58-R58</f>
        <v>68</v>
      </c>
      <c r="T58" s="46">
        <v>16</v>
      </c>
      <c r="V58" s="26" t="s">
        <v>13</v>
      </c>
      <c r="W58" s="27" t="s">
        <v>8</v>
      </c>
      <c r="X58" s="32" t="s">
        <v>10</v>
      </c>
      <c r="Y58" s="27">
        <f ca="1">_xlfn.XLOOKUP(V58,N$68:N$72,O$68:O$72,"erro",0,1)-AB49-AB53</f>
        <v>0</v>
      </c>
      <c r="Z58" s="27">
        <f ca="1">_xlfn.XLOOKUP(W58,N$68:N$72,P$68:P$72,"erro",0,1)-AB65-AB62</f>
        <v>658</v>
      </c>
      <c r="AA58" s="27">
        <f ca="1">_xlfn.XLOOKUP(X58,$J$17:$J$23,$L$17:$L$23,"erro",0,1)-AB54</f>
        <v>57</v>
      </c>
      <c r="AB58" s="33">
        <f t="shared" ca="1" si="53"/>
        <v>0</v>
      </c>
      <c r="AC58" s="30">
        <f ca="1">AA58-AB58</f>
        <v>57</v>
      </c>
      <c r="AD58" s="46">
        <v>16</v>
      </c>
      <c r="AF58" s="26" t="s">
        <v>13</v>
      </c>
      <c r="AG58" s="27" t="s">
        <v>8</v>
      </c>
      <c r="AH58" s="32" t="s">
        <v>10</v>
      </c>
      <c r="AI58" s="27">
        <f ca="1">_xlfn.XLOOKUP(AF58,X$68:X$72,Y$68:Y$72,"erro",0,1)-AL49-AL53</f>
        <v>0</v>
      </c>
      <c r="AJ58" s="27">
        <f ca="1">_xlfn.XLOOKUP(AG58,X$68:X$72,Z$68:Z$72,"erro",0,1)-AL65-AL62</f>
        <v>658</v>
      </c>
      <c r="AK58" s="27">
        <f ca="1">_xlfn.XLOOKUP(AH58,$J$17:$J$23,$M$17:$M$23,"erro",0,1)-AL54</f>
        <v>61</v>
      </c>
      <c r="AL58" s="33">
        <f t="shared" ca="1" si="54"/>
        <v>0</v>
      </c>
      <c r="AM58" s="30">
        <f ca="1">AK58-AL58</f>
        <v>61</v>
      </c>
      <c r="AN58" s="46">
        <v>16</v>
      </c>
      <c r="AP58" s="26" t="s">
        <v>13</v>
      </c>
      <c r="AQ58" s="27" t="s">
        <v>8</v>
      </c>
      <c r="AR58" s="32" t="s">
        <v>10</v>
      </c>
      <c r="AS58" s="27">
        <f ca="1">_xlfn.XLOOKUP(AP58,AH$68:AH$72,AI$68:AI$72,"erro",0,1)-AV49-AV53</f>
        <v>0</v>
      </c>
      <c r="AT58" s="27">
        <f ca="1">_xlfn.XLOOKUP(AQ58,AH$68:AH$72,AJ$68:AJ$72,"erro",0,1)-AV65-AV62</f>
        <v>658</v>
      </c>
      <c r="AU58" s="27">
        <f ca="1">_xlfn.XLOOKUP(AR58,$J$17:$J$23,$N$17:$N$23,"erro",0,1)-AV54</f>
        <v>70</v>
      </c>
      <c r="AV58" s="33">
        <f t="shared" ca="1" si="55"/>
        <v>0</v>
      </c>
      <c r="AW58" s="30">
        <f ca="1">AU58-AV58</f>
        <v>70</v>
      </c>
      <c r="AX58" s="46">
        <v>16</v>
      </c>
      <c r="AZ58" s="26" t="s">
        <v>13</v>
      </c>
      <c r="BA58" s="27" t="s">
        <v>8</v>
      </c>
      <c r="BB58" s="32" t="s">
        <v>10</v>
      </c>
      <c r="BC58" s="27">
        <f ca="1">_xlfn.XLOOKUP(AZ58,AR$68:AR$72,AS$68:AS$72,"erro",0,1)-BF49-BF53</f>
        <v>0</v>
      </c>
      <c r="BD58" s="27">
        <f ca="1">_xlfn.XLOOKUP(BA58,AR$68:AR$72,AT$68:AT$72,"erro",0,1)-BF65-BF62</f>
        <v>658</v>
      </c>
      <c r="BE58" s="27">
        <f ca="1">_xlfn.XLOOKUP(BB58,$J$17:$J$23,$O$17:$O$23,"erro",0,1)-BF54</f>
        <v>65</v>
      </c>
      <c r="BF58" s="33">
        <f t="shared" ca="1" si="56"/>
        <v>0</v>
      </c>
      <c r="BG58" s="30">
        <f ca="1">BE58-BF58</f>
        <v>65</v>
      </c>
      <c r="BH58" s="46">
        <v>16</v>
      </c>
      <c r="BJ58" s="26" t="s">
        <v>13</v>
      </c>
      <c r="BK58" s="27" t="s">
        <v>8</v>
      </c>
      <c r="BL58" s="32" t="s">
        <v>10</v>
      </c>
      <c r="BM58" s="27">
        <f ca="1">_xlfn.XLOOKUP(BJ58,BB$68:BB$72,BC$68:BC$72,"erro",0,1)-BP49-BP53</f>
        <v>0</v>
      </c>
      <c r="BN58" s="27">
        <f ca="1">_xlfn.XLOOKUP(BK58,BB$68:BB$72,BD$68:BD$72,"erro",0,1)-BP65-BP62</f>
        <v>658</v>
      </c>
      <c r="BO58" s="27">
        <f ca="1">_xlfn.XLOOKUP(BL58,$J$17:$J$23,$P$17:$P$23,"erro",0,1)-BP54</f>
        <v>74</v>
      </c>
      <c r="BP58" s="33">
        <f t="shared" ca="1" si="57"/>
        <v>0</v>
      </c>
      <c r="BQ58" s="30">
        <f ca="1">BO58-BP58</f>
        <v>74</v>
      </c>
      <c r="BR58" s="46">
        <v>16</v>
      </c>
      <c r="BT58" s="26" t="s">
        <v>13</v>
      </c>
      <c r="BU58" s="27" t="s">
        <v>8</v>
      </c>
      <c r="BV58" s="32" t="s">
        <v>10</v>
      </c>
      <c r="BW58" s="27">
        <f ca="1">_xlfn.XLOOKUP(BT58,BL$68:BL$72,BM$68:BM$72,"erro",0,1)-BZ49-BZ53</f>
        <v>0</v>
      </c>
      <c r="BX58" s="27">
        <f ca="1">_xlfn.XLOOKUP(BU58,BL$68:BL$72,BN$68:BN$72,"erro",0,1)-BZ65-BZ62</f>
        <v>658</v>
      </c>
      <c r="BY58" s="27">
        <f ca="1">_xlfn.XLOOKUP(BV58,$J$17:$J$23,$Q$17:$Q$23,"erro",0,1)-BZ54</f>
        <v>85</v>
      </c>
      <c r="BZ58" s="33">
        <f t="shared" ca="1" si="58"/>
        <v>0</v>
      </c>
      <c r="CA58" s="30">
        <f ca="1">BY58-BZ58</f>
        <v>85</v>
      </c>
      <c r="CB58" s="46">
        <v>16</v>
      </c>
      <c r="CD58" s="26" t="s">
        <v>13</v>
      </c>
      <c r="CE58" s="27" t="s">
        <v>8</v>
      </c>
      <c r="CF58" s="32" t="s">
        <v>10</v>
      </c>
      <c r="CG58" s="27">
        <f ca="1">_xlfn.XLOOKUP(CD58,BV$68:BV$72,BW$68:BW$72,"erro",0,1)-CJ49-CJ53</f>
        <v>0</v>
      </c>
      <c r="CH58" s="27">
        <f ca="1">_xlfn.XLOOKUP(CE58,BV$68:BV$72,BX$68:BX$72,"erro",0,1)-CJ65-CJ62</f>
        <v>658</v>
      </c>
      <c r="CI58" s="27">
        <f ca="1">_xlfn.XLOOKUP(CF58,$J$17:$J$23,$R$17:$R$23,"erro",0,1)-CJ54</f>
        <v>87</v>
      </c>
      <c r="CJ58" s="33">
        <f t="shared" ca="1" si="59"/>
        <v>0</v>
      </c>
      <c r="CK58" s="30">
        <f ca="1">CI58-CJ58</f>
        <v>87</v>
      </c>
      <c r="CL58" s="46">
        <v>16</v>
      </c>
      <c r="CN58" s="26" t="s">
        <v>13</v>
      </c>
      <c r="CO58" s="27" t="s">
        <v>8</v>
      </c>
      <c r="CP58" s="32" t="s">
        <v>10</v>
      </c>
      <c r="CQ58" s="27">
        <f ca="1">_xlfn.XLOOKUP(CN58,CF$68:CF$72,CG$68:CG$72,"erro",0,1)-CT49-CT53</f>
        <v>0</v>
      </c>
      <c r="CR58" s="27">
        <f ca="1">_xlfn.XLOOKUP(CO58,CF$68:CF$72,CH$68:CH$72,"erro",0,1)-CT65-CT62</f>
        <v>658</v>
      </c>
      <c r="CS58" s="27">
        <f ca="1">_xlfn.XLOOKUP(CP58,$J$17:$J$23,$S$17:$S$23,"erro",0,1)-CT54</f>
        <v>65</v>
      </c>
      <c r="CT58" s="33">
        <f t="shared" ca="1" si="60"/>
        <v>0</v>
      </c>
      <c r="CU58" s="30">
        <f ca="1">CS58-CT58</f>
        <v>65</v>
      </c>
      <c r="CV58" s="46">
        <v>16</v>
      </c>
      <c r="CX58" s="26" t="s">
        <v>13</v>
      </c>
      <c r="CY58" s="27" t="s">
        <v>8</v>
      </c>
      <c r="CZ58" s="32" t="s">
        <v>10</v>
      </c>
      <c r="DA58" s="27">
        <f ca="1">_xlfn.XLOOKUP(CX58,CP$68:CP$72,CQ$68:CQ$72,"erro",0,1)-DD49-DD53</f>
        <v>0</v>
      </c>
      <c r="DB58" s="27">
        <f ca="1">_xlfn.XLOOKUP(CY58,CP$68:CP$72,CR$68:CR$72,"erro",0,1)-DD65-DD62</f>
        <v>658</v>
      </c>
      <c r="DC58" s="27">
        <f ca="1">_xlfn.XLOOKUP(CZ58,$J$17:$J$23,$T$17:$T$23,"erro",0,1)-DD54</f>
        <v>83</v>
      </c>
      <c r="DD58" s="33">
        <f t="shared" ca="1" si="61"/>
        <v>0</v>
      </c>
      <c r="DE58" s="30">
        <f ca="1">DC58-DD58</f>
        <v>83</v>
      </c>
      <c r="DF58" s="46">
        <v>16</v>
      </c>
      <c r="DH58"/>
      <c r="DI58"/>
      <c r="DJ58"/>
      <c r="DK58"/>
      <c r="DL58"/>
      <c r="DM58"/>
      <c r="DN58"/>
      <c r="DO58"/>
      <c r="DP58"/>
    </row>
    <row r="59" spans="1:120" x14ac:dyDescent="0.25">
      <c r="A59" s="2">
        <f t="shared" ca="1" si="0"/>
        <v>3.0040103144011936</v>
      </c>
      <c r="B59" cm="1">
        <f t="array" aca="1" ref="B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59" s="2">
        <f t="shared" ca="1" si="1"/>
        <v>3.0295711912156795</v>
      </c>
      <c r="D59" t="str" cm="1">
        <f t="array" aca="1" ref="D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9" s="2">
        <f t="shared" ca="1" si="2"/>
        <v>30.00559394037867</v>
      </c>
      <c r="F59" t="str" cm="1">
        <f t="array" aca="1" ref="F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9" s="2">
        <f t="shared" ca="1" si="3"/>
        <v>40.023776630345218</v>
      </c>
      <c r="H59" s="5" t="str" cm="1">
        <f t="array" aca="1" ref="H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L59" s="17" t="s">
        <v>8</v>
      </c>
      <c r="M59" s="18" t="s">
        <v>11</v>
      </c>
      <c r="N59" s="19" t="s">
        <v>11</v>
      </c>
      <c r="O59" s="18">
        <f ca="1">_xlfn.XLOOKUP(L59,$T$1:$T$7,$U$1:$U$7,"erro",0,1)-R63</f>
        <v>664</v>
      </c>
      <c r="P59" s="18">
        <f ca="1">_xlfn.XLOOKUP(M59,$X$1:$X$7,$Y$1:$Y$7,"erro",0,1)-R48</f>
        <v>0</v>
      </c>
      <c r="Q59" s="18">
        <f ca="1">_xlfn.XLOOKUP(N59,$J$17:$J$23,$K$17:$K$23,"erro",0,1)-R62</f>
        <v>0</v>
      </c>
      <c r="R59" s="43">
        <f t="shared" ca="1" si="52"/>
        <v>0</v>
      </c>
      <c r="S59" s="21">
        <f t="shared" ref="S59:S65" ca="1" si="62">Q59-R59</f>
        <v>0</v>
      </c>
      <c r="T59" s="46">
        <v>9</v>
      </c>
      <c r="V59" s="17" t="s">
        <v>8</v>
      </c>
      <c r="W59" s="18" t="s">
        <v>11</v>
      </c>
      <c r="X59" s="19" t="s">
        <v>11</v>
      </c>
      <c r="Y59" s="18">
        <f ca="1">_xlfn.XLOOKUP(V59,N$68:N$72,O$68:O$72,"erro",0,1)-AB63</f>
        <v>664</v>
      </c>
      <c r="Z59" s="18">
        <f ca="1">_xlfn.XLOOKUP(W59,N$68:N$72,P$68:P$72,"erro",0,1)-AB48</f>
        <v>0</v>
      </c>
      <c r="AA59" s="18">
        <f ca="1">_xlfn.XLOOKUP(X59,$J$17:$J$23,$L$17:$L$23,"erro",0,1)-AB62</f>
        <v>0</v>
      </c>
      <c r="AB59" s="43">
        <f t="shared" ca="1" si="53"/>
        <v>0</v>
      </c>
      <c r="AC59" s="21">
        <f t="shared" ref="AC59:AC65" ca="1" si="63">AA59-AB59</f>
        <v>0</v>
      </c>
      <c r="AD59" s="46">
        <v>9</v>
      </c>
      <c r="AF59" s="17" t="s">
        <v>8</v>
      </c>
      <c r="AG59" s="18" t="s">
        <v>11</v>
      </c>
      <c r="AH59" s="19" t="s">
        <v>11</v>
      </c>
      <c r="AI59" s="18">
        <f ca="1">_xlfn.XLOOKUP(AF59,X$68:X$72,Y$68:Y$72,"erro",0,1)-AL63</f>
        <v>664</v>
      </c>
      <c r="AJ59" s="18">
        <f ca="1">_xlfn.XLOOKUP(AG59,X$68:X$72,Z$68:Z$72,"erro",0,1)-AL48</f>
        <v>0</v>
      </c>
      <c r="AK59" s="18">
        <f ca="1">_xlfn.XLOOKUP(AH59,$J$17:$J$23,$M$17:$M$23,"erro",0,1)-AL62</f>
        <v>0</v>
      </c>
      <c r="AL59" s="43">
        <f t="shared" ca="1" si="54"/>
        <v>0</v>
      </c>
      <c r="AM59" s="21">
        <f t="shared" ref="AM59:AM65" ca="1" si="64">AK59-AL59</f>
        <v>0</v>
      </c>
      <c r="AN59" s="46">
        <v>9</v>
      </c>
      <c r="AP59" s="17" t="s">
        <v>8</v>
      </c>
      <c r="AQ59" s="18" t="s">
        <v>11</v>
      </c>
      <c r="AR59" s="19" t="s">
        <v>11</v>
      </c>
      <c r="AS59" s="18">
        <f ca="1">_xlfn.XLOOKUP(AP59,AH$68:AH$72,AI$68:AI$72,"erro",0,1)-AV63</f>
        <v>664</v>
      </c>
      <c r="AT59" s="18">
        <f ca="1">_xlfn.XLOOKUP(AQ59,AH$68:AH$72,AJ$68:AJ$72,"erro",0,1)-AV48</f>
        <v>0</v>
      </c>
      <c r="AU59" s="18">
        <f ca="1">_xlfn.XLOOKUP(AR59,$J$17:$J$23,$N$17:$N$23,"erro",0,1)-AV62</f>
        <v>0</v>
      </c>
      <c r="AV59" s="43">
        <f t="shared" ca="1" si="55"/>
        <v>0</v>
      </c>
      <c r="AW59" s="21">
        <f t="shared" ref="AW59:AW65" ca="1" si="65">AU59-AV59</f>
        <v>0</v>
      </c>
      <c r="AX59" s="46">
        <v>9</v>
      </c>
      <c r="AZ59" s="17" t="s">
        <v>8</v>
      </c>
      <c r="BA59" s="18" t="s">
        <v>11</v>
      </c>
      <c r="BB59" s="19" t="s">
        <v>11</v>
      </c>
      <c r="BC59" s="18">
        <f ca="1">_xlfn.XLOOKUP(AZ59,AR$68:AR$72,AS$68:AS$72,"erro",0,1)-BF63</f>
        <v>664</v>
      </c>
      <c r="BD59" s="18">
        <f ca="1">_xlfn.XLOOKUP(BA59,AR$68:AR$72,AT$68:AT$72,"erro",0,1)-BF48</f>
        <v>0</v>
      </c>
      <c r="BE59" s="18">
        <f ca="1">_xlfn.XLOOKUP(BB59,$J$17:$J$23,$O$17:$O$23,"erro",0,1)-BF62</f>
        <v>0</v>
      </c>
      <c r="BF59" s="43">
        <f t="shared" ca="1" si="56"/>
        <v>0</v>
      </c>
      <c r="BG59" s="21">
        <f t="shared" ref="BG59:BG65" ca="1" si="66">BE59-BF59</f>
        <v>0</v>
      </c>
      <c r="BH59" s="46">
        <v>9</v>
      </c>
      <c r="BJ59" s="17" t="s">
        <v>8</v>
      </c>
      <c r="BK59" s="18" t="s">
        <v>11</v>
      </c>
      <c r="BL59" s="19" t="s">
        <v>11</v>
      </c>
      <c r="BM59" s="18">
        <f ca="1">_xlfn.XLOOKUP(BJ59,BB$68:BB$72,BC$68:BC$72,"erro",0,1)-BP63</f>
        <v>664</v>
      </c>
      <c r="BN59" s="18">
        <f ca="1">_xlfn.XLOOKUP(BK59,BB$68:BB$72,BD$68:BD$72,"erro",0,1)-BP48</f>
        <v>0</v>
      </c>
      <c r="BO59" s="18">
        <f ca="1">_xlfn.XLOOKUP(BL59,$J$17:$J$23,$P$17:$P$23,"erro",0,1)-BP62</f>
        <v>0</v>
      </c>
      <c r="BP59" s="43">
        <f t="shared" ca="1" si="57"/>
        <v>0</v>
      </c>
      <c r="BQ59" s="21">
        <f t="shared" ref="BQ59:BQ65" ca="1" si="67">BO59-BP59</f>
        <v>0</v>
      </c>
      <c r="BR59" s="46">
        <v>9</v>
      </c>
      <c r="BT59" s="17" t="s">
        <v>8</v>
      </c>
      <c r="BU59" s="18" t="s">
        <v>11</v>
      </c>
      <c r="BV59" s="19" t="s">
        <v>11</v>
      </c>
      <c r="BW59" s="18">
        <f ca="1">_xlfn.XLOOKUP(BT59,BL$68:BL$72,BM$68:BM$72,"erro",0,1)-BZ63</f>
        <v>664</v>
      </c>
      <c r="BX59" s="18">
        <f ca="1">_xlfn.XLOOKUP(BU59,BL$68:BL$72,BN$68:BN$72,"erro",0,1)-BZ48</f>
        <v>0</v>
      </c>
      <c r="BY59" s="18">
        <f ca="1">_xlfn.XLOOKUP(BV59,$J$17:$J$23,$Q$17:$Q$23,"erro",0,1)-BZ62</f>
        <v>0</v>
      </c>
      <c r="BZ59" s="43">
        <f t="shared" ca="1" si="58"/>
        <v>0</v>
      </c>
      <c r="CA59" s="21">
        <f t="shared" ref="CA59:CA65" ca="1" si="68">BY59-BZ59</f>
        <v>0</v>
      </c>
      <c r="CB59" s="46">
        <v>9</v>
      </c>
      <c r="CD59" s="17" t="s">
        <v>8</v>
      </c>
      <c r="CE59" s="18" t="s">
        <v>11</v>
      </c>
      <c r="CF59" s="19" t="s">
        <v>11</v>
      </c>
      <c r="CG59" s="18">
        <f ca="1">_xlfn.XLOOKUP(CD59,BV$68:BV$72,BW$68:BW$72,"erro",0,1)-CJ63</f>
        <v>664</v>
      </c>
      <c r="CH59" s="18">
        <f ca="1">_xlfn.XLOOKUP(CE59,BV$68:BV$72,BX$68:BX$72,"erro",0,1)-CJ48</f>
        <v>0</v>
      </c>
      <c r="CI59" s="18">
        <f ca="1">_xlfn.XLOOKUP(CF59,$J$17:$J$23,$R$17:$R$23,"erro",0,1)-CJ62</f>
        <v>0</v>
      </c>
      <c r="CJ59" s="43">
        <f t="shared" ca="1" si="59"/>
        <v>0</v>
      </c>
      <c r="CK59" s="21">
        <f t="shared" ref="CK59:CK65" ca="1" si="69">CI59-CJ59</f>
        <v>0</v>
      </c>
      <c r="CL59" s="46">
        <v>9</v>
      </c>
      <c r="CN59" s="17" t="s">
        <v>8</v>
      </c>
      <c r="CO59" s="18" t="s">
        <v>11</v>
      </c>
      <c r="CP59" s="19" t="s">
        <v>11</v>
      </c>
      <c r="CQ59" s="18">
        <f ca="1">_xlfn.XLOOKUP(CN59,CF$68:CF$72,CG$68:CG$72,"erro",0,1)-CT63</f>
        <v>664</v>
      </c>
      <c r="CR59" s="18">
        <f ca="1">_xlfn.XLOOKUP(CO59,CF$68:CF$72,CH$68:CH$72,"erro",0,1)-CT48</f>
        <v>0</v>
      </c>
      <c r="CS59" s="18">
        <f ca="1">_xlfn.XLOOKUP(CP59,$J$17:$J$23,$S$17:$S$23,"erro",0,1)-CT62</f>
        <v>0</v>
      </c>
      <c r="CT59" s="43">
        <f t="shared" ca="1" si="60"/>
        <v>0</v>
      </c>
      <c r="CU59" s="21">
        <f t="shared" ref="CU59:CU65" ca="1" si="70">CS59-CT59</f>
        <v>0</v>
      </c>
      <c r="CV59" s="46">
        <v>9</v>
      </c>
      <c r="CX59" s="17" t="s">
        <v>8</v>
      </c>
      <c r="CY59" s="18" t="s">
        <v>11</v>
      </c>
      <c r="CZ59" s="19" t="s">
        <v>11</v>
      </c>
      <c r="DA59" s="18">
        <f ca="1">_xlfn.XLOOKUP(CX59,CP$68:CP$72,CQ$68:CQ$72,"erro",0,1)-DD63</f>
        <v>664</v>
      </c>
      <c r="DB59" s="18">
        <f ca="1">_xlfn.XLOOKUP(CY59,CP$68:CP$72,CR$68:CR$72,"erro",0,1)-DD48</f>
        <v>0</v>
      </c>
      <c r="DC59" s="18">
        <f ca="1">_xlfn.XLOOKUP(CZ59,$J$17:$J$23,$T$17:$T$23,"erro",0,1)-DD62</f>
        <v>0</v>
      </c>
      <c r="DD59" s="43">
        <f t="shared" ca="1" si="61"/>
        <v>0</v>
      </c>
      <c r="DE59" s="21">
        <f t="shared" ref="DE59:DE65" ca="1" si="71">DC59-DD59</f>
        <v>0</v>
      </c>
      <c r="DF59" s="46">
        <v>9</v>
      </c>
      <c r="DH59"/>
      <c r="DI59"/>
      <c r="DJ59"/>
      <c r="DK59"/>
      <c r="DL59"/>
      <c r="DM59"/>
      <c r="DN59"/>
      <c r="DO59"/>
      <c r="DP59"/>
    </row>
    <row r="60" spans="1:120" x14ac:dyDescent="0.25">
      <c r="A60" s="2">
        <f t="shared" ca="1" si="0"/>
        <v>3.0030176586219901</v>
      </c>
      <c r="B60" cm="1">
        <f t="array" aca="1" ref="B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60" s="2">
        <f t="shared" ca="1" si="1"/>
        <v>3.0164128725949464</v>
      </c>
      <c r="D60" t="str" cm="1">
        <f t="array" aca="1" ref="D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0" s="2">
        <f t="shared" ca="1" si="2"/>
        <v>30.025586601281539</v>
      </c>
      <c r="F60" t="str" cm="1">
        <f t="array" aca="1" ref="F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0" s="2">
        <f t="shared" ca="1" si="3"/>
        <v>40.024744806804605</v>
      </c>
      <c r="H60" s="5" t="str" cm="1">
        <f t="array" aca="1" ref="H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L60" s="22" t="s">
        <v>9</v>
      </c>
      <c r="M60" s="9" t="s">
        <v>10</v>
      </c>
      <c r="N60" s="16" t="s">
        <v>11</v>
      </c>
      <c r="O60" s="9">
        <f ca="1">_xlfn.XLOOKUP(L60,$T$1:$T$7,$U$1:$U$7,"erro",0,1)-R50-R64</f>
        <v>706</v>
      </c>
      <c r="P60" s="9">
        <f ca="1">_xlfn.XLOOKUP(M60,$X$1:$X$7,$Y$1:$Y$7,"erro",0,1)-R49-R63</f>
        <v>672</v>
      </c>
      <c r="Q60" s="9">
        <f ca="1">_xlfn.XLOOKUP(N60,$J$17:$J$23,$K$17:$K$23,"erro",0,1)-R59-R62</f>
        <v>0</v>
      </c>
      <c r="R60" s="44">
        <f t="shared" ca="1" si="52"/>
        <v>0</v>
      </c>
      <c r="S60" s="24">
        <f t="shared" ca="1" si="62"/>
        <v>0</v>
      </c>
      <c r="T60" s="46">
        <v>12</v>
      </c>
      <c r="V60" s="22" t="s">
        <v>9</v>
      </c>
      <c r="W60" s="9" t="s">
        <v>10</v>
      </c>
      <c r="X60" s="16" t="s">
        <v>11</v>
      </c>
      <c r="Y60" s="9">
        <f ca="1">_xlfn.XLOOKUP(V60,N$68:N$72,O$68:O$72,"erro",0,1)-AB50-AB64</f>
        <v>706</v>
      </c>
      <c r="Z60" s="9">
        <f ca="1">_xlfn.XLOOKUP(W60,N$68:N$72,P$68:P$72,"erro",0,1)-AB49-AB63</f>
        <v>604</v>
      </c>
      <c r="AA60" s="9">
        <f ca="1">_xlfn.XLOOKUP(X60,$J$17:$J$23,$L$17:$L$23,"erro",0,1)-AB59-AB62</f>
        <v>0</v>
      </c>
      <c r="AB60" s="44">
        <f t="shared" ca="1" si="53"/>
        <v>0</v>
      </c>
      <c r="AC60" s="24">
        <f t="shared" ca="1" si="63"/>
        <v>0</v>
      </c>
      <c r="AD60" s="46">
        <v>12</v>
      </c>
      <c r="AF60" s="22" t="s">
        <v>9</v>
      </c>
      <c r="AG60" s="9" t="s">
        <v>10</v>
      </c>
      <c r="AH60" s="16" t="s">
        <v>11</v>
      </c>
      <c r="AI60" s="9">
        <f ca="1">_xlfn.XLOOKUP(AF60,X$68:X$72,Y$68:Y$72,"erro",0,1)-AL50-AL64</f>
        <v>706</v>
      </c>
      <c r="AJ60" s="9">
        <f ca="1">_xlfn.XLOOKUP(AG60,X$68:X$72,Z$68:Z$72,"erro",0,1)-AL49-AL63</f>
        <v>547</v>
      </c>
      <c r="AK60" s="9">
        <f ca="1">_xlfn.XLOOKUP(AH60,$J$17:$J$23,$M$17:$M$23,"erro",0,1)-AL59-AL62</f>
        <v>0</v>
      </c>
      <c r="AL60" s="44">
        <f t="shared" ca="1" si="54"/>
        <v>0</v>
      </c>
      <c r="AM60" s="24">
        <f t="shared" ca="1" si="64"/>
        <v>0</v>
      </c>
      <c r="AN60" s="46">
        <v>12</v>
      </c>
      <c r="AP60" s="22" t="s">
        <v>9</v>
      </c>
      <c r="AQ60" s="9" t="s">
        <v>10</v>
      </c>
      <c r="AR60" s="16" t="s">
        <v>11</v>
      </c>
      <c r="AS60" s="9">
        <f ca="1">_xlfn.XLOOKUP(AP60,AH$68:AH$72,AI$68:AI$72,"erro",0,1)-AV50-AV64</f>
        <v>706</v>
      </c>
      <c r="AT60" s="9">
        <f ca="1">_xlfn.XLOOKUP(AQ60,AH$68:AH$72,AJ$68:AJ$72,"erro",0,1)-AV49-AV63</f>
        <v>486</v>
      </c>
      <c r="AU60" s="9">
        <f ca="1">_xlfn.XLOOKUP(AR60,$J$17:$J$23,$N$17:$N$23,"erro",0,1)-AV59-AV62</f>
        <v>0</v>
      </c>
      <c r="AV60" s="44">
        <f t="shared" ca="1" si="55"/>
        <v>0</v>
      </c>
      <c r="AW60" s="24">
        <f t="shared" ca="1" si="65"/>
        <v>0</v>
      </c>
      <c r="AX60" s="46">
        <v>12</v>
      </c>
      <c r="AZ60" s="22" t="s">
        <v>9</v>
      </c>
      <c r="BA60" s="9" t="s">
        <v>10</v>
      </c>
      <c r="BB60" s="16" t="s">
        <v>11</v>
      </c>
      <c r="BC60" s="9">
        <f ca="1">_xlfn.XLOOKUP(AZ60,AR$68:AR$72,AS$68:AS$72,"erro",0,1)-BF50-BF64</f>
        <v>706</v>
      </c>
      <c r="BD60" s="9">
        <f ca="1">_xlfn.XLOOKUP(BA60,AR$68:AR$72,AT$68:AT$72,"erro",0,1)-BF49-BF63</f>
        <v>416</v>
      </c>
      <c r="BE60" s="9">
        <f ca="1">_xlfn.XLOOKUP(BB60,$J$17:$J$23,$O$17:$O$23,"erro",0,1)-BF59-BF62</f>
        <v>0</v>
      </c>
      <c r="BF60" s="44">
        <f t="shared" ca="1" si="56"/>
        <v>0</v>
      </c>
      <c r="BG60" s="24">
        <f t="shared" ca="1" si="66"/>
        <v>0</v>
      </c>
      <c r="BH60" s="46">
        <v>12</v>
      </c>
      <c r="BJ60" s="22" t="s">
        <v>9</v>
      </c>
      <c r="BK60" s="9" t="s">
        <v>10</v>
      </c>
      <c r="BL60" s="16" t="s">
        <v>11</v>
      </c>
      <c r="BM60" s="9">
        <f ca="1">_xlfn.XLOOKUP(BJ60,BB$68:BB$72,BC$68:BC$72,"erro",0,1)-BP50-BP64</f>
        <v>706</v>
      </c>
      <c r="BN60" s="9">
        <f ca="1">_xlfn.XLOOKUP(BK60,BB$68:BB$72,BD$68:BD$72,"erro",0,1)-BP49-BP63</f>
        <v>351</v>
      </c>
      <c r="BO60" s="9">
        <f ca="1">_xlfn.XLOOKUP(BL60,$J$17:$J$23,$P$17:$P$23,"erro",0,1)-BP59-BP62</f>
        <v>0</v>
      </c>
      <c r="BP60" s="44">
        <f t="shared" ca="1" si="57"/>
        <v>0</v>
      </c>
      <c r="BQ60" s="24">
        <f t="shared" ca="1" si="67"/>
        <v>0</v>
      </c>
      <c r="BR60" s="46">
        <v>12</v>
      </c>
      <c r="BT60" s="22" t="s">
        <v>9</v>
      </c>
      <c r="BU60" s="9" t="s">
        <v>10</v>
      </c>
      <c r="BV60" s="16" t="s">
        <v>11</v>
      </c>
      <c r="BW60" s="9">
        <f ca="1">_xlfn.XLOOKUP(BT60,BL$68:BL$72,BM$68:BM$72,"erro",0,1)-BZ50-BZ64</f>
        <v>706</v>
      </c>
      <c r="BX60" s="9">
        <f ca="1">_xlfn.XLOOKUP(BU60,BL$68:BL$72,BN$68:BN$72,"erro",0,1)-BZ49-BZ63</f>
        <v>277</v>
      </c>
      <c r="BY60" s="9">
        <f ca="1">_xlfn.XLOOKUP(BV60,$J$17:$J$23,$Q$17:$Q$23,"erro",0,1)-BZ59-BZ62</f>
        <v>0</v>
      </c>
      <c r="BZ60" s="44">
        <f t="shared" ca="1" si="58"/>
        <v>0</v>
      </c>
      <c r="CA60" s="24">
        <f t="shared" ca="1" si="68"/>
        <v>0</v>
      </c>
      <c r="CB60" s="46">
        <v>12</v>
      </c>
      <c r="CD60" s="22" t="s">
        <v>9</v>
      </c>
      <c r="CE60" s="9" t="s">
        <v>10</v>
      </c>
      <c r="CF60" s="16" t="s">
        <v>11</v>
      </c>
      <c r="CG60" s="9">
        <f ca="1">_xlfn.XLOOKUP(CD60,BV$68:BV$72,BW$68:BW$72,"erro",0,1)-CJ50-CJ64</f>
        <v>706</v>
      </c>
      <c r="CH60" s="9">
        <f ca="1">_xlfn.XLOOKUP(CE60,BV$68:BV$72,BX$68:BX$72,"erro",0,1)-CJ49-CJ63</f>
        <v>192</v>
      </c>
      <c r="CI60" s="9">
        <f ca="1">_xlfn.XLOOKUP(CF60,$J$17:$J$23,$R$17:$R$23,"erro",0,1)-CJ59-CJ62</f>
        <v>0</v>
      </c>
      <c r="CJ60" s="44">
        <f t="shared" ca="1" si="59"/>
        <v>0</v>
      </c>
      <c r="CK60" s="24">
        <f t="shared" ca="1" si="69"/>
        <v>0</v>
      </c>
      <c r="CL60" s="46">
        <v>12</v>
      </c>
      <c r="CN60" s="22" t="s">
        <v>9</v>
      </c>
      <c r="CO60" s="9" t="s">
        <v>10</v>
      </c>
      <c r="CP60" s="16" t="s">
        <v>11</v>
      </c>
      <c r="CQ60" s="9">
        <f ca="1">_xlfn.XLOOKUP(CN60,CF$68:CF$72,CG$68:CG$72,"erro",0,1)-CT50-CT64</f>
        <v>706</v>
      </c>
      <c r="CR60" s="9">
        <f ca="1">_xlfn.XLOOKUP(CO60,CF$68:CF$72,CH$68:CH$72,"erro",0,1)-CT49-CT63</f>
        <v>105</v>
      </c>
      <c r="CS60" s="9">
        <f ca="1">_xlfn.XLOOKUP(CP60,$J$17:$J$23,$S$17:$S$23,"erro",0,1)-CT59-CT62</f>
        <v>0</v>
      </c>
      <c r="CT60" s="44">
        <f t="shared" ca="1" si="60"/>
        <v>0</v>
      </c>
      <c r="CU60" s="24">
        <f t="shared" ca="1" si="70"/>
        <v>0</v>
      </c>
      <c r="CV60" s="46">
        <v>12</v>
      </c>
      <c r="CX60" s="22" t="s">
        <v>9</v>
      </c>
      <c r="CY60" s="9" t="s">
        <v>10</v>
      </c>
      <c r="CZ60" s="16" t="s">
        <v>11</v>
      </c>
      <c r="DA60" s="9">
        <f ca="1">_xlfn.XLOOKUP(CX60,CP$68:CP$72,CQ$68:CQ$72,"erro",0,1)-DD50-DD64</f>
        <v>706</v>
      </c>
      <c r="DB60" s="9">
        <f ca="1">_xlfn.XLOOKUP(CY60,CP$68:CP$72,CR$68:CR$72,"erro",0,1)-DD49-DD63</f>
        <v>42</v>
      </c>
      <c r="DC60" s="9">
        <f ca="1">_xlfn.XLOOKUP(CZ60,$J$17:$J$23,$T$17:$T$23,"erro",0,1)-DD59-DD62</f>
        <v>0</v>
      </c>
      <c r="DD60" s="44">
        <f t="shared" ca="1" si="61"/>
        <v>0</v>
      </c>
      <c r="DE60" s="24">
        <f t="shared" ca="1" si="71"/>
        <v>0</v>
      </c>
      <c r="DF60" s="46">
        <v>12</v>
      </c>
      <c r="DH60"/>
      <c r="DI60"/>
      <c r="DJ60"/>
      <c r="DK60"/>
      <c r="DL60"/>
      <c r="DM60"/>
      <c r="DN60"/>
      <c r="DO60"/>
      <c r="DP60"/>
    </row>
    <row r="61" spans="1:120" x14ac:dyDescent="0.25">
      <c r="A61" s="2">
        <f t="shared" ca="1" si="0"/>
        <v>3.0065096098445574</v>
      </c>
      <c r="B61" cm="1">
        <f t="array" aca="1" ref="B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61" s="2">
        <f t="shared" ca="1" si="1"/>
        <v>3.0093022561770133</v>
      </c>
      <c r="D61" t="str" cm="1">
        <f t="array" aca="1" ref="D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1" s="2">
        <f t="shared" ca="1" si="2"/>
        <v>30.01946436242708</v>
      </c>
      <c r="F61" t="str" cm="1">
        <f t="array" aca="1" ref="F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1" s="2">
        <f t="shared" ca="1" si="3"/>
        <v>40.000880196864642</v>
      </c>
      <c r="H61" s="5" t="str" cm="1">
        <f t="array" aca="1" ref="H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L61" s="22" t="s">
        <v>10</v>
      </c>
      <c r="M61" s="9" t="s">
        <v>9</v>
      </c>
      <c r="N61" s="16" t="s">
        <v>11</v>
      </c>
      <c r="O61" s="9">
        <f ca="1">_xlfn.XLOOKUP(L61,$T$1:$T$7,$U$1:$U$7,"erro",0,1)-R47-R51-R65</f>
        <v>630</v>
      </c>
      <c r="P61" s="9">
        <f ca="1">_xlfn.XLOOKUP(M61,$X$1:$X$7,$Y$1:$Y$7,"erro",0,1)-R64-R53</f>
        <v>670</v>
      </c>
      <c r="Q61" s="9">
        <f ca="1">_xlfn.XLOOKUP(N61,$J$17:$J$23,$K$17:$K$23,"erro",0,1)-R59-R60-R62</f>
        <v>0</v>
      </c>
      <c r="R61" s="44">
        <f t="shared" ca="1" si="52"/>
        <v>0</v>
      </c>
      <c r="S61" s="24">
        <f t="shared" ca="1" si="62"/>
        <v>0</v>
      </c>
      <c r="T61" s="46">
        <v>13</v>
      </c>
      <c r="V61" s="22" t="s">
        <v>10</v>
      </c>
      <c r="W61" s="9" t="s">
        <v>9</v>
      </c>
      <c r="X61" s="16" t="s">
        <v>11</v>
      </c>
      <c r="Y61" s="9">
        <f ca="1">_xlfn.XLOOKUP(V61,N$68:N$72,O$68:O$72,"erro",0,1)-AB47-AB51-AB65</f>
        <v>562</v>
      </c>
      <c r="Z61" s="9">
        <f ca="1">_xlfn.XLOOKUP(W61,N$68:N$72,P$68:P$72,"erro",0,1)-AB64-AB53</f>
        <v>670</v>
      </c>
      <c r="AA61" s="9">
        <f ca="1">_xlfn.XLOOKUP(X61,$J$17:$J$23,$L$17:$L$23,"erro",0,1)-AB59-AB60-AB62</f>
        <v>0</v>
      </c>
      <c r="AB61" s="44">
        <f t="shared" ca="1" si="53"/>
        <v>0</v>
      </c>
      <c r="AC61" s="24">
        <f t="shared" ca="1" si="63"/>
        <v>0</v>
      </c>
      <c r="AD61" s="46">
        <v>13</v>
      </c>
      <c r="AF61" s="22" t="s">
        <v>10</v>
      </c>
      <c r="AG61" s="9" t="s">
        <v>9</v>
      </c>
      <c r="AH61" s="16" t="s">
        <v>11</v>
      </c>
      <c r="AI61" s="9">
        <f ca="1">_xlfn.XLOOKUP(AF61,X$68:X$72,Y$68:Y$72,"erro",0,1)-AL47-AL51-AL65</f>
        <v>505</v>
      </c>
      <c r="AJ61" s="9">
        <f ca="1">_xlfn.XLOOKUP(AG61,X$68:X$72,Z$68:Z$72,"erro",0,1)-AL64-AL53</f>
        <v>670</v>
      </c>
      <c r="AK61" s="9">
        <f ca="1">_xlfn.XLOOKUP(AH61,$J$17:$J$23,$M$17:$M$23,"erro",0,1)-AL59-AL60-AL62</f>
        <v>0</v>
      </c>
      <c r="AL61" s="44">
        <f t="shared" ca="1" si="54"/>
        <v>0</v>
      </c>
      <c r="AM61" s="24">
        <f t="shared" ca="1" si="64"/>
        <v>0</v>
      </c>
      <c r="AN61" s="46">
        <v>13</v>
      </c>
      <c r="AP61" s="22" t="s">
        <v>10</v>
      </c>
      <c r="AQ61" s="9" t="s">
        <v>9</v>
      </c>
      <c r="AR61" s="16" t="s">
        <v>11</v>
      </c>
      <c r="AS61" s="9">
        <f ca="1">_xlfn.XLOOKUP(AP61,AH$68:AH$72,AI$68:AI$72,"erro",0,1)-AV47-AV51-AV65</f>
        <v>444</v>
      </c>
      <c r="AT61" s="9">
        <f ca="1">_xlfn.XLOOKUP(AQ61,AH$68:AH$72,AJ$68:AJ$72,"erro",0,1)-AV64-AV53</f>
        <v>670</v>
      </c>
      <c r="AU61" s="9">
        <f ca="1">_xlfn.XLOOKUP(AR61,$J$17:$J$23,$N$17:$N$23,"erro",0,1)-AV59-AV60-AV62</f>
        <v>0</v>
      </c>
      <c r="AV61" s="44">
        <f t="shared" ca="1" si="55"/>
        <v>0</v>
      </c>
      <c r="AW61" s="24">
        <f t="shared" ca="1" si="65"/>
        <v>0</v>
      </c>
      <c r="AX61" s="46">
        <v>13</v>
      </c>
      <c r="AZ61" s="22" t="s">
        <v>10</v>
      </c>
      <c r="BA61" s="9" t="s">
        <v>9</v>
      </c>
      <c r="BB61" s="16" t="s">
        <v>11</v>
      </c>
      <c r="BC61" s="9">
        <f ca="1">_xlfn.XLOOKUP(AZ61,AR$68:AR$72,AS$68:AS$72,"erro",0,1)-BF47-BF51-BF65</f>
        <v>374</v>
      </c>
      <c r="BD61" s="9">
        <f ca="1">_xlfn.XLOOKUP(BA61,AR$68:AR$72,AT$68:AT$72,"erro",0,1)-BF64-BF53</f>
        <v>670</v>
      </c>
      <c r="BE61" s="9">
        <f ca="1">_xlfn.XLOOKUP(BB61,$J$17:$J$23,$O$17:$O$23,"erro",0,1)-BF59-BF60-BF62</f>
        <v>0</v>
      </c>
      <c r="BF61" s="44">
        <f t="shared" ca="1" si="56"/>
        <v>0</v>
      </c>
      <c r="BG61" s="24">
        <f t="shared" ca="1" si="66"/>
        <v>0</v>
      </c>
      <c r="BH61" s="46">
        <v>13</v>
      </c>
      <c r="BJ61" s="22" t="s">
        <v>10</v>
      </c>
      <c r="BK61" s="9" t="s">
        <v>9</v>
      </c>
      <c r="BL61" s="16" t="s">
        <v>11</v>
      </c>
      <c r="BM61" s="9">
        <f ca="1">_xlfn.XLOOKUP(BJ61,BB$68:BB$72,BC$68:BC$72,"erro",0,1)-BP47-BP51-BP65</f>
        <v>309</v>
      </c>
      <c r="BN61" s="9">
        <f ca="1">_xlfn.XLOOKUP(BK61,BB$68:BB$72,BD$68:BD$72,"erro",0,1)-BP64-BP53</f>
        <v>670</v>
      </c>
      <c r="BO61" s="9">
        <f ca="1">_xlfn.XLOOKUP(BL61,$J$17:$J$23,$P$17:$P$23,"erro",0,1)-BP59-BP60-BP62</f>
        <v>0</v>
      </c>
      <c r="BP61" s="44">
        <f t="shared" ca="1" si="57"/>
        <v>0</v>
      </c>
      <c r="BQ61" s="24">
        <f t="shared" ca="1" si="67"/>
        <v>0</v>
      </c>
      <c r="BR61" s="46">
        <v>13</v>
      </c>
      <c r="BT61" s="22" t="s">
        <v>10</v>
      </c>
      <c r="BU61" s="9" t="s">
        <v>9</v>
      </c>
      <c r="BV61" s="16" t="s">
        <v>11</v>
      </c>
      <c r="BW61" s="9">
        <f ca="1">_xlfn.XLOOKUP(BT61,BL$68:BL$72,BM$68:BM$72,"erro",0,1)-BZ47-BZ51-BZ65</f>
        <v>235</v>
      </c>
      <c r="BX61" s="9">
        <f ca="1">_xlfn.XLOOKUP(BU61,BL$68:BL$72,BN$68:BN$72,"erro",0,1)-BZ64-BZ53</f>
        <v>670</v>
      </c>
      <c r="BY61" s="9">
        <f ca="1">_xlfn.XLOOKUP(BV61,$J$17:$J$23,$Q$17:$Q$23,"erro",0,1)-BZ59-BZ60-BZ62</f>
        <v>0</v>
      </c>
      <c r="BZ61" s="44">
        <f t="shared" ca="1" si="58"/>
        <v>0</v>
      </c>
      <c r="CA61" s="24">
        <f t="shared" ca="1" si="68"/>
        <v>0</v>
      </c>
      <c r="CB61" s="46">
        <v>13</v>
      </c>
      <c r="CD61" s="22" t="s">
        <v>10</v>
      </c>
      <c r="CE61" s="9" t="s">
        <v>9</v>
      </c>
      <c r="CF61" s="16" t="s">
        <v>11</v>
      </c>
      <c r="CG61" s="9">
        <f ca="1">_xlfn.XLOOKUP(CD61,BV$68:BV$72,BW$68:BW$72,"erro",0,1)-CJ47-CJ51-CJ65</f>
        <v>150</v>
      </c>
      <c r="CH61" s="9">
        <f ca="1">_xlfn.XLOOKUP(CE61,BV$68:BV$72,BX$68:BX$72,"erro",0,1)-CJ64-CJ53</f>
        <v>670</v>
      </c>
      <c r="CI61" s="9">
        <f ca="1">_xlfn.XLOOKUP(CF61,$J$17:$J$23,$R$17:$R$23,"erro",0,1)-CJ59-CJ60-CJ62</f>
        <v>0</v>
      </c>
      <c r="CJ61" s="44">
        <f t="shared" ca="1" si="59"/>
        <v>0</v>
      </c>
      <c r="CK61" s="24">
        <f t="shared" ca="1" si="69"/>
        <v>0</v>
      </c>
      <c r="CL61" s="46">
        <v>13</v>
      </c>
      <c r="CN61" s="22" t="s">
        <v>10</v>
      </c>
      <c r="CO61" s="9" t="s">
        <v>9</v>
      </c>
      <c r="CP61" s="16" t="s">
        <v>11</v>
      </c>
      <c r="CQ61" s="9">
        <f ca="1">_xlfn.XLOOKUP(CN61,CF$68:CF$72,CG$68:CG$72,"erro",0,1)-CT47-CT51-CT65</f>
        <v>63</v>
      </c>
      <c r="CR61" s="9">
        <f ca="1">_xlfn.XLOOKUP(CO61,CF$68:CF$72,CH$68:CH$72,"erro",0,1)-CT64-CT53</f>
        <v>670</v>
      </c>
      <c r="CS61" s="9">
        <f ca="1">_xlfn.XLOOKUP(CP61,$J$17:$J$23,$S$17:$S$23,"erro",0,1)-CT59-CT60-CT62</f>
        <v>0</v>
      </c>
      <c r="CT61" s="44">
        <f t="shared" ca="1" si="60"/>
        <v>0</v>
      </c>
      <c r="CU61" s="24">
        <f t="shared" ca="1" si="70"/>
        <v>0</v>
      </c>
      <c r="CV61" s="46">
        <v>13</v>
      </c>
      <c r="CX61" s="22" t="s">
        <v>10</v>
      </c>
      <c r="CY61" s="9" t="s">
        <v>9</v>
      </c>
      <c r="CZ61" s="16" t="s">
        <v>11</v>
      </c>
      <c r="DA61" s="9">
        <f ca="1">_xlfn.XLOOKUP(CX61,CP$68:CP$72,CQ$68:CQ$72,"erro",0,1)-DD47-DD51-DD65</f>
        <v>0</v>
      </c>
      <c r="DB61" s="9">
        <f ca="1">_xlfn.XLOOKUP(CY61,CP$68:CP$72,CR$68:CR$72,"erro",0,1)-DD64-DD53</f>
        <v>670</v>
      </c>
      <c r="DC61" s="9">
        <f ca="1">_xlfn.XLOOKUP(CZ61,$J$17:$J$23,$T$17:$T$23,"erro",0,1)-DD59-DD60-DD62</f>
        <v>0</v>
      </c>
      <c r="DD61" s="44">
        <f t="shared" ca="1" si="61"/>
        <v>0</v>
      </c>
      <c r="DE61" s="24">
        <f t="shared" ca="1" si="71"/>
        <v>0</v>
      </c>
      <c r="DF61" s="46">
        <v>13</v>
      </c>
      <c r="DH61"/>
      <c r="DI61"/>
      <c r="DJ61"/>
      <c r="DK61"/>
      <c r="DL61"/>
      <c r="DM61"/>
      <c r="DN61"/>
      <c r="DO61"/>
      <c r="DP61"/>
    </row>
    <row r="62" spans="1:120" ht="15.75" thickBot="1" x14ac:dyDescent="0.3">
      <c r="A62" s="2">
        <f t="shared" ca="1" si="0"/>
        <v>3.0079363681636586</v>
      </c>
      <c r="B62" cm="1">
        <f t="array" aca="1" ref="B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62" s="2">
        <f t="shared" ca="1" si="1"/>
        <v>3.0230956258373682</v>
      </c>
      <c r="D62" t="str" cm="1">
        <f t="array" aca="1" ref="D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2" s="2">
        <f t="shared" ca="1" si="2"/>
        <v>30.002862425085123</v>
      </c>
      <c r="F62" t="str" cm="1">
        <f t="array" aca="1" ref="F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2" s="2">
        <f t="shared" ca="1" si="3"/>
        <v>40.006377032771567</v>
      </c>
      <c r="H62" s="5" t="str" cm="1">
        <f t="array" aca="1" ref="H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L62" s="26" t="s">
        <v>11</v>
      </c>
      <c r="M62" s="27" t="s">
        <v>8</v>
      </c>
      <c r="N62" s="28" t="s">
        <v>11</v>
      </c>
      <c r="O62" s="27">
        <f ca="1">_xlfn.XLOOKUP(L62,$T$1:$T$7,$U$1:$U$7,"erro",0,1)-R48</f>
        <v>0</v>
      </c>
      <c r="P62" s="27">
        <f ca="1">_xlfn.XLOOKUP(M62,$X$1:$X$7,$Y$1:$Y$7,"erro",0,1)-R65</f>
        <v>658</v>
      </c>
      <c r="Q62" s="27">
        <f ca="1">_xlfn.XLOOKUP(N62,$J$17:$J$23,$K$17:$K$23,"erro",0,1)</f>
        <v>0</v>
      </c>
      <c r="R62" s="33">
        <f t="shared" ca="1" si="52"/>
        <v>0</v>
      </c>
      <c r="S62" s="30">
        <f t="shared" ca="1" si="62"/>
        <v>0</v>
      </c>
      <c r="T62" s="46">
        <v>8</v>
      </c>
      <c r="V62" s="26" t="s">
        <v>11</v>
      </c>
      <c r="W62" s="27" t="s">
        <v>8</v>
      </c>
      <c r="X62" s="28" t="s">
        <v>11</v>
      </c>
      <c r="Y62" s="27">
        <f ca="1">_xlfn.XLOOKUP(V62,N$68:N$72,O$68:O$72,"erro",0,1)-AB48</f>
        <v>0</v>
      </c>
      <c r="Z62" s="27">
        <f ca="1">_xlfn.XLOOKUP(W62,N$68:N$72,P$68:P$72,"erro",0,1)-AB65</f>
        <v>658</v>
      </c>
      <c r="AA62" s="27">
        <f ca="1">_xlfn.XLOOKUP(X62,$J$17:$J$23,$L$17:$L$23,"erro",0,1)</f>
        <v>0</v>
      </c>
      <c r="AB62" s="33">
        <f t="shared" ca="1" si="53"/>
        <v>0</v>
      </c>
      <c r="AC62" s="30">
        <f t="shared" ca="1" si="63"/>
        <v>0</v>
      </c>
      <c r="AD62" s="46">
        <v>8</v>
      </c>
      <c r="AF62" s="26" t="s">
        <v>11</v>
      </c>
      <c r="AG62" s="27" t="s">
        <v>8</v>
      </c>
      <c r="AH62" s="28" t="s">
        <v>11</v>
      </c>
      <c r="AI62" s="27">
        <f ca="1">_xlfn.XLOOKUP(AF62,X$68:X$72,Y$68:Y$72,"erro",0,1)-AL48</f>
        <v>0</v>
      </c>
      <c r="AJ62" s="27">
        <f ca="1">_xlfn.XLOOKUP(AG62,X$68:X$72,Z$68:Z$72,"erro",0,1)-AL65</f>
        <v>658</v>
      </c>
      <c r="AK62" s="27">
        <f ca="1">_xlfn.XLOOKUP(AH62,$J$17:$J$23,$M$17:$M$23,"erro",0,1)</f>
        <v>0</v>
      </c>
      <c r="AL62" s="33">
        <f t="shared" ca="1" si="54"/>
        <v>0</v>
      </c>
      <c r="AM62" s="30">
        <f t="shared" ca="1" si="64"/>
        <v>0</v>
      </c>
      <c r="AN62" s="46">
        <v>8</v>
      </c>
      <c r="AP62" s="26" t="s">
        <v>11</v>
      </c>
      <c r="AQ62" s="27" t="s">
        <v>8</v>
      </c>
      <c r="AR62" s="28" t="s">
        <v>11</v>
      </c>
      <c r="AS62" s="27">
        <f ca="1">_xlfn.XLOOKUP(AP62,AH$68:AH$72,AI$68:AI$72,"erro",0,1)-AV48</f>
        <v>0</v>
      </c>
      <c r="AT62" s="27">
        <f ca="1">_xlfn.XLOOKUP(AQ62,AH$68:AH$72,AJ$68:AJ$72,"erro",0,1)-AV65</f>
        <v>658</v>
      </c>
      <c r="AU62" s="27">
        <f ca="1">_xlfn.XLOOKUP(AR62,$J$17:$J$23,$N$17:$N$23,"erro",0,1)</f>
        <v>0</v>
      </c>
      <c r="AV62" s="33">
        <f t="shared" ca="1" si="55"/>
        <v>0</v>
      </c>
      <c r="AW62" s="30">
        <f t="shared" ca="1" si="65"/>
        <v>0</v>
      </c>
      <c r="AX62" s="46">
        <v>8</v>
      </c>
      <c r="AZ62" s="26" t="s">
        <v>11</v>
      </c>
      <c r="BA62" s="27" t="s">
        <v>8</v>
      </c>
      <c r="BB62" s="28" t="s">
        <v>11</v>
      </c>
      <c r="BC62" s="27">
        <f ca="1">_xlfn.XLOOKUP(AZ62,AR$68:AR$72,AS$68:AS$72,"erro",0,1)-BF48</f>
        <v>0</v>
      </c>
      <c r="BD62" s="27">
        <f ca="1">_xlfn.XLOOKUP(BA62,AR$68:AR$72,AT$68:AT$72,"erro",0,1)-BF65</f>
        <v>658</v>
      </c>
      <c r="BE62" s="27">
        <f ca="1">_xlfn.XLOOKUP(BB62,$J$17:$J$23,$O$17:$O$23,"erro",0,1)</f>
        <v>0</v>
      </c>
      <c r="BF62" s="33">
        <f t="shared" ca="1" si="56"/>
        <v>0</v>
      </c>
      <c r="BG62" s="30">
        <f t="shared" ca="1" si="66"/>
        <v>0</v>
      </c>
      <c r="BH62" s="46">
        <v>8</v>
      </c>
      <c r="BJ62" s="26" t="s">
        <v>11</v>
      </c>
      <c r="BK62" s="27" t="s">
        <v>8</v>
      </c>
      <c r="BL62" s="28" t="s">
        <v>11</v>
      </c>
      <c r="BM62" s="27">
        <f ca="1">_xlfn.XLOOKUP(BJ62,BB$68:BB$72,BC$68:BC$72,"erro",0,1)-BP48</f>
        <v>0</v>
      </c>
      <c r="BN62" s="27">
        <f ca="1">_xlfn.XLOOKUP(BK62,BB$68:BB$72,BD$68:BD$72,"erro",0,1)-BP65</f>
        <v>658</v>
      </c>
      <c r="BO62" s="27">
        <f ca="1">_xlfn.XLOOKUP(BL62,$J$17:$J$23,$P$17:$P$23,"erro",0,1)</f>
        <v>0</v>
      </c>
      <c r="BP62" s="33">
        <f t="shared" ca="1" si="57"/>
        <v>0</v>
      </c>
      <c r="BQ62" s="30">
        <f t="shared" ca="1" si="67"/>
        <v>0</v>
      </c>
      <c r="BR62" s="46">
        <v>8</v>
      </c>
      <c r="BT62" s="26" t="s">
        <v>11</v>
      </c>
      <c r="BU62" s="27" t="s">
        <v>8</v>
      </c>
      <c r="BV62" s="28" t="s">
        <v>11</v>
      </c>
      <c r="BW62" s="27">
        <f ca="1">_xlfn.XLOOKUP(BT62,BL$68:BL$72,BM$68:BM$72,"erro",0,1)-BZ48</f>
        <v>0</v>
      </c>
      <c r="BX62" s="27">
        <f ca="1">_xlfn.XLOOKUP(BU62,BL$68:BL$72,BN$68:BN$72,"erro",0,1)-BZ65</f>
        <v>658</v>
      </c>
      <c r="BY62" s="27">
        <f ca="1">_xlfn.XLOOKUP(BV62,$J$17:$J$23,$Q$17:$Q$23,"erro",0,1)</f>
        <v>0</v>
      </c>
      <c r="BZ62" s="33">
        <f t="shared" ca="1" si="58"/>
        <v>0</v>
      </c>
      <c r="CA62" s="30">
        <f t="shared" ca="1" si="68"/>
        <v>0</v>
      </c>
      <c r="CB62" s="46">
        <v>8</v>
      </c>
      <c r="CD62" s="26" t="s">
        <v>11</v>
      </c>
      <c r="CE62" s="27" t="s">
        <v>8</v>
      </c>
      <c r="CF62" s="28" t="s">
        <v>11</v>
      </c>
      <c r="CG62" s="27">
        <f ca="1">_xlfn.XLOOKUP(CD62,BV$68:BV$72,BW$68:BW$72,"erro",0,1)-CJ48</f>
        <v>0</v>
      </c>
      <c r="CH62" s="27">
        <f ca="1">_xlfn.XLOOKUP(CE62,BV$68:BV$72,BX$68:BX$72,"erro",0,1)-CJ65</f>
        <v>658</v>
      </c>
      <c r="CI62" s="27">
        <f ca="1">_xlfn.XLOOKUP(CF62,$J$17:$J$23,$R$17:$R$23,"erro",0,1)</f>
        <v>0</v>
      </c>
      <c r="CJ62" s="33">
        <f t="shared" ca="1" si="59"/>
        <v>0</v>
      </c>
      <c r="CK62" s="30">
        <f t="shared" ca="1" si="69"/>
        <v>0</v>
      </c>
      <c r="CL62" s="46">
        <v>8</v>
      </c>
      <c r="CN62" s="26" t="s">
        <v>11</v>
      </c>
      <c r="CO62" s="27" t="s">
        <v>8</v>
      </c>
      <c r="CP62" s="28" t="s">
        <v>11</v>
      </c>
      <c r="CQ62" s="27">
        <f ca="1">_xlfn.XLOOKUP(CN62,CF$68:CF$72,CG$68:CG$72,"erro",0,1)-CT48</f>
        <v>0</v>
      </c>
      <c r="CR62" s="27">
        <f ca="1">_xlfn.XLOOKUP(CO62,CF$68:CF$72,CH$68:CH$72,"erro",0,1)-CT65</f>
        <v>658</v>
      </c>
      <c r="CS62" s="27">
        <f ca="1">_xlfn.XLOOKUP(CP62,$J$17:$J$23,$S$17:$S$23,"erro",0,1)</f>
        <v>0</v>
      </c>
      <c r="CT62" s="33">
        <f t="shared" ca="1" si="60"/>
        <v>0</v>
      </c>
      <c r="CU62" s="30">
        <f t="shared" ca="1" si="70"/>
        <v>0</v>
      </c>
      <c r="CV62" s="46">
        <v>8</v>
      </c>
      <c r="CX62" s="26" t="s">
        <v>11</v>
      </c>
      <c r="CY62" s="27" t="s">
        <v>8</v>
      </c>
      <c r="CZ62" s="28" t="s">
        <v>11</v>
      </c>
      <c r="DA62" s="27">
        <f ca="1">_xlfn.XLOOKUP(CX62,CP$68:CP$72,CQ$68:CQ$72,"erro",0,1)-DD48</f>
        <v>0</v>
      </c>
      <c r="DB62" s="27">
        <f ca="1">_xlfn.XLOOKUP(CY62,CP$68:CP$72,CR$68:CR$72,"erro",0,1)-DD65</f>
        <v>658</v>
      </c>
      <c r="DC62" s="27">
        <f ca="1">_xlfn.XLOOKUP(CZ62,$J$17:$J$23,$T$17:$T$23,"erro",0,1)</f>
        <v>0</v>
      </c>
      <c r="DD62" s="33">
        <f t="shared" ca="1" si="61"/>
        <v>0</v>
      </c>
      <c r="DE62" s="30">
        <f t="shared" ca="1" si="71"/>
        <v>0</v>
      </c>
      <c r="DF62" s="46">
        <v>8</v>
      </c>
      <c r="DH62"/>
      <c r="DI62"/>
      <c r="DJ62"/>
      <c r="DK62"/>
      <c r="DL62"/>
      <c r="DM62"/>
      <c r="DN62"/>
      <c r="DO62"/>
      <c r="DP62"/>
    </row>
    <row r="63" spans="1:120" x14ac:dyDescent="0.25">
      <c r="A63" s="2">
        <f t="shared" ca="1" si="0"/>
        <v>3.002357315864753</v>
      </c>
      <c r="B63" cm="1">
        <f t="array" aca="1" ref="B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63" s="2">
        <f t="shared" ca="1" si="1"/>
        <v>3.0294884174081504</v>
      </c>
      <c r="D63" t="str" cm="1">
        <f t="array" aca="1" ref="D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3" s="2">
        <f t="shared" ca="1" si="2"/>
        <v>30.011638280807048</v>
      </c>
      <c r="F63" t="str" cm="1">
        <f t="array" aca="1" ref="F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3" s="2">
        <f t="shared" ca="1" si="3"/>
        <v>40.028167584809964</v>
      </c>
      <c r="H63" s="5" t="str" cm="1">
        <f t="array" aca="1" ref="H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L63" s="17" t="s">
        <v>8</v>
      </c>
      <c r="M63" s="18" t="s">
        <v>10</v>
      </c>
      <c r="N63" s="34" t="s">
        <v>13</v>
      </c>
      <c r="O63" s="18">
        <f t="shared" ref="O63:O64" ca="1" si="72">_xlfn.XLOOKUP(L63,$T$1:$T$7,$U$1:$U$7,"erro",0,1)</f>
        <v>664</v>
      </c>
      <c r="P63" s="18">
        <f ca="1">_xlfn.XLOOKUP(M63,$X$1:$X$7,$Y$1:$Y$7,"erro",0,1)-R49</f>
        <v>672</v>
      </c>
      <c r="Q63" s="18">
        <f ca="1">_xlfn.XLOOKUP(N63,$J$17:$J$23,$K$17:$K$23,"erro",0,1)-R65</f>
        <v>0</v>
      </c>
      <c r="R63" s="43">
        <f t="shared" ca="1" si="52"/>
        <v>0</v>
      </c>
      <c r="S63" s="21">
        <f t="shared" ca="1" si="62"/>
        <v>0</v>
      </c>
      <c r="T63" s="46">
        <v>4</v>
      </c>
      <c r="V63" s="17" t="s">
        <v>8</v>
      </c>
      <c r="W63" s="18" t="s">
        <v>10</v>
      </c>
      <c r="X63" s="34" t="s">
        <v>13</v>
      </c>
      <c r="Y63" s="18">
        <f ca="1">_xlfn.XLOOKUP(V63,N$68:N$72,O$68:O$72,"erro",0,1)</f>
        <v>664</v>
      </c>
      <c r="Z63" s="18">
        <f ca="1">_xlfn.XLOOKUP(W63,N$68:N$72,P$68:P$72,"erro",0,1)-AB49</f>
        <v>604</v>
      </c>
      <c r="AA63" s="18">
        <f ca="1">_xlfn.XLOOKUP(X63,$J$17:$J$23,$L$17:$L$23,"erro",0,1)-AB65</f>
        <v>0</v>
      </c>
      <c r="AB63" s="43">
        <f t="shared" ca="1" si="53"/>
        <v>0</v>
      </c>
      <c r="AC63" s="21">
        <f t="shared" ca="1" si="63"/>
        <v>0</v>
      </c>
      <c r="AD63" s="46">
        <v>4</v>
      </c>
      <c r="AF63" s="17" t="s">
        <v>8</v>
      </c>
      <c r="AG63" s="18" t="s">
        <v>10</v>
      </c>
      <c r="AH63" s="34" t="s">
        <v>13</v>
      </c>
      <c r="AI63" s="18">
        <f ca="1">_xlfn.XLOOKUP(AF63,X$68:X$72,Y$68:Y$72,"erro",0,1)</f>
        <v>664</v>
      </c>
      <c r="AJ63" s="18">
        <f ca="1">_xlfn.XLOOKUP(AG63,X$68:X$72,Z$68:Z$72,"erro",0,1)-AL49</f>
        <v>547</v>
      </c>
      <c r="AK63" s="18">
        <f ca="1">_xlfn.XLOOKUP(AH63,$J$17:$J$23,$M$17:$M$23,"erro",0,1)-AL65</f>
        <v>0</v>
      </c>
      <c r="AL63" s="43">
        <f t="shared" ca="1" si="54"/>
        <v>0</v>
      </c>
      <c r="AM63" s="21">
        <f t="shared" ca="1" si="64"/>
        <v>0</v>
      </c>
      <c r="AN63" s="46">
        <v>4</v>
      </c>
      <c r="AP63" s="17" t="s">
        <v>8</v>
      </c>
      <c r="AQ63" s="18" t="s">
        <v>10</v>
      </c>
      <c r="AR63" s="34" t="s">
        <v>13</v>
      </c>
      <c r="AS63" s="18">
        <f ca="1">_xlfn.XLOOKUP(AP63,AH$68:AH$72,AI$68:AI$72,"erro",0,1)</f>
        <v>664</v>
      </c>
      <c r="AT63" s="18">
        <f ca="1">_xlfn.XLOOKUP(AQ63,AH$68:AH$72,AJ$68:AJ$72,"erro",0,1)-AV49</f>
        <v>486</v>
      </c>
      <c r="AU63" s="18">
        <f ca="1">_xlfn.XLOOKUP(AR63,$J$17:$J$23,$N$17:$N$23,"erro",0,1)-AV65</f>
        <v>0</v>
      </c>
      <c r="AV63" s="43">
        <f t="shared" ca="1" si="55"/>
        <v>0</v>
      </c>
      <c r="AW63" s="21">
        <f t="shared" ca="1" si="65"/>
        <v>0</v>
      </c>
      <c r="AX63" s="46">
        <v>4</v>
      </c>
      <c r="AZ63" s="17" t="s">
        <v>8</v>
      </c>
      <c r="BA63" s="18" t="s">
        <v>10</v>
      </c>
      <c r="BB63" s="34" t="s">
        <v>13</v>
      </c>
      <c r="BC63" s="18">
        <f ca="1">_xlfn.XLOOKUP(AZ63,AR$68:AR$72,AS$68:AS$72,"erro",0,1)</f>
        <v>664</v>
      </c>
      <c r="BD63" s="18">
        <f ca="1">_xlfn.XLOOKUP(BA63,AR$68:AR$72,AT$68:AT$72,"erro",0,1)-BF49</f>
        <v>416</v>
      </c>
      <c r="BE63" s="18">
        <f ca="1">_xlfn.XLOOKUP(BB63,$J$17:$J$23,$O$17:$O$23,"erro",0,1)-BF65</f>
        <v>0</v>
      </c>
      <c r="BF63" s="43">
        <f t="shared" ca="1" si="56"/>
        <v>0</v>
      </c>
      <c r="BG63" s="21">
        <f t="shared" ca="1" si="66"/>
        <v>0</v>
      </c>
      <c r="BH63" s="46">
        <v>4</v>
      </c>
      <c r="BJ63" s="17" t="s">
        <v>8</v>
      </c>
      <c r="BK63" s="18" t="s">
        <v>10</v>
      </c>
      <c r="BL63" s="34" t="s">
        <v>13</v>
      </c>
      <c r="BM63" s="18">
        <f ca="1">_xlfn.XLOOKUP(BJ63,BB$68:BB$72,BC$68:BC$72,"erro",0,1)</f>
        <v>664</v>
      </c>
      <c r="BN63" s="18">
        <f ca="1">_xlfn.XLOOKUP(BK63,BB$68:BB$72,BD$68:BD$72,"erro",0,1)-BP49</f>
        <v>351</v>
      </c>
      <c r="BO63" s="18">
        <f ca="1">_xlfn.XLOOKUP(BL63,$J$17:$J$23,$P$17:$P$23,"erro",0,1)-BP65</f>
        <v>0</v>
      </c>
      <c r="BP63" s="43">
        <f t="shared" ca="1" si="57"/>
        <v>0</v>
      </c>
      <c r="BQ63" s="21">
        <f t="shared" ca="1" si="67"/>
        <v>0</v>
      </c>
      <c r="BR63" s="46">
        <v>4</v>
      </c>
      <c r="BT63" s="17" t="s">
        <v>8</v>
      </c>
      <c r="BU63" s="18" t="s">
        <v>10</v>
      </c>
      <c r="BV63" s="34" t="s">
        <v>13</v>
      </c>
      <c r="BW63" s="18">
        <f ca="1">_xlfn.XLOOKUP(BT63,BL$68:BL$72,BM$68:BM$72,"erro",0,1)</f>
        <v>664</v>
      </c>
      <c r="BX63" s="18">
        <f ca="1">_xlfn.XLOOKUP(BU63,BL$68:BL$72,BN$68:BN$72,"erro",0,1)-BZ49</f>
        <v>277</v>
      </c>
      <c r="BY63" s="18">
        <f ca="1">_xlfn.XLOOKUP(BV63,$J$17:$J$23,$Q$17:$Q$23,"erro",0,1)-BZ65</f>
        <v>0</v>
      </c>
      <c r="BZ63" s="43">
        <f t="shared" ca="1" si="58"/>
        <v>0</v>
      </c>
      <c r="CA63" s="21">
        <f t="shared" ca="1" si="68"/>
        <v>0</v>
      </c>
      <c r="CB63" s="46">
        <v>4</v>
      </c>
      <c r="CD63" s="17" t="s">
        <v>8</v>
      </c>
      <c r="CE63" s="18" t="s">
        <v>10</v>
      </c>
      <c r="CF63" s="34" t="s">
        <v>13</v>
      </c>
      <c r="CG63" s="18">
        <f ca="1">_xlfn.XLOOKUP(CD63,BV$68:BV$72,BW$68:BW$72,"erro",0,1)</f>
        <v>664</v>
      </c>
      <c r="CH63" s="18">
        <f ca="1">_xlfn.XLOOKUP(CE63,BV$68:BV$72,BX$68:BX$72,"erro",0,1)-CJ49</f>
        <v>192</v>
      </c>
      <c r="CI63" s="18">
        <f ca="1">_xlfn.XLOOKUP(CF63,$J$17:$J$23,$R$17:$R$23,"erro",0,1)-CJ65</f>
        <v>0</v>
      </c>
      <c r="CJ63" s="43">
        <f t="shared" ca="1" si="59"/>
        <v>0</v>
      </c>
      <c r="CK63" s="21">
        <f t="shared" ca="1" si="69"/>
        <v>0</v>
      </c>
      <c r="CL63" s="46">
        <v>4</v>
      </c>
      <c r="CN63" s="17" t="s">
        <v>8</v>
      </c>
      <c r="CO63" s="18" t="s">
        <v>10</v>
      </c>
      <c r="CP63" s="34" t="s">
        <v>13</v>
      </c>
      <c r="CQ63" s="18">
        <f ca="1">_xlfn.XLOOKUP(CN63,CF$68:CF$72,CG$68:CG$72,"erro",0,1)</f>
        <v>664</v>
      </c>
      <c r="CR63" s="18">
        <f ca="1">_xlfn.XLOOKUP(CO63,CF$68:CF$72,CH$68:CH$72,"erro",0,1)-CT49</f>
        <v>105</v>
      </c>
      <c r="CS63" s="18">
        <f ca="1">_xlfn.XLOOKUP(CP63,$J$17:$J$23,$S$17:$S$23,"erro",0,1)-CT65</f>
        <v>0</v>
      </c>
      <c r="CT63" s="43">
        <f t="shared" ca="1" si="60"/>
        <v>0</v>
      </c>
      <c r="CU63" s="21">
        <f t="shared" ca="1" si="70"/>
        <v>0</v>
      </c>
      <c r="CV63" s="46">
        <v>4</v>
      </c>
      <c r="CX63" s="17" t="s">
        <v>8</v>
      </c>
      <c r="CY63" s="18" t="s">
        <v>10</v>
      </c>
      <c r="CZ63" s="34" t="s">
        <v>13</v>
      </c>
      <c r="DA63" s="18">
        <f ca="1">_xlfn.XLOOKUP(CX63,CP$68:CP$72,CQ$68:CQ$72,"erro",0,1)</f>
        <v>664</v>
      </c>
      <c r="DB63" s="18">
        <f ca="1">_xlfn.XLOOKUP(CY63,CP$68:CP$72,CR$68:CR$72,"erro",0,1)-DD49</f>
        <v>42</v>
      </c>
      <c r="DC63" s="18">
        <f ca="1">_xlfn.XLOOKUP(CZ63,$J$17:$J$23,$T$17:$T$23,"erro",0,1)-DD65</f>
        <v>0</v>
      </c>
      <c r="DD63" s="43">
        <f t="shared" ca="1" si="61"/>
        <v>0</v>
      </c>
      <c r="DE63" s="21">
        <f t="shared" ca="1" si="71"/>
        <v>0</v>
      </c>
      <c r="DF63" s="46">
        <v>4</v>
      </c>
      <c r="DH63"/>
      <c r="DI63"/>
      <c r="DJ63"/>
      <c r="DK63"/>
      <c r="DL63"/>
      <c r="DM63"/>
      <c r="DN63"/>
      <c r="DO63"/>
      <c r="DP63"/>
    </row>
    <row r="64" spans="1:120" x14ac:dyDescent="0.25">
      <c r="A64" s="2">
        <f t="shared" ca="1" si="0"/>
        <v>3.0006878383721198</v>
      </c>
      <c r="B64" cm="1">
        <f t="array" aca="1" ref="B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64" s="2">
        <f t="shared" ca="1" si="1"/>
        <v>3.0265830276576349</v>
      </c>
      <c r="D64" t="str" cm="1">
        <f t="array" aca="1" ref="D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4" s="2">
        <f t="shared" ca="1" si="2"/>
        <v>30.016023855175696</v>
      </c>
      <c r="F64" t="str" cm="1">
        <f t="array" aca="1" ref="F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4" s="2">
        <f t="shared" ca="1" si="3"/>
        <v>40.017202723630476</v>
      </c>
      <c r="H64" s="5" t="str" cm="1">
        <f t="array" aca="1" ref="H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L64" s="22" t="s">
        <v>9</v>
      </c>
      <c r="M64" s="9" t="s">
        <v>9</v>
      </c>
      <c r="N64" s="35" t="s">
        <v>13</v>
      </c>
      <c r="O64" s="9">
        <f t="shared" ca="1" si="72"/>
        <v>706</v>
      </c>
      <c r="P64" s="9">
        <f t="shared" ref="P64:P65" ca="1" si="73">_xlfn.XLOOKUP(M64,$X$1:$X$7,$Y$1:$Y$7,"erro",0,1)</f>
        <v>670</v>
      </c>
      <c r="Q64" s="9">
        <f ca="1">_xlfn.XLOOKUP(N64,$J$17:$J$23,$K$17:$K$23,"erro",0,1)-R65-R63</f>
        <v>0</v>
      </c>
      <c r="R64" s="44">
        <f t="shared" ca="1" si="52"/>
        <v>0</v>
      </c>
      <c r="S64" s="24">
        <f t="shared" ca="1" si="62"/>
        <v>0</v>
      </c>
      <c r="T64" s="46">
        <v>5</v>
      </c>
      <c r="V64" s="22" t="s">
        <v>9</v>
      </c>
      <c r="W64" s="9" t="s">
        <v>9</v>
      </c>
      <c r="X64" s="35" t="s">
        <v>13</v>
      </c>
      <c r="Y64" s="9">
        <f ca="1">_xlfn.XLOOKUP(V64,N$68:N$72,O$68:O$72,"erro",0,1)</f>
        <v>706</v>
      </c>
      <c r="Z64" s="9">
        <f ca="1">_xlfn.XLOOKUP(W64,N$68:N$72,P$68:P$72,"erro",0,1)</f>
        <v>670</v>
      </c>
      <c r="AA64" s="9">
        <f ca="1">_xlfn.XLOOKUP(X64,$J$17:$J$23,$L$17:$L$23,"erro",0,1)-AB65-AB63</f>
        <v>0</v>
      </c>
      <c r="AB64" s="44">
        <f t="shared" ca="1" si="53"/>
        <v>0</v>
      </c>
      <c r="AC64" s="24">
        <f t="shared" ca="1" si="63"/>
        <v>0</v>
      </c>
      <c r="AD64" s="46">
        <v>5</v>
      </c>
      <c r="AF64" s="22" t="s">
        <v>9</v>
      </c>
      <c r="AG64" s="9" t="s">
        <v>9</v>
      </c>
      <c r="AH64" s="35" t="s">
        <v>13</v>
      </c>
      <c r="AI64" s="9">
        <f ca="1">_xlfn.XLOOKUP(AF64,X$68:X$72,Y$68:Y$72,"erro",0,1)</f>
        <v>706</v>
      </c>
      <c r="AJ64" s="9">
        <f ca="1">_xlfn.XLOOKUP(AG64,X$68:X$72,Z$68:Z$72,"erro",0,1)</f>
        <v>670</v>
      </c>
      <c r="AK64" s="9">
        <f ca="1">_xlfn.XLOOKUP(AH64,$J$17:$J$23,$M$17:$M$23,"erro",0,1)-AL65-AL63</f>
        <v>0</v>
      </c>
      <c r="AL64" s="44">
        <f t="shared" ca="1" si="54"/>
        <v>0</v>
      </c>
      <c r="AM64" s="24">
        <f t="shared" ca="1" si="64"/>
        <v>0</v>
      </c>
      <c r="AN64" s="46">
        <v>5</v>
      </c>
      <c r="AP64" s="22" t="s">
        <v>9</v>
      </c>
      <c r="AQ64" s="9" t="s">
        <v>9</v>
      </c>
      <c r="AR64" s="35" t="s">
        <v>13</v>
      </c>
      <c r="AS64" s="9">
        <f ca="1">_xlfn.XLOOKUP(AP64,AH$68:AH$72,AI$68:AI$72,"erro",0,1)</f>
        <v>706</v>
      </c>
      <c r="AT64" s="9">
        <f ca="1">_xlfn.XLOOKUP(AQ64,AH$68:AH$72,AJ$68:AJ$72,"erro",0,1)</f>
        <v>670</v>
      </c>
      <c r="AU64" s="9">
        <f ca="1">_xlfn.XLOOKUP(AR64,$J$17:$J$23,$N$17:$N$23,"erro",0,1)-AV65-AV63</f>
        <v>0</v>
      </c>
      <c r="AV64" s="44">
        <f t="shared" ca="1" si="55"/>
        <v>0</v>
      </c>
      <c r="AW64" s="24">
        <f t="shared" ca="1" si="65"/>
        <v>0</v>
      </c>
      <c r="AX64" s="46">
        <v>5</v>
      </c>
      <c r="AZ64" s="22" t="s">
        <v>9</v>
      </c>
      <c r="BA64" s="9" t="s">
        <v>9</v>
      </c>
      <c r="BB64" s="35" t="s">
        <v>13</v>
      </c>
      <c r="BC64" s="9">
        <f ca="1">_xlfn.XLOOKUP(AZ64,AR$68:AR$72,AS$68:AS$72,"erro",0,1)</f>
        <v>706</v>
      </c>
      <c r="BD64" s="9">
        <f ca="1">_xlfn.XLOOKUP(BA64,AR$68:AR$72,AT$68:AT$72,"erro",0,1)</f>
        <v>670</v>
      </c>
      <c r="BE64" s="9">
        <f ca="1">_xlfn.XLOOKUP(BB64,$J$17:$J$23,$O$17:$O$23,"erro",0,1)-BF65-BF63</f>
        <v>0</v>
      </c>
      <c r="BF64" s="44">
        <f t="shared" ca="1" si="56"/>
        <v>0</v>
      </c>
      <c r="BG64" s="24">
        <f t="shared" ca="1" si="66"/>
        <v>0</v>
      </c>
      <c r="BH64" s="46">
        <v>5</v>
      </c>
      <c r="BJ64" s="22" t="s">
        <v>9</v>
      </c>
      <c r="BK64" s="9" t="s">
        <v>9</v>
      </c>
      <c r="BL64" s="35" t="s">
        <v>13</v>
      </c>
      <c r="BM64" s="9">
        <f ca="1">_xlfn.XLOOKUP(BJ64,BB$68:BB$72,BC$68:BC$72,"erro",0,1)</f>
        <v>706</v>
      </c>
      <c r="BN64" s="9">
        <f ca="1">_xlfn.XLOOKUP(BK64,BB$68:BB$72,BD$68:BD$72,"erro",0,1)</f>
        <v>670</v>
      </c>
      <c r="BO64" s="9">
        <f ca="1">_xlfn.XLOOKUP(BL64,$J$17:$J$23,$P$17:$P$23,"erro",0,1)-BP65-BP63</f>
        <v>0</v>
      </c>
      <c r="BP64" s="44">
        <f t="shared" ca="1" si="57"/>
        <v>0</v>
      </c>
      <c r="BQ64" s="24">
        <f t="shared" ca="1" si="67"/>
        <v>0</v>
      </c>
      <c r="BR64" s="46">
        <v>5</v>
      </c>
      <c r="BT64" s="22" t="s">
        <v>9</v>
      </c>
      <c r="BU64" s="9" t="s">
        <v>9</v>
      </c>
      <c r="BV64" s="35" t="s">
        <v>13</v>
      </c>
      <c r="BW64" s="9">
        <f ca="1">_xlfn.XLOOKUP(BT64,BL$68:BL$72,BM$68:BM$72,"erro",0,1)</f>
        <v>706</v>
      </c>
      <c r="BX64" s="9">
        <f ca="1">_xlfn.XLOOKUP(BU64,BL$68:BL$72,BN$68:BN$72,"erro",0,1)</f>
        <v>670</v>
      </c>
      <c r="BY64" s="9">
        <f ca="1">_xlfn.XLOOKUP(BV64,$J$17:$J$23,$Q$17:$Q$23,"erro",0,1)-BZ65-BZ63</f>
        <v>0</v>
      </c>
      <c r="BZ64" s="44">
        <f t="shared" ca="1" si="58"/>
        <v>0</v>
      </c>
      <c r="CA64" s="24">
        <f t="shared" ca="1" si="68"/>
        <v>0</v>
      </c>
      <c r="CB64" s="46">
        <v>5</v>
      </c>
      <c r="CD64" s="22" t="s">
        <v>9</v>
      </c>
      <c r="CE64" s="9" t="s">
        <v>9</v>
      </c>
      <c r="CF64" s="35" t="s">
        <v>13</v>
      </c>
      <c r="CG64" s="9">
        <f ca="1">_xlfn.XLOOKUP(CD64,BV$68:BV$72,BW$68:BW$72,"erro",0,1)</f>
        <v>706</v>
      </c>
      <c r="CH64" s="9">
        <f ca="1">_xlfn.XLOOKUP(CE64,BV$68:BV$72,BX$68:BX$72,"erro",0,1)</f>
        <v>670</v>
      </c>
      <c r="CI64" s="9">
        <f ca="1">_xlfn.XLOOKUP(CF64,$J$17:$J$23,$R$17:$R$23,"erro",0,1)-CJ65-CJ63</f>
        <v>0</v>
      </c>
      <c r="CJ64" s="44">
        <f t="shared" ca="1" si="59"/>
        <v>0</v>
      </c>
      <c r="CK64" s="24">
        <f t="shared" ca="1" si="69"/>
        <v>0</v>
      </c>
      <c r="CL64" s="46">
        <v>5</v>
      </c>
      <c r="CN64" s="22" t="s">
        <v>9</v>
      </c>
      <c r="CO64" s="9" t="s">
        <v>9</v>
      </c>
      <c r="CP64" s="35" t="s">
        <v>13</v>
      </c>
      <c r="CQ64" s="9">
        <f ca="1">_xlfn.XLOOKUP(CN64,CF$68:CF$72,CG$68:CG$72,"erro",0,1)</f>
        <v>706</v>
      </c>
      <c r="CR64" s="9">
        <f ca="1">_xlfn.XLOOKUP(CO64,CF$68:CF$72,CH$68:CH$72,"erro",0,1)</f>
        <v>670</v>
      </c>
      <c r="CS64" s="9">
        <f ca="1">_xlfn.XLOOKUP(CP64,$J$17:$J$23,$S$17:$S$23,"erro",0,1)-CT65-CT63</f>
        <v>0</v>
      </c>
      <c r="CT64" s="44">
        <f t="shared" ca="1" si="60"/>
        <v>0</v>
      </c>
      <c r="CU64" s="24">
        <f t="shared" ca="1" si="70"/>
        <v>0</v>
      </c>
      <c r="CV64" s="46">
        <v>5</v>
      </c>
      <c r="CX64" s="22" t="s">
        <v>9</v>
      </c>
      <c r="CY64" s="9" t="s">
        <v>9</v>
      </c>
      <c r="CZ64" s="35" t="s">
        <v>13</v>
      </c>
      <c r="DA64" s="9">
        <f ca="1">_xlfn.XLOOKUP(CX64,CP$68:CP$72,CQ$68:CQ$72,"erro",0,1)</f>
        <v>706</v>
      </c>
      <c r="DB64" s="9">
        <f ca="1">_xlfn.XLOOKUP(CY64,CP$68:CP$72,CR$68:CR$72,"erro",0,1)</f>
        <v>670</v>
      </c>
      <c r="DC64" s="9">
        <f ca="1">_xlfn.XLOOKUP(CZ64,$J$17:$J$23,$T$17:$T$23,"erro",0,1)-DD65-DD63</f>
        <v>0</v>
      </c>
      <c r="DD64" s="44">
        <f t="shared" ca="1" si="61"/>
        <v>0</v>
      </c>
      <c r="DE64" s="24">
        <f t="shared" ca="1" si="71"/>
        <v>0</v>
      </c>
      <c r="DF64" s="46">
        <v>5</v>
      </c>
      <c r="DH64"/>
      <c r="DI64"/>
      <c r="DJ64"/>
      <c r="DK64"/>
      <c r="DL64"/>
      <c r="DM64"/>
      <c r="DN64"/>
      <c r="DO64"/>
      <c r="DP64"/>
    </row>
    <row r="65" spans="1:120" ht="15.75" thickBot="1" x14ac:dyDescent="0.3">
      <c r="A65" s="2">
        <f t="shared" ca="1" si="0"/>
        <v>3.0048922592958207</v>
      </c>
      <c r="B65" cm="1">
        <f t="array" aca="1" ref="B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65" s="2">
        <f t="shared" ca="1" si="1"/>
        <v>3.0126037274304212</v>
      </c>
      <c r="D65" t="str" cm="1">
        <f t="array" aca="1" ref="D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5" s="2">
        <f t="shared" ca="1" si="2"/>
        <v>30.026037424980416</v>
      </c>
      <c r="F65" t="str" cm="1">
        <f t="array" aca="1" ref="F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5" s="2">
        <f t="shared" ca="1" si="3"/>
        <v>40.006318253714667</v>
      </c>
      <c r="H65" s="5" t="str" cm="1">
        <f t="array" aca="1" ref="H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L65" s="26" t="s">
        <v>10</v>
      </c>
      <c r="M65" s="27" t="s">
        <v>8</v>
      </c>
      <c r="N65" s="36" t="s">
        <v>13</v>
      </c>
      <c r="O65" s="27">
        <f ca="1">_xlfn.XLOOKUP(L65,$T$1:$T$7,$U$1:$U$7,"erro",0,1)</f>
        <v>630</v>
      </c>
      <c r="P65" s="27">
        <f t="shared" ca="1" si="73"/>
        <v>658</v>
      </c>
      <c r="Q65" s="27">
        <f ca="1">_xlfn.XLOOKUP(N65,$J$17:$J$23,$K$17:$K$23,"erro",0,1)</f>
        <v>0</v>
      </c>
      <c r="R65" s="45">
        <f t="shared" ca="1" si="52"/>
        <v>0</v>
      </c>
      <c r="S65" s="30">
        <f t="shared" ca="1" si="62"/>
        <v>0</v>
      </c>
      <c r="T65" s="46">
        <v>1</v>
      </c>
      <c r="V65" s="26" t="s">
        <v>10</v>
      </c>
      <c r="W65" s="27" t="s">
        <v>8</v>
      </c>
      <c r="X65" s="36" t="s">
        <v>13</v>
      </c>
      <c r="Y65" s="27">
        <f ca="1">_xlfn.XLOOKUP(V65,N$68:N$72,O$68:O$72,"erro",0,1)</f>
        <v>562</v>
      </c>
      <c r="Z65" s="27">
        <f ca="1">_xlfn.XLOOKUP(W65,N$68:N$72,P$68:P$72,"erro",0,1)</f>
        <v>658</v>
      </c>
      <c r="AA65" s="27">
        <f ca="1">_xlfn.XLOOKUP(X65,$J$17:$J$23,$L$17:$L$23,"erro",0,1)</f>
        <v>0</v>
      </c>
      <c r="AB65" s="45">
        <f t="shared" ca="1" si="53"/>
        <v>0</v>
      </c>
      <c r="AC65" s="30">
        <f t="shared" ca="1" si="63"/>
        <v>0</v>
      </c>
      <c r="AD65" s="46">
        <v>1</v>
      </c>
      <c r="AF65" s="26" t="s">
        <v>10</v>
      </c>
      <c r="AG65" s="27" t="s">
        <v>8</v>
      </c>
      <c r="AH65" s="36" t="s">
        <v>13</v>
      </c>
      <c r="AI65" s="27">
        <f ca="1">_xlfn.XLOOKUP(AF65,X$68:X$72,Y$68:Y$72,"erro",0,1)</f>
        <v>505</v>
      </c>
      <c r="AJ65" s="27">
        <f ca="1">_xlfn.XLOOKUP(AG65,X$68:X$72,Z$68:Z$72,"erro",0,1)</f>
        <v>658</v>
      </c>
      <c r="AK65" s="27">
        <f ca="1">_xlfn.XLOOKUP(AH65,$J$17:$J$23,$M$17:$M$23,"erro",0,1)</f>
        <v>0</v>
      </c>
      <c r="AL65" s="45">
        <f t="shared" ca="1" si="54"/>
        <v>0</v>
      </c>
      <c r="AM65" s="30">
        <f t="shared" ca="1" si="64"/>
        <v>0</v>
      </c>
      <c r="AN65" s="46">
        <v>1</v>
      </c>
      <c r="AP65" s="26" t="s">
        <v>10</v>
      </c>
      <c r="AQ65" s="27" t="s">
        <v>8</v>
      </c>
      <c r="AR65" s="36" t="s">
        <v>13</v>
      </c>
      <c r="AS65" s="27">
        <f ca="1">_xlfn.XLOOKUP(AP65,AH$68:AH$72,AI$68:AI$72,"erro",0,1)</f>
        <v>444</v>
      </c>
      <c r="AT65" s="27">
        <f ca="1">_xlfn.XLOOKUP(AQ65,AH$68:AH$72,AJ$68:AJ$72,"erro",0,1)</f>
        <v>658</v>
      </c>
      <c r="AU65" s="27">
        <f ca="1">_xlfn.XLOOKUP(AR65,$J$17:$J$23,$N$17:$N$23,"erro",0,1)</f>
        <v>0</v>
      </c>
      <c r="AV65" s="45">
        <f t="shared" ca="1" si="55"/>
        <v>0</v>
      </c>
      <c r="AW65" s="30">
        <f t="shared" ca="1" si="65"/>
        <v>0</v>
      </c>
      <c r="AX65" s="46">
        <v>1</v>
      </c>
      <c r="AZ65" s="26" t="s">
        <v>10</v>
      </c>
      <c r="BA65" s="27" t="s">
        <v>8</v>
      </c>
      <c r="BB65" s="36" t="s">
        <v>13</v>
      </c>
      <c r="BC65" s="27">
        <f ca="1">_xlfn.XLOOKUP(AZ65,AR$68:AR$72,AS$68:AS$72,"erro",0,1)</f>
        <v>374</v>
      </c>
      <c r="BD65" s="27">
        <f ca="1">_xlfn.XLOOKUP(BA65,AR$68:AR$72,AT$68:AT$72,"erro",0,1)</f>
        <v>658</v>
      </c>
      <c r="BE65" s="27">
        <f ca="1">_xlfn.XLOOKUP(BB65,$J$17:$J$23,$O$17:$O$23,"erro",0,1)</f>
        <v>0</v>
      </c>
      <c r="BF65" s="45">
        <f t="shared" ca="1" si="56"/>
        <v>0</v>
      </c>
      <c r="BG65" s="30">
        <f t="shared" ca="1" si="66"/>
        <v>0</v>
      </c>
      <c r="BH65" s="46">
        <v>1</v>
      </c>
      <c r="BJ65" s="26" t="s">
        <v>10</v>
      </c>
      <c r="BK65" s="27" t="s">
        <v>8</v>
      </c>
      <c r="BL65" s="36" t="s">
        <v>13</v>
      </c>
      <c r="BM65" s="27">
        <f ca="1">_xlfn.XLOOKUP(BJ65,BB$68:BB$72,BC$68:BC$72,"erro",0,1)</f>
        <v>309</v>
      </c>
      <c r="BN65" s="27">
        <f ca="1">_xlfn.XLOOKUP(BK65,BB$68:BB$72,BD$68:BD$72,"erro",0,1)</f>
        <v>658</v>
      </c>
      <c r="BO65" s="27">
        <f ca="1">_xlfn.XLOOKUP(BL65,$J$17:$J$23,$P$17:$P$23,"erro",0,1)</f>
        <v>0</v>
      </c>
      <c r="BP65" s="45">
        <f t="shared" ca="1" si="57"/>
        <v>0</v>
      </c>
      <c r="BQ65" s="30">
        <f t="shared" ca="1" si="67"/>
        <v>0</v>
      </c>
      <c r="BR65" s="46">
        <v>1</v>
      </c>
      <c r="BT65" s="26" t="s">
        <v>10</v>
      </c>
      <c r="BU65" s="27" t="s">
        <v>8</v>
      </c>
      <c r="BV65" s="36" t="s">
        <v>13</v>
      </c>
      <c r="BW65" s="27">
        <f ca="1">_xlfn.XLOOKUP(BT65,BL$68:BL$72,BM$68:BM$72,"erro",0,1)</f>
        <v>235</v>
      </c>
      <c r="BX65" s="27">
        <f ca="1">_xlfn.XLOOKUP(BU65,BL$68:BL$72,BN$68:BN$72,"erro",0,1)</f>
        <v>658</v>
      </c>
      <c r="BY65" s="27">
        <f ca="1">_xlfn.XLOOKUP(BV65,$J$17:$J$23,$Q$17:$Q$23,"erro",0,1)</f>
        <v>0</v>
      </c>
      <c r="BZ65" s="45">
        <f t="shared" ca="1" si="58"/>
        <v>0</v>
      </c>
      <c r="CA65" s="30">
        <f t="shared" ca="1" si="68"/>
        <v>0</v>
      </c>
      <c r="CB65" s="46">
        <v>1</v>
      </c>
      <c r="CD65" s="26" t="s">
        <v>10</v>
      </c>
      <c r="CE65" s="27" t="s">
        <v>8</v>
      </c>
      <c r="CF65" s="36" t="s">
        <v>13</v>
      </c>
      <c r="CG65" s="27">
        <f ca="1">_xlfn.XLOOKUP(CD65,BV$68:BV$72,BW$68:BW$72,"erro",0,1)</f>
        <v>150</v>
      </c>
      <c r="CH65" s="27">
        <f ca="1">_xlfn.XLOOKUP(CE65,BV$68:BV$72,BX$68:BX$72,"erro",0,1)</f>
        <v>658</v>
      </c>
      <c r="CI65" s="27">
        <f ca="1">_xlfn.XLOOKUP(CF65,$J$17:$J$23,$R$17:$R$23,"erro",0,1)</f>
        <v>0</v>
      </c>
      <c r="CJ65" s="45">
        <f t="shared" ca="1" si="59"/>
        <v>0</v>
      </c>
      <c r="CK65" s="30">
        <f t="shared" ca="1" si="69"/>
        <v>0</v>
      </c>
      <c r="CL65" s="46">
        <v>1</v>
      </c>
      <c r="CN65" s="26" t="s">
        <v>10</v>
      </c>
      <c r="CO65" s="27" t="s">
        <v>8</v>
      </c>
      <c r="CP65" s="36" t="s">
        <v>13</v>
      </c>
      <c r="CQ65" s="27">
        <f ca="1">_xlfn.XLOOKUP(CN65,CF$68:CF$72,CG$68:CG$72,"erro",0,1)</f>
        <v>63</v>
      </c>
      <c r="CR65" s="27">
        <f ca="1">_xlfn.XLOOKUP(CO65,CF$68:CF$72,CH$68:CH$72,"erro",0,1)</f>
        <v>658</v>
      </c>
      <c r="CS65" s="27">
        <f ca="1">_xlfn.XLOOKUP(CP65,$J$17:$J$23,$S$17:$S$23,"erro",0,1)</f>
        <v>0</v>
      </c>
      <c r="CT65" s="45">
        <f t="shared" ca="1" si="60"/>
        <v>0</v>
      </c>
      <c r="CU65" s="30">
        <f t="shared" ca="1" si="70"/>
        <v>0</v>
      </c>
      <c r="CV65" s="46">
        <v>1</v>
      </c>
      <c r="CX65" s="26" t="s">
        <v>10</v>
      </c>
      <c r="CY65" s="27" t="s">
        <v>8</v>
      </c>
      <c r="CZ65" s="36" t="s">
        <v>13</v>
      </c>
      <c r="DA65" s="27">
        <f ca="1">_xlfn.XLOOKUP(CX65,CP$68:CP$72,CQ$68:CQ$72,"erro",0,1)</f>
        <v>0</v>
      </c>
      <c r="DB65" s="27">
        <f ca="1">_xlfn.XLOOKUP(CY65,CP$68:CP$72,CR$68:CR$72,"erro",0,1)</f>
        <v>658</v>
      </c>
      <c r="DC65" s="27">
        <f ca="1">_xlfn.XLOOKUP(CZ65,$J$17:$J$23,$T$17:$T$23,"erro",0,1)</f>
        <v>0</v>
      </c>
      <c r="DD65" s="45">
        <f t="shared" ca="1" si="61"/>
        <v>0</v>
      </c>
      <c r="DE65" s="30">
        <f t="shared" ca="1" si="71"/>
        <v>0</v>
      </c>
      <c r="DF65" s="46">
        <v>1</v>
      </c>
      <c r="DH65"/>
      <c r="DI65"/>
      <c r="DJ65"/>
      <c r="DK65"/>
      <c r="DL65"/>
      <c r="DM65"/>
      <c r="DN65"/>
      <c r="DO65"/>
      <c r="DP65"/>
    </row>
    <row r="66" spans="1:120" x14ac:dyDescent="0.25">
      <c r="A66" s="2">
        <f t="shared" ref="A66:A129" ca="1" si="74">3+RAND()*0.01</f>
        <v>3.005941925026673</v>
      </c>
      <c r="B66" cm="1">
        <f t="array" aca="1" ref="B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66" s="2">
        <f t="shared" ref="C66:C129" ca="1" si="75">3+RAND()*0.03</f>
        <v>3.0046040279973223</v>
      </c>
      <c r="D66" t="str" cm="1">
        <f t="array" aca="1" ref="D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6" s="2">
        <f t="shared" ref="E66:E129" ca="1" si="76">30+RAND()*0.03</f>
        <v>30.009457490857006</v>
      </c>
      <c r="F66" t="str" cm="1">
        <f t="array" aca="1" ref="F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6" s="2">
        <f t="shared" ref="G66:G129" ca="1" si="77">40+RAND()*0.03</f>
        <v>40.017931852136378</v>
      </c>
      <c r="H66" s="5" t="str" cm="1">
        <f t="array" aca="1" ref="H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L66" s="14"/>
      <c r="M66" s="14"/>
      <c r="N66" s="14"/>
      <c r="O66" s="14"/>
      <c r="P66" s="14"/>
      <c r="Q66" s="14"/>
      <c r="R66" s="14"/>
      <c r="S66" s="14"/>
      <c r="T66" s="14"/>
      <c r="V66" s="14"/>
      <c r="W66" s="14"/>
      <c r="X66" s="14"/>
      <c r="Y66" s="14"/>
      <c r="Z66" s="14"/>
      <c r="AA66" s="14"/>
      <c r="AB66" s="14"/>
      <c r="AC66" s="14"/>
      <c r="AD66" s="14"/>
      <c r="AF66" s="14"/>
      <c r="AG66" s="14"/>
      <c r="AH66" s="14"/>
      <c r="AI66" s="14"/>
      <c r="AJ66" s="14"/>
      <c r="AK66" s="14"/>
      <c r="AL66" s="14"/>
      <c r="AM66" s="14"/>
      <c r="AN66" s="14"/>
      <c r="AP66" s="14"/>
      <c r="AQ66" s="14"/>
      <c r="AR66" s="14"/>
      <c r="AS66" s="14"/>
      <c r="AT66" s="14"/>
      <c r="AU66" s="14"/>
      <c r="AV66" s="14"/>
      <c r="AW66" s="14"/>
      <c r="AX66" s="14"/>
      <c r="AZ66" s="14"/>
      <c r="BA66" s="14"/>
      <c r="BB66" s="14"/>
      <c r="BC66" s="14"/>
      <c r="BD66" s="14"/>
      <c r="BE66" s="14"/>
      <c r="BF66" s="14"/>
      <c r="BG66" s="14"/>
      <c r="BH66" s="14"/>
      <c r="BJ66" s="14"/>
      <c r="BK66" s="14"/>
      <c r="BL66" s="14"/>
      <c r="BM66" s="14"/>
      <c r="BN66" s="14"/>
      <c r="BO66" s="14"/>
      <c r="BP66" s="14"/>
      <c r="BQ66" s="14"/>
      <c r="BR66" s="14"/>
      <c r="BT66" s="14"/>
      <c r="BU66" s="14"/>
      <c r="BV66" s="14"/>
      <c r="BW66" s="14"/>
      <c r="BX66" s="14"/>
      <c r="BY66" s="14"/>
      <c r="BZ66" s="14"/>
      <c r="CA66" s="14"/>
      <c r="CB66" s="14"/>
      <c r="CD66" s="14"/>
      <c r="CE66" s="14"/>
      <c r="CF66" s="14"/>
      <c r="CG66" s="14"/>
      <c r="CH66" s="14"/>
      <c r="CI66" s="14"/>
      <c r="CJ66" s="14"/>
      <c r="CK66" s="14"/>
      <c r="CL66" s="14"/>
      <c r="CN66" s="14"/>
      <c r="CO66" s="14"/>
      <c r="CP66" s="14"/>
      <c r="CQ66" s="14"/>
      <c r="CR66" s="14"/>
      <c r="CS66" s="14"/>
      <c r="CT66" s="14"/>
      <c r="CU66" s="14"/>
      <c r="CV66" s="14"/>
      <c r="CX66" s="14"/>
      <c r="CY66" s="14"/>
      <c r="CZ66" s="14"/>
      <c r="DA66" s="14"/>
      <c r="DB66" s="14"/>
      <c r="DC66" s="14"/>
      <c r="DD66" s="14"/>
      <c r="DE66" s="14"/>
      <c r="DF66" s="14"/>
      <c r="DH66"/>
      <c r="DI66"/>
      <c r="DJ66"/>
      <c r="DK66"/>
      <c r="DL66"/>
      <c r="DM66"/>
      <c r="DN66"/>
      <c r="DO66"/>
      <c r="DP66"/>
    </row>
    <row r="67" spans="1:120" x14ac:dyDescent="0.25">
      <c r="A67" s="2">
        <f t="shared" ca="1" si="74"/>
        <v>3.007349231698774</v>
      </c>
      <c r="B67" cm="1">
        <f t="array" aca="1" ref="B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67" s="2">
        <f t="shared" ca="1" si="75"/>
        <v>3.0254708094433589</v>
      </c>
      <c r="D67" t="str" cm="1">
        <f t="array" aca="1" ref="D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7" s="2">
        <f t="shared" ca="1" si="76"/>
        <v>30.018011929695636</v>
      </c>
      <c r="F67" t="str" cm="1">
        <f t="array" aca="1" ref="F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7" s="2">
        <f t="shared" ca="1" si="77"/>
        <v>40.005002236237111</v>
      </c>
      <c r="H67" s="5" t="str" cm="1">
        <f t="array" aca="1" ref="H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L67" s="14"/>
      <c r="M67"/>
      <c r="N67" s="51" t="s">
        <v>22</v>
      </c>
      <c r="O67" s="51" t="s">
        <v>17</v>
      </c>
      <c r="P67" s="51" t="s">
        <v>18</v>
      </c>
      <c r="Q67" s="51" t="s">
        <v>19</v>
      </c>
      <c r="R67"/>
      <c r="S67" s="14"/>
      <c r="T67" s="14"/>
      <c r="V67"/>
      <c r="W67"/>
      <c r="X67" s="51" t="s">
        <v>22</v>
      </c>
      <c r="Y67" s="51" t="s">
        <v>17</v>
      </c>
      <c r="Z67" s="51" t="s">
        <v>18</v>
      </c>
      <c r="AA67" s="51" t="s">
        <v>19</v>
      </c>
      <c r="AB67"/>
      <c r="AC67"/>
      <c r="AD67"/>
      <c r="AF67"/>
      <c r="AG67"/>
      <c r="AH67" s="51" t="s">
        <v>22</v>
      </c>
      <c r="AI67" s="51" t="s">
        <v>17</v>
      </c>
      <c r="AJ67" s="51" t="s">
        <v>18</v>
      </c>
      <c r="AK67" s="51" t="s">
        <v>19</v>
      </c>
      <c r="AL67"/>
      <c r="AM67"/>
      <c r="AN67"/>
      <c r="AP67"/>
      <c r="AQ67"/>
      <c r="AR67" s="51" t="s">
        <v>22</v>
      </c>
      <c r="AS67" s="51" t="s">
        <v>17</v>
      </c>
      <c r="AT67" s="51" t="s">
        <v>18</v>
      </c>
      <c r="AU67" s="51" t="s">
        <v>19</v>
      </c>
      <c r="AV67"/>
      <c r="AW67"/>
      <c r="AX67"/>
      <c r="AZ67"/>
      <c r="BA67"/>
      <c r="BB67" s="51" t="s">
        <v>22</v>
      </c>
      <c r="BC67" s="51" t="s">
        <v>17</v>
      </c>
      <c r="BD67" s="51" t="s">
        <v>18</v>
      </c>
      <c r="BE67" s="51" t="s">
        <v>19</v>
      </c>
      <c r="BF67"/>
      <c r="BG67"/>
      <c r="BH67"/>
      <c r="BJ67"/>
      <c r="BK67"/>
      <c r="BL67" s="51" t="s">
        <v>22</v>
      </c>
      <c r="BM67" s="51" t="s">
        <v>17</v>
      </c>
      <c r="BN67" s="51" t="s">
        <v>18</v>
      </c>
      <c r="BO67" s="51" t="s">
        <v>19</v>
      </c>
      <c r="BP67"/>
      <c r="BQ67"/>
      <c r="BR67"/>
      <c r="BT67"/>
      <c r="BU67"/>
      <c r="BV67" s="51" t="s">
        <v>22</v>
      </c>
      <c r="BW67" s="51" t="s">
        <v>17</v>
      </c>
      <c r="BX67" s="51" t="s">
        <v>18</v>
      </c>
      <c r="BY67" s="51" t="s">
        <v>19</v>
      </c>
      <c r="BZ67"/>
      <c r="CA67"/>
      <c r="CB67"/>
      <c r="CD67"/>
      <c r="CE67"/>
      <c r="CF67" s="51" t="s">
        <v>22</v>
      </c>
      <c r="CG67" s="51" t="s">
        <v>17</v>
      </c>
      <c r="CH67" s="51" t="s">
        <v>18</v>
      </c>
      <c r="CI67" s="51" t="s">
        <v>19</v>
      </c>
      <c r="CJ67"/>
      <c r="CK67"/>
      <c r="CL67"/>
      <c r="CN67"/>
      <c r="CO67"/>
      <c r="CP67" s="51" t="s">
        <v>22</v>
      </c>
      <c r="CQ67" s="51" t="s">
        <v>17</v>
      </c>
      <c r="CR67" s="51" t="s">
        <v>18</v>
      </c>
      <c r="CS67" s="51" t="s">
        <v>19</v>
      </c>
      <c r="CT67"/>
      <c r="CU67"/>
      <c r="CV67"/>
      <c r="CX67"/>
      <c r="CY67"/>
      <c r="CZ67" s="51" t="s">
        <v>22</v>
      </c>
      <c r="DA67" s="51" t="s">
        <v>17</v>
      </c>
      <c r="DB67" s="51" t="s">
        <v>18</v>
      </c>
      <c r="DC67" s="51" t="s">
        <v>19</v>
      </c>
      <c r="DD67"/>
      <c r="DE67"/>
      <c r="DF67"/>
      <c r="DG67" s="1">
        <v>1</v>
      </c>
      <c r="DH67"/>
      <c r="DI67"/>
      <c r="DJ67"/>
      <c r="DK67"/>
      <c r="DL67"/>
      <c r="DM67"/>
      <c r="DN67"/>
      <c r="DO67"/>
      <c r="DP67"/>
    </row>
    <row r="68" spans="1:120" x14ac:dyDescent="0.25">
      <c r="A68" s="2">
        <f t="shared" ca="1" si="74"/>
        <v>3.0048982130458421</v>
      </c>
      <c r="B68" cm="1">
        <f t="array" aca="1" ref="B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68" s="2">
        <f t="shared" ca="1" si="75"/>
        <v>3.0250334691933038</v>
      </c>
      <c r="D68" t="str" cm="1">
        <f t="array" aca="1" ref="D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8" s="2">
        <f t="shared" ca="1" si="76"/>
        <v>30.020404395440249</v>
      </c>
      <c r="F68" t="str" cm="1">
        <f t="array" aca="1" ref="F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8" s="2">
        <f t="shared" ca="1" si="77"/>
        <v>40.013234312127935</v>
      </c>
      <c r="H68" s="5" t="str" cm="1">
        <f t="array" aca="1" ref="H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L68" s="14"/>
      <c r="M68" s="52"/>
      <c r="N68" s="9" t="s">
        <v>8</v>
      </c>
      <c r="O68" s="9">
        <f ca="1">_xlfn.XLOOKUP(N68,$T$1:$T$7,$U$1:$U$7,"ERRO",0,1)-R54-R59-R63</f>
        <v>664</v>
      </c>
      <c r="P68" s="9">
        <f ca="1">_xlfn.XLOOKUP(N68,$X$1:$X$7,$Y$1:$Y$7,"ERRO",0,1)-R65-R62-R58</f>
        <v>658</v>
      </c>
      <c r="Q68" s="9">
        <f ca="1">_xlfn.XLOOKUP(N68,$P$1:$P$7,$Q$1:$Q$7,"ERRO",0,1)-R47-R48-R49</f>
        <v>614</v>
      </c>
      <c r="R68" s="52"/>
      <c r="S68" s="14"/>
      <c r="T68" s="14"/>
      <c r="V68"/>
      <c r="W68"/>
      <c r="X68" s="9" t="s">
        <v>8</v>
      </c>
      <c r="Y68" s="9">
        <f ca="1">O68-AB54-AB59-AB63</f>
        <v>664</v>
      </c>
      <c r="Z68" s="9">
        <f ca="1">P68-AB65-AB62-AB58</f>
        <v>658</v>
      </c>
      <c r="AA68" s="9">
        <f ca="1">Q68-AB47-AB48-AB49</f>
        <v>614</v>
      </c>
      <c r="AB68"/>
      <c r="AC68"/>
      <c r="AD68"/>
      <c r="AF68"/>
      <c r="AG68"/>
      <c r="AH68" s="9" t="s">
        <v>8</v>
      </c>
      <c r="AI68" s="9">
        <f ca="1">Y68-AL54-AL59-AL63</f>
        <v>664</v>
      </c>
      <c r="AJ68" s="9">
        <f ca="1">Z68-AL65-AL62-AL58</f>
        <v>658</v>
      </c>
      <c r="AK68" s="9">
        <f ca="1">AA68-AL47-AL48-AL49</f>
        <v>614</v>
      </c>
      <c r="AL68"/>
      <c r="AM68"/>
      <c r="AN68"/>
      <c r="AP68"/>
      <c r="AQ68"/>
      <c r="AR68" s="9" t="s">
        <v>8</v>
      </c>
      <c r="AS68" s="9">
        <f ca="1">AI68-AV54-AV59-AV63</f>
        <v>664</v>
      </c>
      <c r="AT68" s="9">
        <f ca="1">AJ68-AV65-AV62-AV58</f>
        <v>658</v>
      </c>
      <c r="AU68" s="9">
        <f ca="1">AK68-AV47-AV48-AV49</f>
        <v>614</v>
      </c>
      <c r="AV68"/>
      <c r="AW68"/>
      <c r="AX68"/>
      <c r="AZ68"/>
      <c r="BA68"/>
      <c r="BB68" s="9" t="s">
        <v>8</v>
      </c>
      <c r="BC68" s="9">
        <f ca="1">AS68-BF54-BF59-BF63</f>
        <v>664</v>
      </c>
      <c r="BD68" s="9">
        <f ca="1">AT68-BF65-BF62-BF58</f>
        <v>658</v>
      </c>
      <c r="BE68" s="9">
        <f ca="1">AU68-BF47-BF48-BF49</f>
        <v>614</v>
      </c>
      <c r="BF68"/>
      <c r="BG68"/>
      <c r="BH68"/>
      <c r="BJ68"/>
      <c r="BK68"/>
      <c r="BL68" s="9" t="s">
        <v>8</v>
      </c>
      <c r="BM68" s="9">
        <f ca="1">BC68-BP54-BP59-BP63</f>
        <v>664</v>
      </c>
      <c r="BN68" s="9">
        <f ca="1">BD68-BP65-BP62-BP58</f>
        <v>658</v>
      </c>
      <c r="BO68" s="9">
        <f ca="1">BE68-BP47-BP48-BP49</f>
        <v>614</v>
      </c>
      <c r="BP68"/>
      <c r="BQ68"/>
      <c r="BR68"/>
      <c r="BT68"/>
      <c r="BU68"/>
      <c r="BV68" s="9" t="s">
        <v>8</v>
      </c>
      <c r="BW68" s="9">
        <f ca="1">BM68-BZ54-BZ59-BZ63</f>
        <v>664</v>
      </c>
      <c r="BX68" s="9">
        <f ca="1">BN68-BZ65-BZ62-BZ58</f>
        <v>658</v>
      </c>
      <c r="BY68" s="9">
        <f ca="1">BO68-BZ47-BZ48-BZ49</f>
        <v>614</v>
      </c>
      <c r="BZ68"/>
      <c r="CA68"/>
      <c r="CB68"/>
      <c r="CD68"/>
      <c r="CE68"/>
      <c r="CF68" s="9" t="s">
        <v>8</v>
      </c>
      <c r="CG68" s="9">
        <f ca="1">BW68-CJ54-CJ59-CJ63</f>
        <v>664</v>
      </c>
      <c r="CH68" s="9">
        <f ca="1">BX68-CJ65-CJ62-CJ58</f>
        <v>658</v>
      </c>
      <c r="CI68" s="9">
        <f ca="1">BY68-CJ47-CJ48-CJ49</f>
        <v>614</v>
      </c>
      <c r="CJ68"/>
      <c r="CK68"/>
      <c r="CL68"/>
      <c r="CN68"/>
      <c r="CO68"/>
      <c r="CP68" s="9" t="s">
        <v>8</v>
      </c>
      <c r="CQ68" s="9">
        <f ca="1">CG68-CT54-CT59-CT63</f>
        <v>664</v>
      </c>
      <c r="CR68" s="9">
        <f ca="1">CH68-CT65-CT62-CT58</f>
        <v>658</v>
      </c>
      <c r="CS68" s="9">
        <f ca="1">CI68-CT47-CT48-CT49</f>
        <v>614</v>
      </c>
      <c r="CT68"/>
      <c r="CU68"/>
      <c r="CV68"/>
      <c r="CX68"/>
      <c r="CY68"/>
      <c r="CZ68" s="9" t="s">
        <v>8</v>
      </c>
      <c r="DA68" s="9">
        <f ca="1">CQ68-DD54-DD59-DD63</f>
        <v>664</v>
      </c>
      <c r="DB68" s="9">
        <f ca="1">CR68-DD65-DD62-DD58</f>
        <v>658</v>
      </c>
      <c r="DC68" s="9">
        <f ca="1">CS68-DD47-DD48-DD49</f>
        <v>614</v>
      </c>
      <c r="DD68"/>
      <c r="DE68"/>
      <c r="DF68"/>
      <c r="DG68" s="1">
        <v>2</v>
      </c>
      <c r="DH68"/>
      <c r="DI68"/>
      <c r="DJ68"/>
      <c r="DK68"/>
      <c r="DL68"/>
      <c r="DM68"/>
      <c r="DN68"/>
      <c r="DO68"/>
      <c r="DP68"/>
    </row>
    <row r="69" spans="1:120" x14ac:dyDescent="0.25">
      <c r="A69" s="2">
        <f t="shared" ca="1" si="74"/>
        <v>3.0073893281201451</v>
      </c>
      <c r="B69" cm="1">
        <f t="array" aca="1" ref="B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69" s="2">
        <f t="shared" ca="1" si="75"/>
        <v>3.015732784767819</v>
      </c>
      <c r="D69" t="str" cm="1">
        <f t="array" aca="1" ref="D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9" s="2">
        <f t="shared" ca="1" si="76"/>
        <v>30.027474990423677</v>
      </c>
      <c r="F69" t="str" cm="1">
        <f t="array" aca="1" ref="F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9" s="2">
        <f t="shared" ca="1" si="77"/>
        <v>40.020220998836145</v>
      </c>
      <c r="H69" s="5" t="str" cm="1">
        <f t="array" aca="1" ref="H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L69" s="14"/>
      <c r="M69" s="52"/>
      <c r="N69" s="9" t="s">
        <v>9</v>
      </c>
      <c r="O69" s="9">
        <f ca="1">_xlfn.XLOOKUP(N$69,$T$1:$T$7,$U$1:$U$7,"ERRO",0,1)-R50-R55-R60-R64</f>
        <v>706</v>
      </c>
      <c r="P69" s="9">
        <f ca="1">_xlfn.XLOOKUP(N69,$X$1:$X$7,$Y$1:$Y$7,"ERRO",0,1)-R64-R61-R57-R53</f>
        <v>670</v>
      </c>
      <c r="Q69" s="9">
        <f ca="1">_xlfn.XLOOKUP(N69,$P$1:$P$7,$Q$1:$Q$7,"ERRO",0,1)-R50-R51-R52-R53</f>
        <v>671</v>
      </c>
      <c r="R69" s="52"/>
      <c r="S69" s="14"/>
      <c r="T69" s="14"/>
      <c r="V69"/>
      <c r="W69"/>
      <c r="X69" s="9" t="s">
        <v>9</v>
      </c>
      <c r="Y69" s="9">
        <f ca="1">O69-AB50-AB55-AB60-AB64</f>
        <v>706</v>
      </c>
      <c r="Z69" s="9">
        <f ca="1">P69-AB64-AB61-AB57-AB53</f>
        <v>670</v>
      </c>
      <c r="AA69" s="9">
        <f ca="1">Q69-AB50-AB51-AB52-AB53</f>
        <v>671</v>
      </c>
      <c r="AB69"/>
      <c r="AC69"/>
      <c r="AD69"/>
      <c r="AF69"/>
      <c r="AG69"/>
      <c r="AH69" s="9" t="s">
        <v>9</v>
      </c>
      <c r="AI69" s="9">
        <f ca="1">Y69-AL50-AL55-AL60-AL64</f>
        <v>706</v>
      </c>
      <c r="AJ69" s="9">
        <f ca="1">Z69-AL64-AL61-AL57-AL53</f>
        <v>670</v>
      </c>
      <c r="AK69" s="9">
        <f ca="1">AA69-AL50-AL51-AL52-AL53</f>
        <v>671</v>
      </c>
      <c r="AL69"/>
      <c r="AM69"/>
      <c r="AN69"/>
      <c r="AP69"/>
      <c r="AQ69"/>
      <c r="AR69" s="9" t="s">
        <v>9</v>
      </c>
      <c r="AS69" s="9">
        <f ca="1">AI69-AV50-AV55-AV60-AV64</f>
        <v>706</v>
      </c>
      <c r="AT69" s="9">
        <f ca="1">AJ69-AV64-AV61-AV57-AV53</f>
        <v>670</v>
      </c>
      <c r="AU69" s="9">
        <f ca="1">AK69-AV50-AV51-AV52-AV53</f>
        <v>671</v>
      </c>
      <c r="AV69"/>
      <c r="AW69"/>
      <c r="AX69"/>
      <c r="AZ69"/>
      <c r="BA69"/>
      <c r="BB69" s="9" t="s">
        <v>9</v>
      </c>
      <c r="BC69" s="9">
        <f ca="1">AS69-BF50-BF55-BF60-BF64</f>
        <v>706</v>
      </c>
      <c r="BD69" s="9">
        <f ca="1">AT69-BF64-BF61-BF57-BF53</f>
        <v>670</v>
      </c>
      <c r="BE69" s="9">
        <f ca="1">AU69-BF50-BF51-BF52-BF53</f>
        <v>671</v>
      </c>
      <c r="BF69"/>
      <c r="BG69"/>
      <c r="BH69"/>
      <c r="BJ69"/>
      <c r="BK69"/>
      <c r="BL69" s="9" t="s">
        <v>9</v>
      </c>
      <c r="BM69" s="9">
        <f ca="1">BC69-BP50-BP55-BP60-BP64</f>
        <v>706</v>
      </c>
      <c r="BN69" s="9">
        <f ca="1">BD69-BP64-BP61-BP57-BP53</f>
        <v>670</v>
      </c>
      <c r="BO69" s="9">
        <f ca="1">BE69-BP50-BP51-BP52-BP53</f>
        <v>671</v>
      </c>
      <c r="BP69"/>
      <c r="BQ69"/>
      <c r="BR69"/>
      <c r="BT69"/>
      <c r="BU69"/>
      <c r="BV69" s="9" t="s">
        <v>9</v>
      </c>
      <c r="BW69" s="9">
        <f ca="1">BM69-BZ50-BZ55-BZ60-BZ64</f>
        <v>706</v>
      </c>
      <c r="BX69" s="9">
        <f ca="1">BN69-BZ64-BZ61-BZ57-BZ53</f>
        <v>670</v>
      </c>
      <c r="BY69" s="9">
        <f ca="1">BO69-BZ50-BZ51-BZ52-BZ53</f>
        <v>671</v>
      </c>
      <c r="BZ69"/>
      <c r="CA69"/>
      <c r="CB69"/>
      <c r="CD69"/>
      <c r="CE69"/>
      <c r="CF69" s="9" t="s">
        <v>9</v>
      </c>
      <c r="CG69" s="9">
        <f ca="1">BW69-CJ50-CJ55-CJ60-CJ64</f>
        <v>706</v>
      </c>
      <c r="CH69" s="9">
        <f ca="1">BX69-CJ64-CJ61-CJ57-CJ53</f>
        <v>670</v>
      </c>
      <c r="CI69" s="9">
        <f ca="1">BY69-CJ50-CJ51-CJ52-CJ53</f>
        <v>671</v>
      </c>
      <c r="CJ69"/>
      <c r="CK69"/>
      <c r="CL69"/>
      <c r="CN69"/>
      <c r="CO69"/>
      <c r="CP69" s="9" t="s">
        <v>9</v>
      </c>
      <c r="CQ69" s="9">
        <f ca="1">CG69-CT50-CT55-CT60-CT64</f>
        <v>706</v>
      </c>
      <c r="CR69" s="9">
        <f ca="1">CH69-CT64-CT61-CT57-CT53</f>
        <v>670</v>
      </c>
      <c r="CS69" s="9">
        <f ca="1">CI69-CT50-CT51-CT52-CT53</f>
        <v>671</v>
      </c>
      <c r="CT69"/>
      <c r="CU69"/>
      <c r="CV69"/>
      <c r="CX69"/>
      <c r="CY69"/>
      <c r="CZ69" s="9" t="s">
        <v>9</v>
      </c>
      <c r="DA69" s="9">
        <f ca="1">CQ69-DD50-DD55-DD60-DD64</f>
        <v>706</v>
      </c>
      <c r="DB69" s="9">
        <f ca="1">CR69-DD64-DD61-DD57-DD53</f>
        <v>670</v>
      </c>
      <c r="DC69" s="9">
        <f ca="1">CS69-DD50-DD51-DD52-DD53</f>
        <v>671</v>
      </c>
      <c r="DD69"/>
      <c r="DE69"/>
      <c r="DF69"/>
      <c r="DH69"/>
      <c r="DI69"/>
      <c r="DJ69"/>
      <c r="DK69"/>
      <c r="DL69"/>
      <c r="DM69"/>
      <c r="DN69"/>
      <c r="DO69"/>
      <c r="DP69"/>
    </row>
    <row r="70" spans="1:120" x14ac:dyDescent="0.25">
      <c r="A70" s="2">
        <f t="shared" ca="1" si="74"/>
        <v>3.0040128949998413</v>
      </c>
      <c r="B70" cm="1">
        <f t="array" aca="1" ref="B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70" s="2">
        <f t="shared" ca="1" si="75"/>
        <v>3.0281059585912771</v>
      </c>
      <c r="D70" t="str" cm="1">
        <f t="array" aca="1" ref="D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0" s="2">
        <f t="shared" ca="1" si="76"/>
        <v>30.004251861796281</v>
      </c>
      <c r="F70" t="str" cm="1">
        <f t="array" aca="1" ref="F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0" s="2">
        <f t="shared" ca="1" si="77"/>
        <v>40.01744920489476</v>
      </c>
      <c r="H70" s="5" t="str" cm="1">
        <f t="array" aca="1" ref="H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L70" s="14"/>
      <c r="M70" s="52"/>
      <c r="N70" s="9" t="s">
        <v>10</v>
      </c>
      <c r="O70" s="9">
        <f ca="1">_xlfn.XLOOKUP(N70,$T$1:$T$7,$U$1:$U$7,"ERRO",0,1)-R47-R51-R56-R61-R65</f>
        <v>562</v>
      </c>
      <c r="P70" s="9">
        <f ca="1">_xlfn.XLOOKUP(N70,$X$1:$X$7,$Y$1:$Y$7,"ERRO",0,1)-R49-R52-R56-R60-R63</f>
        <v>604</v>
      </c>
      <c r="Q70" s="9">
        <f ca="1">_xlfn.XLOOKUP(N70,$P$1:$P$7,$Q$1:$Q$7,"ERRO",0,1)-R54-R55-R56-R57-R58</f>
        <v>647</v>
      </c>
      <c r="R70" s="52"/>
      <c r="S70" s="14"/>
      <c r="T70" s="14"/>
      <c r="V70"/>
      <c r="W70"/>
      <c r="X70" s="9" t="s">
        <v>10</v>
      </c>
      <c r="Y70" s="9">
        <f ca="1">O70-AB47-AB51-AB56-AB61-AB65</f>
        <v>505</v>
      </c>
      <c r="Z70" s="9">
        <f ca="1">P70-AB49-AB52-AB56-AB60-AB63</f>
        <v>547</v>
      </c>
      <c r="AA70" s="9">
        <f ca="1">Q70-AB54-AB55-AB56-AB57-AB58</f>
        <v>590</v>
      </c>
      <c r="AB70"/>
      <c r="AC70"/>
      <c r="AD70"/>
      <c r="AF70"/>
      <c r="AG70"/>
      <c r="AH70" s="9" t="s">
        <v>10</v>
      </c>
      <c r="AI70" s="9">
        <f ca="1">Y70-AL47-AL51-AL56-AL61-AL65</f>
        <v>444</v>
      </c>
      <c r="AJ70" s="9">
        <f ca="1">Z70-AL49-AL52-AL56-AL60-AL63</f>
        <v>486</v>
      </c>
      <c r="AK70" s="9">
        <f ca="1">AA70-AL54-AL55-AL56-AL57-AL58</f>
        <v>529</v>
      </c>
      <c r="AL70"/>
      <c r="AM70"/>
      <c r="AN70"/>
      <c r="AP70"/>
      <c r="AQ70"/>
      <c r="AR70" s="9" t="s">
        <v>10</v>
      </c>
      <c r="AS70" s="9">
        <f ca="1">AI70-AV47-AV51-AV56-AV61-AV65</f>
        <v>374</v>
      </c>
      <c r="AT70" s="9">
        <f ca="1">AJ70-AV49-AV52-AV56-AV60-AV63</f>
        <v>416</v>
      </c>
      <c r="AU70" s="9">
        <f ca="1">AK70-AV54-AV55-AV56-AV57-AV58</f>
        <v>459</v>
      </c>
      <c r="AV70"/>
      <c r="AW70"/>
      <c r="AX70"/>
      <c r="AZ70"/>
      <c r="BA70"/>
      <c r="BB70" s="9" t="s">
        <v>10</v>
      </c>
      <c r="BC70" s="9">
        <f ca="1">AS70-BF47-BF51-BF56-BF61-BF65</f>
        <v>309</v>
      </c>
      <c r="BD70" s="9">
        <f ca="1">AT70-BF49-BF52-BF56-BF60-BF63</f>
        <v>351</v>
      </c>
      <c r="BE70" s="9">
        <f ca="1">AU70-BF54-BF55-BF56-BF57-BF58</f>
        <v>394</v>
      </c>
      <c r="BF70"/>
      <c r="BG70"/>
      <c r="BH70"/>
      <c r="BJ70"/>
      <c r="BK70"/>
      <c r="BL70" s="9" t="s">
        <v>10</v>
      </c>
      <c r="BM70" s="9">
        <f ca="1">BC70-BP47-BP51-BP56-BP61-BP65</f>
        <v>235</v>
      </c>
      <c r="BN70" s="9">
        <f ca="1">BD70-BP49-BP52-BP56-BP60-BP63</f>
        <v>277</v>
      </c>
      <c r="BO70" s="9">
        <f ca="1">BE70-BP54-BP55-BP56-BP57-BP58</f>
        <v>320</v>
      </c>
      <c r="BP70"/>
      <c r="BQ70"/>
      <c r="BR70"/>
      <c r="BT70"/>
      <c r="BU70"/>
      <c r="BV70" s="9" t="s">
        <v>10</v>
      </c>
      <c r="BW70" s="9">
        <f ca="1">BM70-BZ47-BZ51-BZ56-BZ61-BZ65</f>
        <v>150</v>
      </c>
      <c r="BX70" s="9">
        <f ca="1">BN70-BZ49-BZ52-BZ56-BZ60-BZ63</f>
        <v>192</v>
      </c>
      <c r="BY70" s="9">
        <f ca="1">BO70-BZ54-BZ55-BZ56-BZ57-BZ58</f>
        <v>235</v>
      </c>
      <c r="BZ70"/>
      <c r="CA70"/>
      <c r="CB70"/>
      <c r="CD70"/>
      <c r="CE70"/>
      <c r="CF70" s="9" t="s">
        <v>10</v>
      </c>
      <c r="CG70" s="9">
        <f ca="1">BW70-CJ47-CJ51-CJ56-CJ61-CJ65</f>
        <v>63</v>
      </c>
      <c r="CH70" s="9">
        <f ca="1">BX70-CJ49-CJ52-CJ56-CJ60-CJ63</f>
        <v>105</v>
      </c>
      <c r="CI70" s="9">
        <f ca="1">BY70-CJ54-CJ55-CJ56-CJ57-CJ58</f>
        <v>148</v>
      </c>
      <c r="CJ70"/>
      <c r="CK70"/>
      <c r="CL70"/>
      <c r="CN70"/>
      <c r="CO70"/>
      <c r="CP70" s="9" t="s">
        <v>10</v>
      </c>
      <c r="CQ70" s="9">
        <f ca="1">CG70-CT47-CT51-CT56-CT61-CT65</f>
        <v>0</v>
      </c>
      <c r="CR70" s="9">
        <f ca="1">CH70-CT49-CT52-CT56-CT60-CT63</f>
        <v>42</v>
      </c>
      <c r="CS70" s="9">
        <f ca="1">CI70-CT54-CT55-CT56-CT57-CT58</f>
        <v>85</v>
      </c>
      <c r="CT70"/>
      <c r="CU70"/>
      <c r="CV70"/>
      <c r="CX70"/>
      <c r="CY70"/>
      <c r="CZ70" s="9" t="s">
        <v>10</v>
      </c>
      <c r="DA70" s="9">
        <f ca="1">CQ70-DD47-DD51-DD56-DD61-DD65</f>
        <v>0</v>
      </c>
      <c r="DB70" s="9">
        <f ca="1">CR70-DD49-DD52-DD56-DD60-DD63</f>
        <v>42</v>
      </c>
      <c r="DC70" s="9">
        <f ca="1">CS70-DD54-DD55-DD56-DD57-DD58</f>
        <v>85</v>
      </c>
      <c r="DD70"/>
      <c r="DE70"/>
      <c r="DF70"/>
      <c r="DH70"/>
      <c r="DI70"/>
      <c r="DJ70"/>
      <c r="DK70"/>
      <c r="DL70"/>
      <c r="DM70"/>
      <c r="DN70"/>
      <c r="DO70"/>
      <c r="DP70"/>
    </row>
    <row r="71" spans="1:120" x14ac:dyDescent="0.25">
      <c r="A71" s="2">
        <f t="shared" ca="1" si="74"/>
        <v>3.0048810111715087</v>
      </c>
      <c r="B71" cm="1">
        <f t="array" aca="1" ref="B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71" s="2">
        <f t="shared" ca="1" si="75"/>
        <v>3.0048806785950668</v>
      </c>
      <c r="D71" t="str" cm="1">
        <f t="array" aca="1" ref="D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1" s="2">
        <f t="shared" ca="1" si="76"/>
        <v>30.009038727771209</v>
      </c>
      <c r="F71" t="str" cm="1">
        <f t="array" aca="1" ref="F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1" s="2">
        <f t="shared" ca="1" si="77"/>
        <v>40.014072037799451</v>
      </c>
      <c r="H71" s="5" t="str" cm="1">
        <f t="array" aca="1" ref="H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  <c r="L71" s="14"/>
      <c r="M71" s="52"/>
      <c r="N71" s="9" t="s">
        <v>11</v>
      </c>
      <c r="O71" s="9">
        <f ca="1">_xlfn.XLOOKUP(N71,$T$1:$T$7,$U$1:$U$7,"ERRO",0,1)-R48-R52-R57-R62</f>
        <v>0</v>
      </c>
      <c r="P71" s="9">
        <f ca="1">_xlfn.XLOOKUP(N71,$X$1:$X$7,$Y$1:$Y$7,"ERRO",0,1)-R59-R55-R48-R51</f>
        <v>0</v>
      </c>
      <c r="Q71" s="9">
        <f ca="1">_xlfn.XLOOKUP(N71,$P$1:$P$7,$Q$1:$Q$7,"ERRO",0,1)-R59-R60-R61-R62</f>
        <v>0</v>
      </c>
      <c r="R71" s="52"/>
      <c r="S71" s="14"/>
      <c r="T71" s="14"/>
      <c r="V71"/>
      <c r="W71"/>
      <c r="X71" s="9" t="s">
        <v>11</v>
      </c>
      <c r="Y71" s="9">
        <f ca="1">O71-AB48-AB52-AB57-AB62</f>
        <v>0</v>
      </c>
      <c r="Z71" s="9">
        <f ca="1">P71-AB59-AB55-AB48-AB51</f>
        <v>0</v>
      </c>
      <c r="AA71" s="9">
        <f ca="1">Q71-AB59-AB60-AB61-AB62</f>
        <v>0</v>
      </c>
      <c r="AB71"/>
      <c r="AC71"/>
      <c r="AD71"/>
      <c r="AF71"/>
      <c r="AG71"/>
      <c r="AH71" s="9" t="s">
        <v>11</v>
      </c>
      <c r="AI71" s="9">
        <f ca="1">Y71-AL48-AL52-AL57-AL62</f>
        <v>0</v>
      </c>
      <c r="AJ71" s="9">
        <f ca="1">Z71-AL59-AL55-AL48-AL51</f>
        <v>0</v>
      </c>
      <c r="AK71" s="9">
        <f ca="1">AA71-AL59-AL60-AL61-AL62</f>
        <v>0</v>
      </c>
      <c r="AL71"/>
      <c r="AM71"/>
      <c r="AN71"/>
      <c r="AP71"/>
      <c r="AQ71"/>
      <c r="AR71" s="9" t="s">
        <v>11</v>
      </c>
      <c r="AS71" s="9">
        <f ca="1">AI71-AV48-AV52-AV57-AV62</f>
        <v>0</v>
      </c>
      <c r="AT71" s="9">
        <f ca="1">AJ71-AV59-AV55-AV48-AV51</f>
        <v>0</v>
      </c>
      <c r="AU71" s="9">
        <f ca="1">AK71-AV59-AV60-AV61-AV62</f>
        <v>0</v>
      </c>
      <c r="AV71"/>
      <c r="AW71"/>
      <c r="AX71"/>
      <c r="AZ71"/>
      <c r="BA71"/>
      <c r="BB71" s="9" t="s">
        <v>11</v>
      </c>
      <c r="BC71" s="9">
        <f ca="1">AS71-BF48-BF52-BF57-BF62</f>
        <v>0</v>
      </c>
      <c r="BD71" s="9">
        <f ca="1">AT71-BF59-BF55-BF48-BF51</f>
        <v>0</v>
      </c>
      <c r="BE71" s="9">
        <f ca="1">AU71-BF59-BF60-BF61-BF62</f>
        <v>0</v>
      </c>
      <c r="BF71"/>
      <c r="BG71"/>
      <c r="BH71"/>
      <c r="BJ71"/>
      <c r="BK71"/>
      <c r="BL71" s="9" t="s">
        <v>11</v>
      </c>
      <c r="BM71" s="9">
        <f ca="1">BC71-BP48-BP52-BP57-BP62</f>
        <v>0</v>
      </c>
      <c r="BN71" s="9">
        <f ca="1">BD71-BP59-BP55-BP48-BP51</f>
        <v>0</v>
      </c>
      <c r="BO71" s="9">
        <f ca="1">BE71-BP59-BP60-BP61-BP62</f>
        <v>0</v>
      </c>
      <c r="BP71"/>
      <c r="BQ71"/>
      <c r="BR71"/>
      <c r="BT71"/>
      <c r="BU71"/>
      <c r="BV71" s="9" t="s">
        <v>11</v>
      </c>
      <c r="BW71" s="9">
        <f ca="1">BM71-BZ48-BZ52-BZ57-BZ62</f>
        <v>0</v>
      </c>
      <c r="BX71" s="9">
        <f ca="1">BN71-BZ59-BZ55-BZ48-BZ51</f>
        <v>0</v>
      </c>
      <c r="BY71" s="9">
        <f ca="1">BO71-BZ59-BZ60-BZ61-BZ62</f>
        <v>0</v>
      </c>
      <c r="BZ71"/>
      <c r="CA71"/>
      <c r="CB71"/>
      <c r="CD71"/>
      <c r="CE71"/>
      <c r="CF71" s="9" t="s">
        <v>11</v>
      </c>
      <c r="CG71" s="9">
        <f ca="1">BW71-CJ48-CJ52-CJ57-CJ62</f>
        <v>0</v>
      </c>
      <c r="CH71" s="9">
        <f ca="1">BX71-CJ59-CJ55-CJ48-CJ51</f>
        <v>0</v>
      </c>
      <c r="CI71" s="9">
        <f ca="1">BY71-CJ59-CJ60-CJ61-CJ62</f>
        <v>0</v>
      </c>
      <c r="CJ71"/>
      <c r="CK71"/>
      <c r="CL71"/>
      <c r="CN71"/>
      <c r="CO71"/>
      <c r="CP71" s="9" t="s">
        <v>11</v>
      </c>
      <c r="CQ71" s="9">
        <f ca="1">CG71-CT48-CT52-CT57-CT62</f>
        <v>0</v>
      </c>
      <c r="CR71" s="9">
        <f ca="1">CH71-CT59-CT55-CT48-CT51</f>
        <v>0</v>
      </c>
      <c r="CS71" s="9">
        <f ca="1">CI71-CT59-CT60-CT61-CT62</f>
        <v>0</v>
      </c>
      <c r="CT71"/>
      <c r="CU71"/>
      <c r="CV71"/>
      <c r="CX71"/>
      <c r="CY71"/>
      <c r="CZ71" s="9" t="s">
        <v>11</v>
      </c>
      <c r="DA71" s="9">
        <f ca="1">CQ71-DD48-DD52-DD57-DD62</f>
        <v>0</v>
      </c>
      <c r="DB71" s="9">
        <f ca="1">CR71-DD59-DD55-DD48-DD51</f>
        <v>0</v>
      </c>
      <c r="DC71" s="9">
        <f ca="1">CS71-DD59-DD60-DD61-DD62</f>
        <v>0</v>
      </c>
      <c r="DD71"/>
      <c r="DE71"/>
      <c r="DF71"/>
      <c r="DH71"/>
      <c r="DI71"/>
      <c r="DJ71"/>
      <c r="DK71"/>
      <c r="DL71"/>
      <c r="DM71"/>
      <c r="DN71"/>
      <c r="DO71"/>
      <c r="DP71"/>
    </row>
    <row r="72" spans="1:120" x14ac:dyDescent="0.25">
      <c r="A72" s="2">
        <f t="shared" ca="1" si="74"/>
        <v>3.0037919019420953</v>
      </c>
      <c r="B72" cm="1">
        <f t="array" aca="1" ref="B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72" s="2">
        <f t="shared" ca="1" si="75"/>
        <v>3.0194357241470526</v>
      </c>
      <c r="D72" t="str" cm="1">
        <f t="array" aca="1" ref="D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2" s="2">
        <f t="shared" ca="1" si="76"/>
        <v>30.007690842860171</v>
      </c>
      <c r="F72" t="str" cm="1">
        <f t="array" aca="1" ref="F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2" s="2">
        <f t="shared" ca="1" si="77"/>
        <v>40.028002361611023</v>
      </c>
      <c r="H72" s="5" t="str" cm="1">
        <f t="array" aca="1" ref="H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  <c r="N72" s="9" t="s">
        <v>13</v>
      </c>
      <c r="O72" s="9">
        <f ca="1">_xlfn.XLOOKUP(N72,$T$1:$T$7,$U$1:$U$7,"ERRO",0,1)-R49-R53-R58</f>
        <v>0</v>
      </c>
      <c r="P72" s="9">
        <f ca="1">_xlfn.XLOOKUP(N72,$X$1:$X$7,$Y$1:$Y$7,"ERRO",0,1)-R47-R50-R54</f>
        <v>0</v>
      </c>
      <c r="Q72" s="9">
        <f ca="1">_xlfn.XLOOKUP(N72,$P$1:$P$7,$Q$1:$Q$7,"ERRO",0,1)-R63-R64-R65</f>
        <v>0</v>
      </c>
      <c r="V72"/>
      <c r="W72"/>
      <c r="X72" s="9" t="s">
        <v>13</v>
      </c>
      <c r="Y72" s="9">
        <f ca="1">O72-AB49-AB53-AB58</f>
        <v>0</v>
      </c>
      <c r="Z72" s="9">
        <f ca="1">P72-AB47-AB50-AB54</f>
        <v>0</v>
      </c>
      <c r="AA72" s="9">
        <f ca="1">Q72-AB63-AB64-AB65</f>
        <v>0</v>
      </c>
      <c r="AB72"/>
      <c r="AC72"/>
      <c r="AD72"/>
      <c r="AF72"/>
      <c r="AG72"/>
      <c r="AH72" s="9" t="s">
        <v>13</v>
      </c>
      <c r="AI72" s="9">
        <f ca="1">Y72-AL49-AL53-AL58</f>
        <v>0</v>
      </c>
      <c r="AJ72" s="9">
        <f ca="1">Z72-AL47-AL50-AL54</f>
        <v>0</v>
      </c>
      <c r="AK72" s="9">
        <f ca="1">AA72-AL63-AL64-AL65</f>
        <v>0</v>
      </c>
      <c r="AL72"/>
      <c r="AM72"/>
      <c r="AN72"/>
      <c r="AP72"/>
      <c r="AQ72"/>
      <c r="AR72" s="9" t="s">
        <v>13</v>
      </c>
      <c r="AS72" s="9">
        <f ca="1">AI72-AV49-AV53-AV58</f>
        <v>0</v>
      </c>
      <c r="AT72" s="9">
        <f ca="1">AJ72-AV47-AV50-AV54</f>
        <v>0</v>
      </c>
      <c r="AU72" s="9">
        <f ca="1">AK72-AV63-AV64-AV65</f>
        <v>0</v>
      </c>
      <c r="AV72"/>
      <c r="AW72"/>
      <c r="AX72"/>
      <c r="AZ72"/>
      <c r="BA72"/>
      <c r="BB72" s="9" t="s">
        <v>13</v>
      </c>
      <c r="BC72" s="9">
        <f ca="1">AS72-BF49-BF53-BF58</f>
        <v>0</v>
      </c>
      <c r="BD72" s="9">
        <f ca="1">AT72-BF47-BF50-BF54</f>
        <v>0</v>
      </c>
      <c r="BE72" s="9">
        <f ca="1">AU72-BF63-BF64-BF65</f>
        <v>0</v>
      </c>
      <c r="BF72"/>
      <c r="BG72"/>
      <c r="BH72"/>
      <c r="BJ72"/>
      <c r="BK72"/>
      <c r="BL72" s="9" t="s">
        <v>13</v>
      </c>
      <c r="BM72" s="9">
        <f ca="1">BC72-BP49-BP53-BP58</f>
        <v>0</v>
      </c>
      <c r="BN72" s="9">
        <f ca="1">BD72-BP47-BP50-BP54</f>
        <v>0</v>
      </c>
      <c r="BO72" s="9">
        <f ca="1">BE72-BP63-BP64-BP65</f>
        <v>0</v>
      </c>
      <c r="BP72"/>
      <c r="BQ72"/>
      <c r="BR72"/>
      <c r="BT72"/>
      <c r="BU72"/>
      <c r="BV72" s="9" t="s">
        <v>13</v>
      </c>
      <c r="BW72" s="9">
        <f ca="1">BM72-BZ49-BZ53-BZ58</f>
        <v>0</v>
      </c>
      <c r="BX72" s="9">
        <f ca="1">BN72-BZ47-BZ50-BZ54</f>
        <v>0</v>
      </c>
      <c r="BY72" s="9">
        <f ca="1">BO72-BZ63-BZ64-BZ65</f>
        <v>0</v>
      </c>
      <c r="BZ72"/>
      <c r="CA72"/>
      <c r="CB72"/>
      <c r="CD72"/>
      <c r="CE72"/>
      <c r="CF72" s="9" t="s">
        <v>13</v>
      </c>
      <c r="CG72" s="9">
        <f ca="1">BW72-CJ49-CJ53-CJ58</f>
        <v>0</v>
      </c>
      <c r="CH72" s="9">
        <f ca="1">BX72-CJ47-CJ50-CJ54</f>
        <v>0</v>
      </c>
      <c r="CI72" s="9">
        <f ca="1">BY72-CJ63-CJ64-CJ65</f>
        <v>0</v>
      </c>
      <c r="CJ72"/>
      <c r="CK72"/>
      <c r="CL72"/>
      <c r="CN72"/>
      <c r="CO72"/>
      <c r="CP72" s="9" t="s">
        <v>13</v>
      </c>
      <c r="CQ72" s="9">
        <f ca="1">CG72-CT49-CT53-CT58</f>
        <v>0</v>
      </c>
      <c r="CR72" s="9">
        <f ca="1">CH72-CT47-CT50-CT54</f>
        <v>0</v>
      </c>
      <c r="CS72" s="9">
        <f ca="1">CI72-CT63-CT64-CT65</f>
        <v>0</v>
      </c>
      <c r="CT72"/>
      <c r="CU72"/>
      <c r="CV72"/>
      <c r="CX72"/>
      <c r="CY72"/>
      <c r="CZ72" s="9" t="s">
        <v>13</v>
      </c>
      <c r="DA72" s="9">
        <f ca="1">CQ72-DD49-DD53-DD58</f>
        <v>0</v>
      </c>
      <c r="DB72" s="9">
        <f ca="1">CR72-DD47-DD50-DD54</f>
        <v>0</v>
      </c>
      <c r="DC72" s="9">
        <f ca="1">CS72-DD63-DD64-DD65</f>
        <v>0</v>
      </c>
      <c r="DD72"/>
      <c r="DE72"/>
      <c r="DF72"/>
      <c r="DH72"/>
      <c r="DI72"/>
      <c r="DJ72"/>
      <c r="DK72"/>
      <c r="DL72"/>
      <c r="DM72"/>
      <c r="DN72"/>
      <c r="DO72"/>
      <c r="DP72"/>
    </row>
    <row r="73" spans="1:120" x14ac:dyDescent="0.25">
      <c r="A73" s="2">
        <f t="shared" ca="1" si="74"/>
        <v>3.0095785864205591</v>
      </c>
      <c r="B73" cm="1">
        <f t="array" aca="1" ref="B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73" s="2">
        <f t="shared" ca="1" si="75"/>
        <v>3.0228361504237817</v>
      </c>
      <c r="D73" t="str" cm="1">
        <f t="array" aca="1" ref="D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3" s="2">
        <f t="shared" ca="1" si="76"/>
        <v>30.021774187207125</v>
      </c>
      <c r="F73" t="str" cm="1">
        <f t="array" aca="1" ref="F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3" s="2">
        <f t="shared" ca="1" si="77"/>
        <v>40.00237933320625</v>
      </c>
      <c r="H73" s="5" t="str" cm="1">
        <f t="array" aca="1" ref="H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  <c r="V73"/>
      <c r="W73"/>
      <c r="X73"/>
      <c r="Y73"/>
      <c r="Z73"/>
      <c r="AA73"/>
      <c r="AB73"/>
      <c r="AC73"/>
      <c r="AD73"/>
      <c r="DA73" s="53">
        <f ca="1">SUM(DA68:DA72)/2000</f>
        <v>0.68500000000000005</v>
      </c>
      <c r="DB73" s="53">
        <f t="shared" ref="DB73:DC73" ca="1" si="78">SUM(DB68:DB72)/2000</f>
        <v>0.68500000000000005</v>
      </c>
      <c r="DC73" s="53">
        <f t="shared" ca="1" si="78"/>
        <v>0.68500000000000005</v>
      </c>
      <c r="DH73"/>
      <c r="DI73"/>
      <c r="DJ73"/>
      <c r="DK73"/>
      <c r="DL73"/>
      <c r="DM73"/>
      <c r="DN73"/>
      <c r="DO73"/>
      <c r="DP73"/>
    </row>
    <row r="74" spans="1:120" x14ac:dyDescent="0.25">
      <c r="A74" s="2">
        <f t="shared" ca="1" si="74"/>
        <v>3.0046251686307457</v>
      </c>
      <c r="B74" cm="1">
        <f t="array" aca="1" ref="B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74" s="2">
        <f t="shared" ca="1" si="75"/>
        <v>3.0137161892135516</v>
      </c>
      <c r="D74" t="str" cm="1">
        <f t="array" aca="1" ref="D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4" s="2">
        <f t="shared" ca="1" si="76"/>
        <v>30.026283758291864</v>
      </c>
      <c r="F74" t="str" cm="1">
        <f t="array" aca="1" ref="F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4" s="2">
        <f t="shared" ca="1" si="77"/>
        <v>40.019695408684953</v>
      </c>
      <c r="H74" s="5" t="str" cm="1">
        <f t="array" aca="1" ref="H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5" spans="1:120" x14ac:dyDescent="0.25">
      <c r="A75" s="2">
        <f t="shared" ca="1" si="74"/>
        <v>3.0099381008292818</v>
      </c>
      <c r="B75" cm="1">
        <f t="array" aca="1" ref="B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75" s="2">
        <f t="shared" ca="1" si="75"/>
        <v>3.009112826403082</v>
      </c>
      <c r="D75" t="str" cm="1">
        <f t="array" aca="1" ref="D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5" s="2">
        <f t="shared" ca="1" si="76"/>
        <v>30.022210982948373</v>
      </c>
      <c r="F75" t="str" cm="1">
        <f t="array" aca="1" ref="F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5" s="2">
        <f t="shared" ca="1" si="77"/>
        <v>40.010871232139976</v>
      </c>
      <c r="H75" s="5" t="str" cm="1">
        <f t="array" aca="1" ref="H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6" spans="1:120" x14ac:dyDescent="0.25">
      <c r="A76" s="2">
        <f t="shared" ca="1" si="74"/>
        <v>3.0022046552265733</v>
      </c>
      <c r="B76" cm="1">
        <f t="array" aca="1" ref="B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76" s="2">
        <f t="shared" ca="1" si="75"/>
        <v>3.0101315289989539</v>
      </c>
      <c r="D76" t="str" cm="1">
        <f t="array" aca="1" ref="D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6" s="2">
        <f t="shared" ca="1" si="76"/>
        <v>30.023334715965991</v>
      </c>
      <c r="F76" t="str" cm="1">
        <f t="array" aca="1" ref="F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6" s="2">
        <f t="shared" ca="1" si="77"/>
        <v>40.016498880769937</v>
      </c>
      <c r="H76" s="5" t="str" cm="1">
        <f t="array" aca="1" ref="H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7" spans="1:120" x14ac:dyDescent="0.25">
      <c r="A77" s="2">
        <f t="shared" ca="1" si="74"/>
        <v>3.0031103582884069</v>
      </c>
      <c r="B77" cm="1">
        <f t="array" aca="1" ref="B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77" s="2">
        <f t="shared" ca="1" si="75"/>
        <v>3.0099926512358919</v>
      </c>
      <c r="D77" t="str" cm="1">
        <f t="array" aca="1" ref="D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7" s="2">
        <f t="shared" ca="1" si="76"/>
        <v>30.016314835766725</v>
      </c>
      <c r="F77" t="str" cm="1">
        <f t="array" aca="1" ref="F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7" s="2">
        <f t="shared" ca="1" si="77"/>
        <v>40.024234293002323</v>
      </c>
      <c r="H77" s="5" t="str" cm="1">
        <f t="array" aca="1" ref="H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8" spans="1:120" x14ac:dyDescent="0.25">
      <c r="A78" s="2">
        <f t="shared" ca="1" si="74"/>
        <v>3.0087628391390417</v>
      </c>
      <c r="B78" cm="1">
        <f t="array" aca="1" ref="B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78" s="2">
        <f t="shared" ca="1" si="75"/>
        <v>3.0127948645278173</v>
      </c>
      <c r="D78" t="str" cm="1">
        <f t="array" aca="1" ref="D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8" s="2">
        <f t="shared" ca="1" si="76"/>
        <v>30.002399109453357</v>
      </c>
      <c r="F78" t="str" cm="1">
        <f t="array" aca="1" ref="F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8" s="2">
        <f t="shared" ca="1" si="77"/>
        <v>40.013329623531682</v>
      </c>
      <c r="H78" s="5" t="str" cm="1">
        <f t="array" aca="1" ref="H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9" spans="1:120" x14ac:dyDescent="0.25">
      <c r="A79" s="2">
        <f t="shared" ca="1" si="74"/>
        <v>3.0023604786703069</v>
      </c>
      <c r="B79" cm="1">
        <f t="array" aca="1" ref="B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79" s="2">
        <f t="shared" ca="1" si="75"/>
        <v>3.0054290658664793</v>
      </c>
      <c r="D79" t="str" cm="1">
        <f t="array" aca="1" ref="D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9" s="2">
        <f t="shared" ca="1" si="76"/>
        <v>30.029376829544265</v>
      </c>
      <c r="F79" t="str" cm="1">
        <f t="array" aca="1" ref="F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9" s="2">
        <f t="shared" ca="1" si="77"/>
        <v>40.0096345422645</v>
      </c>
      <c r="H79" s="5" t="str" cm="1">
        <f t="array" aca="1" ref="H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0" spans="1:120" x14ac:dyDescent="0.25">
      <c r="A80" s="2">
        <f t="shared" ca="1" si="74"/>
        <v>3.0019300886677045</v>
      </c>
      <c r="B80" cm="1">
        <f t="array" aca="1" ref="B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80" s="2">
        <f t="shared" ca="1" si="75"/>
        <v>3.0116667386854914</v>
      </c>
      <c r="D80" t="str" cm="1">
        <f t="array" aca="1" ref="D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0" s="2">
        <f t="shared" ca="1" si="76"/>
        <v>30.016277525502574</v>
      </c>
      <c r="F80" t="str" cm="1">
        <f t="array" aca="1" ref="F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0" s="2">
        <f t="shared" ca="1" si="77"/>
        <v>40.015121576877881</v>
      </c>
      <c r="H80" s="5" t="str" cm="1">
        <f t="array" aca="1" ref="H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1" spans="1:8" x14ac:dyDescent="0.25">
      <c r="A81" s="2">
        <f t="shared" ca="1" si="74"/>
        <v>3.0094347749373096</v>
      </c>
      <c r="B81" cm="1">
        <f t="array" aca="1" ref="B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81" s="2">
        <f t="shared" ca="1" si="75"/>
        <v>3.0254670332449973</v>
      </c>
      <c r="D81" t="str" cm="1">
        <f t="array" aca="1" ref="D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1" s="2">
        <f t="shared" ca="1" si="76"/>
        <v>30.026239325010252</v>
      </c>
      <c r="F81" t="str" cm="1">
        <f t="array" aca="1" ref="F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1" s="2">
        <f t="shared" ca="1" si="77"/>
        <v>40.019466727842477</v>
      </c>
      <c r="H81" s="5" t="str" cm="1">
        <f t="array" aca="1" ref="H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2" spans="1:8" x14ac:dyDescent="0.25">
      <c r="A82" s="2">
        <f t="shared" ca="1" si="74"/>
        <v>3.006948058839642</v>
      </c>
      <c r="B82" cm="1">
        <f t="array" aca="1" ref="B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82" s="2">
        <f t="shared" ca="1" si="75"/>
        <v>3.0176503295447876</v>
      </c>
      <c r="D82" t="str" cm="1">
        <f t="array" aca="1" ref="D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2" s="2">
        <f t="shared" ca="1" si="76"/>
        <v>30.005091493247075</v>
      </c>
      <c r="F82" t="str" cm="1">
        <f t="array" aca="1" ref="F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2" s="2">
        <f t="shared" ca="1" si="77"/>
        <v>40.000980021764526</v>
      </c>
      <c r="H82" s="5" t="str" cm="1">
        <f t="array" aca="1" ref="H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3" spans="1:8" x14ac:dyDescent="0.25">
      <c r="A83" s="2">
        <f t="shared" ca="1" si="74"/>
        <v>3.0096339939605516</v>
      </c>
      <c r="B83" cm="1">
        <f t="array" aca="1" ref="B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83" s="2">
        <f t="shared" ca="1" si="75"/>
        <v>3.0290466688058841</v>
      </c>
      <c r="D83" t="str" cm="1">
        <f t="array" aca="1" ref="D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3" s="2">
        <f t="shared" ca="1" si="76"/>
        <v>30.028518993107685</v>
      </c>
      <c r="F83" t="str" cm="1">
        <f t="array" aca="1" ref="F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3" s="2">
        <f t="shared" ca="1" si="77"/>
        <v>40.012033556164788</v>
      </c>
      <c r="H83" s="5" t="str" cm="1">
        <f t="array" aca="1" ref="H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4" spans="1:8" x14ac:dyDescent="0.25">
      <c r="A84" s="2">
        <f t="shared" ca="1" si="74"/>
        <v>3.0061459693689701</v>
      </c>
      <c r="B84" cm="1">
        <f t="array" aca="1" ref="B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84" s="2">
        <f t="shared" ca="1" si="75"/>
        <v>3.0103561780824757</v>
      </c>
      <c r="D84" t="str" cm="1">
        <f t="array" aca="1" ref="D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4" s="2">
        <f t="shared" ca="1" si="76"/>
        <v>30.026417372173185</v>
      </c>
      <c r="F84" t="str" cm="1">
        <f t="array" aca="1" ref="F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4" s="2">
        <f t="shared" ca="1" si="77"/>
        <v>40.020629496775719</v>
      </c>
      <c r="H84" s="5" t="str" cm="1">
        <f t="array" aca="1" ref="H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5" spans="1:8" x14ac:dyDescent="0.25">
      <c r="A85" s="2">
        <f t="shared" ca="1" si="74"/>
        <v>3.0028285080280472</v>
      </c>
      <c r="B85" cm="1">
        <f t="array" aca="1" ref="B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85" s="2">
        <f t="shared" ca="1" si="75"/>
        <v>3.0228480133357167</v>
      </c>
      <c r="D85" t="str" cm="1">
        <f t="array" aca="1" ref="D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5" s="2">
        <f t="shared" ca="1" si="76"/>
        <v>30.023693258650233</v>
      </c>
      <c r="F85" t="str" cm="1">
        <f t="array" aca="1" ref="F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5" s="2">
        <f t="shared" ca="1" si="77"/>
        <v>40.006328612002193</v>
      </c>
      <c r="H85" s="5" t="str" cm="1">
        <f t="array" aca="1" ref="H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6" spans="1:8" x14ac:dyDescent="0.25">
      <c r="A86" s="2">
        <f t="shared" ca="1" si="74"/>
        <v>3.0078067727660343</v>
      </c>
      <c r="B86" cm="1">
        <f t="array" aca="1" ref="B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86" s="2">
        <f t="shared" ca="1" si="75"/>
        <v>3.019279246367129</v>
      </c>
      <c r="D86" t="str" cm="1">
        <f t="array" aca="1" ref="D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6" s="2">
        <f t="shared" ca="1" si="76"/>
        <v>30.029062414702469</v>
      </c>
      <c r="F86" t="str" cm="1">
        <f t="array" aca="1" ref="F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6" s="2">
        <f t="shared" ca="1" si="77"/>
        <v>40.021181552333843</v>
      </c>
      <c r="H86" s="5" t="str" cm="1">
        <f t="array" aca="1" ref="H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7" spans="1:8" x14ac:dyDescent="0.25">
      <c r="A87" s="2">
        <f t="shared" ca="1" si="74"/>
        <v>3.0094207300190776</v>
      </c>
      <c r="B87" cm="1">
        <f t="array" aca="1" ref="B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87" s="2">
        <f t="shared" ca="1" si="75"/>
        <v>3.0066267530284767</v>
      </c>
      <c r="D87" t="str" cm="1">
        <f t="array" aca="1" ref="D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7" s="2">
        <f t="shared" ca="1" si="76"/>
        <v>30.000659951865135</v>
      </c>
      <c r="F87" t="str" cm="1">
        <f t="array" aca="1" ref="F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7" s="2">
        <f t="shared" ca="1" si="77"/>
        <v>40.024098579164473</v>
      </c>
      <c r="H87" s="5" t="str" cm="1">
        <f t="array" aca="1" ref="H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8" spans="1:8" x14ac:dyDescent="0.25">
      <c r="A88" s="2">
        <f t="shared" ca="1" si="74"/>
        <v>3.0066260211762406</v>
      </c>
      <c r="B88" cm="1">
        <f t="array" aca="1" ref="B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88" s="2">
        <f t="shared" ca="1" si="75"/>
        <v>3.022019744790049</v>
      </c>
      <c r="D88" t="str" cm="1">
        <f t="array" aca="1" ref="D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8" s="2">
        <f t="shared" ca="1" si="76"/>
        <v>30.006156592515389</v>
      </c>
      <c r="F88" t="str" cm="1">
        <f t="array" aca="1" ref="F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8" s="2">
        <f t="shared" ca="1" si="77"/>
        <v>40.029378844100002</v>
      </c>
      <c r="H88" s="5" t="str" cm="1">
        <f t="array" aca="1" ref="H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9" spans="1:8" x14ac:dyDescent="0.25">
      <c r="A89" s="2">
        <f t="shared" ca="1" si="74"/>
        <v>3.0071238887871146</v>
      </c>
      <c r="B89" cm="1">
        <f t="array" aca="1" ref="B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89" s="2">
        <f t="shared" ca="1" si="75"/>
        <v>3.0005844219765714</v>
      </c>
      <c r="D89" t="str" cm="1">
        <f t="array" aca="1" ref="D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9" s="2">
        <f t="shared" ca="1" si="76"/>
        <v>30.028836994992233</v>
      </c>
      <c r="F89" t="str" cm="1">
        <f t="array" aca="1" ref="F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9" s="2">
        <f t="shared" ca="1" si="77"/>
        <v>40.006567384308227</v>
      </c>
      <c r="H89" s="5" t="str" cm="1">
        <f t="array" aca="1" ref="H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0" spans="1:8" x14ac:dyDescent="0.25">
      <c r="A90" s="2">
        <f t="shared" ca="1" si="74"/>
        <v>3.0076961782625915</v>
      </c>
      <c r="B90" cm="1">
        <f t="array" aca="1" ref="B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90" s="2">
        <f t="shared" ca="1" si="75"/>
        <v>3.0005785084925174</v>
      </c>
      <c r="D90" t="str" cm="1">
        <f t="array" aca="1" ref="D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0" s="2">
        <f t="shared" ca="1" si="76"/>
        <v>30.015355943668084</v>
      </c>
      <c r="F90" t="str" cm="1">
        <f t="array" aca="1" ref="F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0" s="2">
        <f t="shared" ca="1" si="77"/>
        <v>40.027745555153309</v>
      </c>
      <c r="H90" s="5" t="str" cm="1">
        <f t="array" aca="1" ref="H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1" spans="1:8" x14ac:dyDescent="0.25">
      <c r="A91" s="2">
        <f t="shared" ca="1" si="74"/>
        <v>3.0034316214127679</v>
      </c>
      <c r="B91" cm="1">
        <f t="array" aca="1" ref="B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91" s="2">
        <f t="shared" ca="1" si="75"/>
        <v>3.0220487532151377</v>
      </c>
      <c r="D91" t="str" cm="1">
        <f t="array" aca="1" ref="D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1" s="2">
        <f t="shared" ca="1" si="76"/>
        <v>30.011407929069943</v>
      </c>
      <c r="F91" t="str" cm="1">
        <f t="array" aca="1" ref="F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1" s="2">
        <f t="shared" ca="1" si="77"/>
        <v>40.001363544994362</v>
      </c>
      <c r="H91" s="5" t="str" cm="1">
        <f t="array" aca="1" ref="H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2" spans="1:8" x14ac:dyDescent="0.25">
      <c r="A92" s="2">
        <f t="shared" ca="1" si="74"/>
        <v>3.0091048609333346</v>
      </c>
      <c r="B92" cm="1">
        <f t="array" aca="1" ref="B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92" s="2">
        <f t="shared" ca="1" si="75"/>
        <v>3.0255971070997232</v>
      </c>
      <c r="D92" t="str" cm="1">
        <f t="array" aca="1" ref="D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2" s="2">
        <f t="shared" ca="1" si="76"/>
        <v>30.019571488050904</v>
      </c>
      <c r="F92" t="str" cm="1">
        <f t="array" aca="1" ref="F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2" s="2">
        <f t="shared" ca="1" si="77"/>
        <v>40.016783836241729</v>
      </c>
      <c r="H92" s="5" t="str" cm="1">
        <f t="array" aca="1" ref="H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3" spans="1:8" x14ac:dyDescent="0.25">
      <c r="A93" s="2">
        <f t="shared" ca="1" si="74"/>
        <v>3.0059287727051336</v>
      </c>
      <c r="B93" cm="1">
        <f t="array" aca="1" ref="B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93" s="2">
        <f t="shared" ca="1" si="75"/>
        <v>3.0230220592262391</v>
      </c>
      <c r="D93" t="str" cm="1">
        <f t="array" aca="1" ref="D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3" s="2">
        <f t="shared" ca="1" si="76"/>
        <v>30.023668428921301</v>
      </c>
      <c r="F93" t="str" cm="1">
        <f t="array" aca="1" ref="F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3" s="2">
        <f t="shared" ca="1" si="77"/>
        <v>40.026499099182885</v>
      </c>
      <c r="H93" s="5" t="str" cm="1">
        <f t="array" aca="1" ref="H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4" spans="1:8" x14ac:dyDescent="0.25">
      <c r="A94" s="2">
        <f t="shared" ca="1" si="74"/>
        <v>3.0000741763147505</v>
      </c>
      <c r="B94" cm="1">
        <f t="array" aca="1" ref="B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94" s="2">
        <f t="shared" ca="1" si="75"/>
        <v>3.018386346308362</v>
      </c>
      <c r="D94" t="str" cm="1">
        <f t="array" aca="1" ref="D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4" s="2">
        <f t="shared" ca="1" si="76"/>
        <v>30.029166188164417</v>
      </c>
      <c r="F94" t="str" cm="1">
        <f t="array" aca="1" ref="F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4" s="2">
        <f t="shared" ca="1" si="77"/>
        <v>40.004455095177825</v>
      </c>
      <c r="H94" s="5" t="str" cm="1">
        <f t="array" aca="1" ref="H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5" spans="1:8" x14ac:dyDescent="0.25">
      <c r="A95" s="2">
        <f t="shared" ca="1" si="74"/>
        <v>3.0036075301235892</v>
      </c>
      <c r="B95" cm="1">
        <f t="array" aca="1" ref="B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95" s="2">
        <f t="shared" ca="1" si="75"/>
        <v>3.0211187660787178</v>
      </c>
      <c r="D95" t="str" cm="1">
        <f t="array" aca="1" ref="D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5" s="2">
        <f t="shared" ca="1" si="76"/>
        <v>30.007454442261331</v>
      </c>
      <c r="F95" t="str" cm="1">
        <f t="array" aca="1" ref="F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5" s="2">
        <f t="shared" ca="1" si="77"/>
        <v>40.026352438500425</v>
      </c>
      <c r="H95" s="5" t="str" cm="1">
        <f t="array" aca="1" ref="H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6" spans="1:8" x14ac:dyDescent="0.25">
      <c r="A96" s="2">
        <f t="shared" ca="1" si="74"/>
        <v>3.0039055743506564</v>
      </c>
      <c r="B96" cm="1">
        <f t="array" aca="1" ref="B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96" s="2">
        <f t="shared" ca="1" si="75"/>
        <v>3.0298392477468608</v>
      </c>
      <c r="D96" t="str" cm="1">
        <f t="array" aca="1" ref="D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6" s="2">
        <f t="shared" ca="1" si="76"/>
        <v>30.022051196952408</v>
      </c>
      <c r="F96" t="str" cm="1">
        <f t="array" aca="1" ref="F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6" s="2">
        <f t="shared" ca="1" si="77"/>
        <v>40.010022437355204</v>
      </c>
      <c r="H96" s="5" t="str" cm="1">
        <f t="array" aca="1" ref="H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7" spans="1:8" x14ac:dyDescent="0.25">
      <c r="A97" s="2">
        <f t="shared" ca="1" si="74"/>
        <v>3.0006806346593069</v>
      </c>
      <c r="B97" cm="1">
        <f t="array" aca="1" ref="B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97" s="2">
        <f t="shared" ca="1" si="75"/>
        <v>3.0183626519910201</v>
      </c>
      <c r="D97" t="str" cm="1">
        <f t="array" aca="1" ref="D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7" s="2">
        <f t="shared" ca="1" si="76"/>
        <v>30.018649845598041</v>
      </c>
      <c r="F97" t="str" cm="1">
        <f t="array" aca="1" ref="F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7" s="2">
        <f t="shared" ca="1" si="77"/>
        <v>40.003952114364417</v>
      </c>
      <c r="H97" s="5" t="str" cm="1">
        <f t="array" aca="1" ref="H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8" spans="1:8" x14ac:dyDescent="0.25">
      <c r="A98" s="2">
        <f t="shared" ca="1" si="74"/>
        <v>3.0010532203435814</v>
      </c>
      <c r="B98" cm="1">
        <f t="array" aca="1" ref="B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98" s="2">
        <f t="shared" ca="1" si="75"/>
        <v>3.0024767832478356</v>
      </c>
      <c r="D98" t="str" cm="1">
        <f t="array" aca="1" ref="D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8" s="2">
        <f t="shared" ca="1" si="76"/>
        <v>30.02572170628881</v>
      </c>
      <c r="F98" t="str" cm="1">
        <f t="array" aca="1" ref="F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8" s="2">
        <f t="shared" ca="1" si="77"/>
        <v>40.008701876008452</v>
      </c>
      <c r="H98" s="5" t="str" cm="1">
        <f t="array" aca="1" ref="H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9" spans="1:8" x14ac:dyDescent="0.25">
      <c r="A99" s="2">
        <f t="shared" ca="1" si="74"/>
        <v>3.005007472565385</v>
      </c>
      <c r="B99" cm="1">
        <f t="array" aca="1" ref="B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99" s="2">
        <f t="shared" ca="1" si="75"/>
        <v>3.003339584851461</v>
      </c>
      <c r="D99" t="str" cm="1">
        <f t="array" aca="1" ref="D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9" s="2">
        <f t="shared" ca="1" si="76"/>
        <v>30.02083897228729</v>
      </c>
      <c r="F99" t="str" cm="1">
        <f t="array" aca="1" ref="F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9" s="2">
        <f t="shared" ca="1" si="77"/>
        <v>40.022131761652204</v>
      </c>
      <c r="H99" s="5" t="str" cm="1">
        <f t="array" aca="1" ref="H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0" spans="1:8" x14ac:dyDescent="0.25">
      <c r="A100" s="2">
        <f t="shared" ca="1" si="74"/>
        <v>3.0027612187335215</v>
      </c>
      <c r="B100" cm="1">
        <f t="array" aca="1" ref="B1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00" s="2">
        <f t="shared" ca="1" si="75"/>
        <v>3.0073298659095911</v>
      </c>
      <c r="D100" t="str" cm="1">
        <f t="array" aca="1" ref="D1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0" s="2">
        <f t="shared" ca="1" si="76"/>
        <v>30.006606359146804</v>
      </c>
      <c r="F100" t="str" cm="1">
        <f t="array" aca="1" ref="F1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0" s="2">
        <f t="shared" ca="1" si="77"/>
        <v>40.016769267116636</v>
      </c>
      <c r="H100" s="5" t="str" cm="1">
        <f t="array" aca="1" ref="H1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1" spans="1:8" x14ac:dyDescent="0.25">
      <c r="A101" s="2">
        <f t="shared" ca="1" si="74"/>
        <v>3.0033979371099533</v>
      </c>
      <c r="B101" cm="1">
        <f t="array" aca="1" ref="B1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01" s="2">
        <f t="shared" ca="1" si="75"/>
        <v>3.0027298702900507</v>
      </c>
      <c r="D101" t="str" cm="1">
        <f t="array" aca="1" ref="D1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1" s="2">
        <f t="shared" ca="1" si="76"/>
        <v>30.016911728797311</v>
      </c>
      <c r="F101" t="str" cm="1">
        <f t="array" aca="1" ref="F1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1" s="2">
        <f t="shared" ca="1" si="77"/>
        <v>40.028778243099559</v>
      </c>
      <c r="H101" s="5" t="str" cm="1">
        <f t="array" aca="1" ref="H1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2" spans="1:8" x14ac:dyDescent="0.25">
      <c r="A102" s="2">
        <f t="shared" ca="1" si="74"/>
        <v>3.0047610050335574</v>
      </c>
      <c r="B102" cm="1">
        <f t="array" aca="1" ref="B1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02" s="2">
        <f t="shared" ca="1" si="75"/>
        <v>3.0110362460575422</v>
      </c>
      <c r="D102" t="str" cm="1">
        <f t="array" aca="1" ref="D1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2" s="2">
        <f t="shared" ca="1" si="76"/>
        <v>30.012145060707571</v>
      </c>
      <c r="F102" t="str" cm="1">
        <f t="array" aca="1" ref="F1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2" s="2">
        <f t="shared" ca="1" si="77"/>
        <v>40.011551651223982</v>
      </c>
      <c r="H102" s="5" t="str" cm="1">
        <f t="array" aca="1" ref="H1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3" spans="1:8" x14ac:dyDescent="0.25">
      <c r="A103" s="2">
        <f t="shared" ca="1" si="74"/>
        <v>3.0073214932459402</v>
      </c>
      <c r="B103" cm="1">
        <f t="array" aca="1" ref="B1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03" s="2">
        <f t="shared" ca="1" si="75"/>
        <v>3.0002299620061716</v>
      </c>
      <c r="D103" t="str" cm="1">
        <f t="array" aca="1" ref="D1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3" s="2">
        <f t="shared" ca="1" si="76"/>
        <v>30.028081940064538</v>
      </c>
      <c r="F103" t="str" cm="1">
        <f t="array" aca="1" ref="F1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3" s="2">
        <f t="shared" ca="1" si="77"/>
        <v>40.014751753316006</v>
      </c>
      <c r="H103" s="5" t="str" cm="1">
        <f t="array" aca="1" ref="H1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4" spans="1:8" x14ac:dyDescent="0.25">
      <c r="A104" s="2">
        <f t="shared" ca="1" si="74"/>
        <v>3.0076679904305923</v>
      </c>
      <c r="B104" cm="1">
        <f t="array" aca="1" ref="B1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04" s="2">
        <f t="shared" ca="1" si="75"/>
        <v>3.025308475272527</v>
      </c>
      <c r="D104" t="str" cm="1">
        <f t="array" aca="1" ref="D1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4" s="2">
        <f t="shared" ca="1" si="76"/>
        <v>30.00967385443839</v>
      </c>
      <c r="F104" t="str" cm="1">
        <f t="array" aca="1" ref="F1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4" s="2">
        <f t="shared" ca="1" si="77"/>
        <v>40.012344287962321</v>
      </c>
      <c r="H104" s="5" t="str" cm="1">
        <f t="array" aca="1" ref="H1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5" spans="1:8" x14ac:dyDescent="0.25">
      <c r="A105" s="2">
        <f t="shared" ca="1" si="74"/>
        <v>3.0061521569851459</v>
      </c>
      <c r="B105" cm="1">
        <f t="array" aca="1" ref="B1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05" s="2">
        <f t="shared" ca="1" si="75"/>
        <v>3.0171623972905572</v>
      </c>
      <c r="D105" t="str" cm="1">
        <f t="array" aca="1" ref="D1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5" s="2">
        <f t="shared" ca="1" si="76"/>
        <v>30.017384206196834</v>
      </c>
      <c r="F105" t="str" cm="1">
        <f t="array" aca="1" ref="F1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5" s="2">
        <f t="shared" ca="1" si="77"/>
        <v>40.020133040359774</v>
      </c>
      <c r="H105" s="5" t="str" cm="1">
        <f t="array" aca="1" ref="H1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6" spans="1:8" x14ac:dyDescent="0.25">
      <c r="A106" s="2">
        <f t="shared" ca="1" si="74"/>
        <v>3.0030441070092007</v>
      </c>
      <c r="B106" cm="1">
        <f t="array" aca="1" ref="B1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06" s="2">
        <f t="shared" ca="1" si="75"/>
        <v>3.0164005822842248</v>
      </c>
      <c r="D106" t="str" cm="1">
        <f t="array" aca="1" ref="D1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6" s="2">
        <f t="shared" ca="1" si="76"/>
        <v>30.010804360677106</v>
      </c>
      <c r="F106" t="str" cm="1">
        <f t="array" aca="1" ref="F1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6" s="2">
        <f t="shared" ca="1" si="77"/>
        <v>40.021728767970721</v>
      </c>
      <c r="H106" s="5" t="str" cm="1">
        <f t="array" aca="1" ref="H1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7" spans="1:8" x14ac:dyDescent="0.25">
      <c r="A107" s="2">
        <f t="shared" ca="1" si="74"/>
        <v>3.0058371381790239</v>
      </c>
      <c r="B107" cm="1">
        <f t="array" aca="1" ref="B1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07" s="2">
        <f t="shared" ca="1" si="75"/>
        <v>3.0176142233054875</v>
      </c>
      <c r="D107" t="str" cm="1">
        <f t="array" aca="1" ref="D1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7" s="2">
        <f t="shared" ca="1" si="76"/>
        <v>30.008988747027871</v>
      </c>
      <c r="F107" t="str" cm="1">
        <f t="array" aca="1" ref="F1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7" s="2">
        <f t="shared" ca="1" si="77"/>
        <v>40.00201156046203</v>
      </c>
      <c r="H107" s="5" t="str" cm="1">
        <f t="array" aca="1" ref="H1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8" spans="1:8" x14ac:dyDescent="0.25">
      <c r="A108" s="2">
        <f t="shared" ca="1" si="74"/>
        <v>3.005293641532472</v>
      </c>
      <c r="B108" cm="1">
        <f t="array" aca="1" ref="B1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08" s="2">
        <f t="shared" ca="1" si="75"/>
        <v>3.0099453478666334</v>
      </c>
      <c r="D108" t="str" cm="1">
        <f t="array" aca="1" ref="D1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8" s="2">
        <f t="shared" ca="1" si="76"/>
        <v>30.015565184847446</v>
      </c>
      <c r="F108" t="str" cm="1">
        <f t="array" aca="1" ref="F1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8" s="2">
        <f t="shared" ca="1" si="77"/>
        <v>40.002803758231892</v>
      </c>
      <c r="H108" s="5" t="str" cm="1">
        <f t="array" aca="1" ref="H1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9" spans="1:8" x14ac:dyDescent="0.25">
      <c r="A109" s="2">
        <f t="shared" ca="1" si="74"/>
        <v>3.0083026948798395</v>
      </c>
      <c r="B109" cm="1">
        <f t="array" aca="1" ref="B1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09" s="2">
        <f t="shared" ca="1" si="75"/>
        <v>3.0023766127345821</v>
      </c>
      <c r="D109" t="str" cm="1">
        <f t="array" aca="1" ref="D1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9" s="2">
        <f t="shared" ca="1" si="76"/>
        <v>30.000312431860898</v>
      </c>
      <c r="F109" t="str" cm="1">
        <f t="array" aca="1" ref="F1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9" s="2">
        <f t="shared" ca="1" si="77"/>
        <v>40.000851369756241</v>
      </c>
      <c r="H109" s="5" t="str" cm="1">
        <f t="array" aca="1" ref="H1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0" spans="1:8" x14ac:dyDescent="0.25">
      <c r="A110" s="2">
        <f t="shared" ca="1" si="74"/>
        <v>3.0095016206319736</v>
      </c>
      <c r="B110" cm="1">
        <f t="array" aca="1" ref="B1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10" s="2">
        <f t="shared" ca="1" si="75"/>
        <v>3.0284256169507286</v>
      </c>
      <c r="D110" t="str" cm="1">
        <f t="array" aca="1" ref="D1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0" s="2">
        <f t="shared" ca="1" si="76"/>
        <v>30.015874311484868</v>
      </c>
      <c r="F110" t="str" cm="1">
        <f t="array" aca="1" ref="F1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0" s="2">
        <f t="shared" ca="1" si="77"/>
        <v>40.014053056666867</v>
      </c>
      <c r="H110" s="5" t="str" cm="1">
        <f t="array" aca="1" ref="H1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1" spans="1:8" x14ac:dyDescent="0.25">
      <c r="A111" s="2">
        <f t="shared" ca="1" si="74"/>
        <v>3.0032319011412567</v>
      </c>
      <c r="B111" cm="1">
        <f t="array" aca="1" ref="B1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11" s="2">
        <f t="shared" ca="1" si="75"/>
        <v>3.0264884134687073</v>
      </c>
      <c r="D111" t="str" cm="1">
        <f t="array" aca="1" ref="D1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1" s="2">
        <f t="shared" ca="1" si="76"/>
        <v>30.002302397431961</v>
      </c>
      <c r="F111" t="str" cm="1">
        <f t="array" aca="1" ref="F1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1" s="2">
        <f t="shared" ca="1" si="77"/>
        <v>40.008232028194904</v>
      </c>
      <c r="H111" s="5" t="str" cm="1">
        <f t="array" aca="1" ref="H1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2" spans="1:8" x14ac:dyDescent="0.25">
      <c r="A112" s="2">
        <f t="shared" ca="1" si="74"/>
        <v>3.0040795023573019</v>
      </c>
      <c r="B112" cm="1">
        <f t="array" aca="1" ref="B1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12" s="2">
        <f t="shared" ca="1" si="75"/>
        <v>3.0116762932021723</v>
      </c>
      <c r="D112" t="str" cm="1">
        <f t="array" aca="1" ref="D1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2" s="2">
        <f t="shared" ca="1" si="76"/>
        <v>30.000358907445946</v>
      </c>
      <c r="F112" t="str" cm="1">
        <f t="array" aca="1" ref="F1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2" s="2">
        <f t="shared" ca="1" si="77"/>
        <v>40.017933336628715</v>
      </c>
      <c r="H112" s="5" t="str" cm="1">
        <f t="array" aca="1" ref="H1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3" spans="1:8" x14ac:dyDescent="0.25">
      <c r="A113" s="2">
        <f t="shared" ca="1" si="74"/>
        <v>3.0060213397564417</v>
      </c>
      <c r="B113" cm="1">
        <f t="array" aca="1" ref="B1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3" s="2">
        <f t="shared" ca="1" si="75"/>
        <v>3.0251425818945945</v>
      </c>
      <c r="D113" t="str" cm="1">
        <f t="array" aca="1" ref="D1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3" s="2">
        <f t="shared" ca="1" si="76"/>
        <v>30.001134695095999</v>
      </c>
      <c r="F113" t="str" cm="1">
        <f t="array" aca="1" ref="F1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3" s="2">
        <f t="shared" ca="1" si="77"/>
        <v>40.020014320297832</v>
      </c>
      <c r="H113" s="5" t="str" cm="1">
        <f t="array" aca="1" ref="H1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4" spans="1:8" x14ac:dyDescent="0.25">
      <c r="A114" s="2">
        <f t="shared" ca="1" si="74"/>
        <v>3.0065425177190281</v>
      </c>
      <c r="B114" cm="1">
        <f t="array" aca="1" ref="B1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4" s="2">
        <f t="shared" ca="1" si="75"/>
        <v>3.0039231085761808</v>
      </c>
      <c r="D114" t="str" cm="1">
        <f t="array" aca="1" ref="D1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4" s="2">
        <f t="shared" ca="1" si="76"/>
        <v>30.01197623910528</v>
      </c>
      <c r="F114" t="str" cm="1">
        <f t="array" aca="1" ref="F1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4" s="2">
        <f t="shared" ca="1" si="77"/>
        <v>40.008921545377319</v>
      </c>
      <c r="H114" s="5" t="str" cm="1">
        <f t="array" aca="1" ref="H1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5" spans="1:8" x14ac:dyDescent="0.25">
      <c r="A115" s="2">
        <f t="shared" ca="1" si="74"/>
        <v>3.0077433746525779</v>
      </c>
      <c r="B115" cm="1">
        <f t="array" aca="1" ref="B1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15" s="2">
        <f t="shared" ca="1" si="75"/>
        <v>3.0161911662669443</v>
      </c>
      <c r="D115" t="str" cm="1">
        <f t="array" aca="1" ref="D1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5" s="2">
        <f t="shared" ca="1" si="76"/>
        <v>30.009059350499978</v>
      </c>
      <c r="F115" t="str" cm="1">
        <f t="array" aca="1" ref="F1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5" s="2">
        <f t="shared" ca="1" si="77"/>
        <v>40.002037478396105</v>
      </c>
      <c r="H115" s="5" t="str" cm="1">
        <f t="array" aca="1" ref="H1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6" spans="1:8" x14ac:dyDescent="0.25">
      <c r="A116" s="2">
        <f t="shared" ca="1" si="74"/>
        <v>3.0023764702225524</v>
      </c>
      <c r="B116" cm="1">
        <f t="array" aca="1" ref="B1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16" s="2">
        <f t="shared" ca="1" si="75"/>
        <v>3.0285918941724739</v>
      </c>
      <c r="D116" t="str" cm="1">
        <f t="array" aca="1" ref="D1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6" s="2">
        <f t="shared" ca="1" si="76"/>
        <v>30.00793592487868</v>
      </c>
      <c r="F116" t="str" cm="1">
        <f t="array" aca="1" ref="F1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6" s="2">
        <f t="shared" ca="1" si="77"/>
        <v>40.010075586898552</v>
      </c>
      <c r="H116" s="5" t="str" cm="1">
        <f t="array" aca="1" ref="H1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7" spans="1:8" x14ac:dyDescent="0.25">
      <c r="A117" s="2">
        <f t="shared" ca="1" si="74"/>
        <v>3.0085276839465949</v>
      </c>
      <c r="B117" cm="1">
        <f t="array" aca="1" ref="B1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17" s="2">
        <f t="shared" ca="1" si="75"/>
        <v>3.0000612632326331</v>
      </c>
      <c r="D117" t="str" cm="1">
        <f t="array" aca="1" ref="D1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7" s="2">
        <f t="shared" ca="1" si="76"/>
        <v>30.003496849481017</v>
      </c>
      <c r="F117" t="str" cm="1">
        <f t="array" aca="1" ref="F1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7" s="2">
        <f t="shared" ca="1" si="77"/>
        <v>40.014319263806662</v>
      </c>
      <c r="H117" s="5" t="str" cm="1">
        <f t="array" aca="1" ref="H1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8" spans="1:8" x14ac:dyDescent="0.25">
      <c r="A118" s="2">
        <f t="shared" ca="1" si="74"/>
        <v>3.009295395641653</v>
      </c>
      <c r="B118" cm="1">
        <f t="array" aca="1" ref="B1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18" s="2">
        <f t="shared" ca="1" si="75"/>
        <v>3.004246097658235</v>
      </c>
      <c r="D118" t="str" cm="1">
        <f t="array" aca="1" ref="D1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8" s="2">
        <f t="shared" ca="1" si="76"/>
        <v>30.012951499627402</v>
      </c>
      <c r="F118" t="str" cm="1">
        <f t="array" aca="1" ref="F1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8" s="2">
        <f t="shared" ca="1" si="77"/>
        <v>40.026827744035536</v>
      </c>
      <c r="H118" s="5" t="str" cm="1">
        <f t="array" aca="1" ref="H1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9" spans="1:8" x14ac:dyDescent="0.25">
      <c r="A119" s="2">
        <f t="shared" ca="1" si="74"/>
        <v>3.0035211959621373</v>
      </c>
      <c r="B119" cm="1">
        <f t="array" aca="1" ref="B1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19" s="2">
        <f t="shared" ca="1" si="75"/>
        <v>3.0245733276772278</v>
      </c>
      <c r="D119" t="str" cm="1">
        <f t="array" aca="1" ref="D1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9" s="2">
        <f t="shared" ca="1" si="76"/>
        <v>30.024257866420037</v>
      </c>
      <c r="F119" t="str" cm="1">
        <f t="array" aca="1" ref="F1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9" s="2">
        <f t="shared" ca="1" si="77"/>
        <v>40.005044059340328</v>
      </c>
      <c r="H119" s="5" t="str" cm="1">
        <f t="array" aca="1" ref="H1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0" spans="1:8" x14ac:dyDescent="0.25">
      <c r="A120" s="2">
        <f t="shared" ca="1" si="74"/>
        <v>3.0020487318456293</v>
      </c>
      <c r="B120" cm="1">
        <f t="array" aca="1" ref="B1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20" s="2">
        <f t="shared" ca="1" si="75"/>
        <v>3.0031304694769849</v>
      </c>
      <c r="D120" t="str" cm="1">
        <f t="array" aca="1" ref="D1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0" s="2">
        <f t="shared" ca="1" si="76"/>
        <v>30.019799897931531</v>
      </c>
      <c r="F120" t="str" cm="1">
        <f t="array" aca="1" ref="F1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0" s="2">
        <f t="shared" ca="1" si="77"/>
        <v>40.011630901529777</v>
      </c>
      <c r="H120" s="5" t="str" cm="1">
        <f t="array" aca="1" ref="H1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1" spans="1:8" x14ac:dyDescent="0.25">
      <c r="A121" s="2">
        <f t="shared" ca="1" si="74"/>
        <v>3.0048116951036543</v>
      </c>
      <c r="B121" cm="1">
        <f t="array" aca="1" ref="B1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21" s="2">
        <f t="shared" ca="1" si="75"/>
        <v>3.0023064195790461</v>
      </c>
      <c r="D121" t="str" cm="1">
        <f t="array" aca="1" ref="D1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1" s="2">
        <f t="shared" ca="1" si="76"/>
        <v>30.006587800964599</v>
      </c>
      <c r="F121" t="str" cm="1">
        <f t="array" aca="1" ref="F1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1" s="2">
        <f t="shared" ca="1" si="77"/>
        <v>40.028176225567094</v>
      </c>
      <c r="H121" s="5" t="str" cm="1">
        <f t="array" aca="1" ref="H1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2" spans="1:8" x14ac:dyDescent="0.25">
      <c r="A122" s="2">
        <f t="shared" ca="1" si="74"/>
        <v>3.0050018183651233</v>
      </c>
      <c r="B122" cm="1">
        <f t="array" aca="1" ref="B1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22" s="2">
        <f t="shared" ca="1" si="75"/>
        <v>3.0295273150942958</v>
      </c>
      <c r="D122" t="str" cm="1">
        <f t="array" aca="1" ref="D1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2" s="2">
        <f t="shared" ca="1" si="76"/>
        <v>30.013608980840395</v>
      </c>
      <c r="F122" t="str" cm="1">
        <f t="array" aca="1" ref="F1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2" s="2">
        <f t="shared" ca="1" si="77"/>
        <v>40.029384574185443</v>
      </c>
      <c r="H122" s="5" t="str" cm="1">
        <f t="array" aca="1" ref="H1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3" spans="1:8" x14ac:dyDescent="0.25">
      <c r="A123" s="2">
        <f t="shared" ca="1" si="74"/>
        <v>3.0059322908945938</v>
      </c>
      <c r="B123" cm="1">
        <f t="array" aca="1" ref="B1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23" s="2">
        <f t="shared" ca="1" si="75"/>
        <v>3.0165088352041067</v>
      </c>
      <c r="D123" t="str" cm="1">
        <f t="array" aca="1" ref="D1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3" s="2">
        <f t="shared" ca="1" si="76"/>
        <v>30.012243364037861</v>
      </c>
      <c r="F123" t="str" cm="1">
        <f t="array" aca="1" ref="F1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3" s="2">
        <f t="shared" ca="1" si="77"/>
        <v>40.025943582281762</v>
      </c>
      <c r="H123" s="5" t="str" cm="1">
        <f t="array" aca="1" ref="H1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4" spans="1:8" x14ac:dyDescent="0.25">
      <c r="A124" s="2">
        <f t="shared" ca="1" si="74"/>
        <v>3.0034615809315937</v>
      </c>
      <c r="B124" cm="1">
        <f t="array" aca="1" ref="B1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24" s="2">
        <f t="shared" ca="1" si="75"/>
        <v>3.0175524136011882</v>
      </c>
      <c r="D124" t="str" cm="1">
        <f t="array" aca="1" ref="D1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4" s="2">
        <f t="shared" ca="1" si="76"/>
        <v>30.005260652510948</v>
      </c>
      <c r="F124" t="str" cm="1">
        <f t="array" aca="1" ref="F1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4" s="2">
        <f t="shared" ca="1" si="77"/>
        <v>40.009257145366561</v>
      </c>
      <c r="H124" s="5" t="str" cm="1">
        <f t="array" aca="1" ref="H1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5" spans="1:8" x14ac:dyDescent="0.25">
      <c r="A125" s="2">
        <f t="shared" ca="1" si="74"/>
        <v>3.0025354192580274</v>
      </c>
      <c r="B125" cm="1">
        <f t="array" aca="1" ref="B1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25" s="2">
        <f t="shared" ca="1" si="75"/>
        <v>3.0151311363008411</v>
      </c>
      <c r="D125" t="str" cm="1">
        <f t="array" aca="1" ref="D1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5" s="2">
        <f t="shared" ca="1" si="76"/>
        <v>30.019912323154546</v>
      </c>
      <c r="F125" t="str" cm="1">
        <f t="array" aca="1" ref="F1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5" s="2">
        <f t="shared" ca="1" si="77"/>
        <v>40.018325038663107</v>
      </c>
      <c r="H125" s="5" t="str" cm="1">
        <f t="array" aca="1" ref="H1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6" spans="1:8" x14ac:dyDescent="0.25">
      <c r="A126" s="2">
        <f t="shared" ca="1" si="74"/>
        <v>3.0021611300299398</v>
      </c>
      <c r="B126" cm="1">
        <f t="array" aca="1" ref="B1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26" s="2">
        <f t="shared" ca="1" si="75"/>
        <v>3.0181521552265735</v>
      </c>
      <c r="D126" t="str" cm="1">
        <f t="array" aca="1" ref="D1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6" s="2">
        <f t="shared" ca="1" si="76"/>
        <v>30.021337695000238</v>
      </c>
      <c r="F126" t="str" cm="1">
        <f t="array" aca="1" ref="F1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6" s="2">
        <f t="shared" ca="1" si="77"/>
        <v>40.016717714056078</v>
      </c>
      <c r="H126" s="5" t="str" cm="1">
        <f t="array" aca="1" ref="H1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7" spans="1:8" x14ac:dyDescent="0.25">
      <c r="A127" s="2">
        <f t="shared" ca="1" si="74"/>
        <v>3.0056263969857175</v>
      </c>
      <c r="B127" cm="1">
        <f t="array" aca="1" ref="B1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27" s="2">
        <f t="shared" ca="1" si="75"/>
        <v>3.010279153635262</v>
      </c>
      <c r="D127" t="str" cm="1">
        <f t="array" aca="1" ref="D1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7" s="2">
        <f t="shared" ca="1" si="76"/>
        <v>30.012367179078705</v>
      </c>
      <c r="F127" t="str" cm="1">
        <f t="array" aca="1" ref="F1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7" s="2">
        <f t="shared" ca="1" si="77"/>
        <v>40.014983939762644</v>
      </c>
      <c r="H127" s="5" t="str" cm="1">
        <f t="array" aca="1" ref="H1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8" spans="1:8" x14ac:dyDescent="0.25">
      <c r="A128" s="2">
        <f t="shared" ca="1" si="74"/>
        <v>3.0013702473025239</v>
      </c>
      <c r="B128" cm="1">
        <f t="array" aca="1" ref="B1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28" s="2">
        <f t="shared" ca="1" si="75"/>
        <v>3.01207361113492</v>
      </c>
      <c r="D128" t="str" cm="1">
        <f t="array" aca="1" ref="D1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8" s="2">
        <f t="shared" ca="1" si="76"/>
        <v>30.009475072799763</v>
      </c>
      <c r="F128" t="str" cm="1">
        <f t="array" aca="1" ref="F1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8" s="2">
        <f t="shared" ca="1" si="77"/>
        <v>40.024541351002952</v>
      </c>
      <c r="H128" s="5" t="str" cm="1">
        <f t="array" aca="1" ref="H1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9" spans="1:8" x14ac:dyDescent="0.25">
      <c r="A129" s="2">
        <f t="shared" ca="1" si="74"/>
        <v>3.0054515725890498</v>
      </c>
      <c r="B129" cm="1">
        <f t="array" aca="1" ref="B1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29" s="2">
        <f t="shared" ca="1" si="75"/>
        <v>3.0028608017941845</v>
      </c>
      <c r="D129" t="str" cm="1">
        <f t="array" aca="1" ref="D1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9" s="2">
        <f t="shared" ca="1" si="76"/>
        <v>30.016010295671606</v>
      </c>
      <c r="F129" t="str" cm="1">
        <f t="array" aca="1" ref="F1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9" s="2">
        <f t="shared" ca="1" si="77"/>
        <v>40.012372995708638</v>
      </c>
      <c r="H129" s="5" t="str" cm="1">
        <f t="array" aca="1" ref="H1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0" spans="1:8" x14ac:dyDescent="0.25">
      <c r="A130" s="2">
        <f t="shared" ref="A130:A193" ca="1" si="79">3+RAND()*0.01</f>
        <v>3.0060128658039735</v>
      </c>
      <c r="B130" cm="1">
        <f t="array" aca="1" ref="B1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30" s="2">
        <f t="shared" ref="C130:C193" ca="1" si="80">3+RAND()*0.03</f>
        <v>3.0293186385562256</v>
      </c>
      <c r="D130" t="str" cm="1">
        <f t="array" aca="1" ref="D1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0" s="2">
        <f t="shared" ref="E130:E193" ca="1" si="81">30+RAND()*0.03</f>
        <v>30.022852172633893</v>
      </c>
      <c r="F130" t="str" cm="1">
        <f t="array" aca="1" ref="F1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0" s="2">
        <f t="shared" ref="G130:G193" ca="1" si="82">40+RAND()*0.03</f>
        <v>40.003348910821465</v>
      </c>
      <c r="H130" s="5" t="str" cm="1">
        <f t="array" aca="1" ref="H1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1" spans="1:8" x14ac:dyDescent="0.25">
      <c r="A131" s="2">
        <f t="shared" ca="1" si="79"/>
        <v>3.0099901207053863</v>
      </c>
      <c r="B131" cm="1">
        <f t="array" aca="1" ref="B1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31" s="2">
        <f t="shared" ca="1" si="80"/>
        <v>3.0248485775132981</v>
      </c>
      <c r="D131" t="str" cm="1">
        <f t="array" aca="1" ref="D1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1" s="2">
        <f t="shared" ca="1" si="81"/>
        <v>30.018988500912823</v>
      </c>
      <c r="F131" t="str" cm="1">
        <f t="array" aca="1" ref="F1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1" s="2">
        <f t="shared" ca="1" si="82"/>
        <v>40.009876905495311</v>
      </c>
      <c r="H131" s="5" t="str" cm="1">
        <f t="array" aca="1" ref="H1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2" spans="1:8" x14ac:dyDescent="0.25">
      <c r="A132" s="2">
        <f t="shared" ca="1" si="79"/>
        <v>3.0074941183111328</v>
      </c>
      <c r="B132" cm="1">
        <f t="array" aca="1" ref="B1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32" s="2">
        <f t="shared" ca="1" si="80"/>
        <v>3.0087669943026354</v>
      </c>
      <c r="D132" t="str" cm="1">
        <f t="array" aca="1" ref="D1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2" s="2">
        <f t="shared" ca="1" si="81"/>
        <v>30.009185486787946</v>
      </c>
      <c r="F132" t="str" cm="1">
        <f t="array" aca="1" ref="F1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2" s="2">
        <f t="shared" ca="1" si="82"/>
        <v>40.017671689527482</v>
      </c>
      <c r="H132" s="5" t="str" cm="1">
        <f t="array" aca="1" ref="H1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3" spans="1:8" x14ac:dyDescent="0.25">
      <c r="A133" s="2">
        <f t="shared" ca="1" si="79"/>
        <v>3.0034301598495654</v>
      </c>
      <c r="B133" cm="1">
        <f t="array" aca="1" ref="B1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33" s="2">
        <f t="shared" ca="1" si="80"/>
        <v>3.0154493449466861</v>
      </c>
      <c r="D133" t="str" cm="1">
        <f t="array" aca="1" ref="D1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3" s="2">
        <f t="shared" ca="1" si="81"/>
        <v>30.011470934927019</v>
      </c>
      <c r="F133" t="str" cm="1">
        <f t="array" aca="1" ref="F1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3" s="2">
        <f t="shared" ca="1" si="82"/>
        <v>40.015848429197483</v>
      </c>
      <c r="H133" s="5" t="str" cm="1">
        <f t="array" aca="1" ref="H1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4" spans="1:8" x14ac:dyDescent="0.25">
      <c r="A134" s="2">
        <f t="shared" ca="1" si="79"/>
        <v>3.0030774976635448</v>
      </c>
      <c r="B134" cm="1">
        <f t="array" aca="1" ref="B1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34" s="2">
        <f t="shared" ca="1" si="80"/>
        <v>3.020475686090931</v>
      </c>
      <c r="D134" t="str" cm="1">
        <f t="array" aca="1" ref="D1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4" s="2">
        <f t="shared" ca="1" si="81"/>
        <v>30.003189422368784</v>
      </c>
      <c r="F134" t="str" cm="1">
        <f t="array" aca="1" ref="F1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4" s="2">
        <f t="shared" ca="1" si="82"/>
        <v>40.028159263987078</v>
      </c>
      <c r="H134" s="5" t="str" cm="1">
        <f t="array" aca="1" ref="H1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5" spans="1:8" x14ac:dyDescent="0.25">
      <c r="A135" s="2">
        <f t="shared" ca="1" si="79"/>
        <v>3.0020345695173778</v>
      </c>
      <c r="B135" cm="1">
        <f t="array" aca="1" ref="B1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35" s="2">
        <f t="shared" ca="1" si="80"/>
        <v>3.0095606448175514</v>
      </c>
      <c r="D135" t="str" cm="1">
        <f t="array" aca="1" ref="D1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5" s="2">
        <f t="shared" ca="1" si="81"/>
        <v>30.008182518697669</v>
      </c>
      <c r="F135" t="str" cm="1">
        <f t="array" aca="1" ref="F1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5" s="2">
        <f t="shared" ca="1" si="82"/>
        <v>40.026862044740398</v>
      </c>
      <c r="H135" s="5" t="str" cm="1">
        <f t="array" aca="1" ref="H1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6" spans="1:8" x14ac:dyDescent="0.25">
      <c r="A136" s="2">
        <f t="shared" ca="1" si="79"/>
        <v>3.0063689017372583</v>
      </c>
      <c r="B136" cm="1">
        <f t="array" aca="1" ref="B1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36" s="2">
        <f t="shared" ca="1" si="80"/>
        <v>3.02832907845126</v>
      </c>
      <c r="D136" t="str" cm="1">
        <f t="array" aca="1" ref="D1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6" s="2">
        <f t="shared" ca="1" si="81"/>
        <v>30.009519607590139</v>
      </c>
      <c r="F136" t="str" cm="1">
        <f t="array" aca="1" ref="F1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6" s="2">
        <f t="shared" ca="1" si="82"/>
        <v>40.010662599442604</v>
      </c>
      <c r="H136" s="5" t="str" cm="1">
        <f t="array" aca="1" ref="H1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7" spans="1:8" x14ac:dyDescent="0.25">
      <c r="A137" s="2">
        <f t="shared" ca="1" si="79"/>
        <v>3.004480371002332</v>
      </c>
      <c r="B137" cm="1">
        <f t="array" aca="1" ref="B1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37" s="2">
        <f t="shared" ca="1" si="80"/>
        <v>3.0029924530598238</v>
      </c>
      <c r="D137" t="str" cm="1">
        <f t="array" aca="1" ref="D1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7" s="2">
        <f t="shared" ca="1" si="81"/>
        <v>30.027709174606557</v>
      </c>
      <c r="F137" t="str" cm="1">
        <f t="array" aca="1" ref="F1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7" s="2">
        <f t="shared" ca="1" si="82"/>
        <v>40.026081013061045</v>
      </c>
      <c r="H137" s="5" t="str" cm="1">
        <f t="array" aca="1" ref="H1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8" spans="1:8" x14ac:dyDescent="0.25">
      <c r="A138" s="2">
        <f t="shared" ca="1" si="79"/>
        <v>3.0021921501773305</v>
      </c>
      <c r="B138" cm="1">
        <f t="array" aca="1" ref="B1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38" s="2">
        <f t="shared" ca="1" si="80"/>
        <v>3.0205941961126368</v>
      </c>
      <c r="D138" t="str" cm="1">
        <f t="array" aca="1" ref="D1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8" s="2">
        <f t="shared" ca="1" si="81"/>
        <v>30.023131641411407</v>
      </c>
      <c r="F138" t="str" cm="1">
        <f t="array" aca="1" ref="F1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8" s="2">
        <f t="shared" ca="1" si="82"/>
        <v>40.009518206565723</v>
      </c>
      <c r="H138" s="5" t="str" cm="1">
        <f t="array" aca="1" ref="H1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9" spans="1:8" x14ac:dyDescent="0.25">
      <c r="A139" s="2">
        <f t="shared" ca="1" si="79"/>
        <v>3.0014749330845785</v>
      </c>
      <c r="B139" cm="1">
        <f t="array" aca="1" ref="B1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39" s="2">
        <f t="shared" ca="1" si="80"/>
        <v>3.0124263228562684</v>
      </c>
      <c r="D139" t="str" cm="1">
        <f t="array" aca="1" ref="D1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9" s="2">
        <f t="shared" ca="1" si="81"/>
        <v>30.001913556226295</v>
      </c>
      <c r="F139" t="str" cm="1">
        <f t="array" aca="1" ref="F1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9" s="2">
        <f t="shared" ca="1" si="82"/>
        <v>40.012785068270603</v>
      </c>
      <c r="H139" s="5" t="str" cm="1">
        <f t="array" aca="1" ref="H1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0" spans="1:8" x14ac:dyDescent="0.25">
      <c r="A140" s="2">
        <f t="shared" ca="1" si="79"/>
        <v>3.0060548455279483</v>
      </c>
      <c r="B140" cm="1">
        <f t="array" aca="1" ref="B1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40" s="2">
        <f t="shared" ca="1" si="80"/>
        <v>3.0292943373325136</v>
      </c>
      <c r="D140" t="str" cm="1">
        <f t="array" aca="1" ref="D1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0" s="2">
        <f t="shared" ca="1" si="81"/>
        <v>30.010468518907555</v>
      </c>
      <c r="F140" t="str" cm="1">
        <f t="array" aca="1" ref="F1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0" s="2">
        <f t="shared" ca="1" si="82"/>
        <v>40.012876497545271</v>
      </c>
      <c r="H140" s="5" t="str" cm="1">
        <f t="array" aca="1" ref="H1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1" spans="1:8" x14ac:dyDescent="0.25">
      <c r="A141" s="2">
        <f t="shared" ca="1" si="79"/>
        <v>3.0001408966090959</v>
      </c>
      <c r="B141" cm="1">
        <f t="array" aca="1" ref="B1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41" s="2">
        <f t="shared" ca="1" si="80"/>
        <v>3.0272974018154017</v>
      </c>
      <c r="D141" t="str" cm="1">
        <f t="array" aca="1" ref="D1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1" s="2">
        <f t="shared" ca="1" si="81"/>
        <v>30.009691959267869</v>
      </c>
      <c r="F141" t="str" cm="1">
        <f t="array" aca="1" ref="F1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1" s="2">
        <f t="shared" ca="1" si="82"/>
        <v>40.010276852148834</v>
      </c>
      <c r="H141" s="5" t="str" cm="1">
        <f t="array" aca="1" ref="H1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2" spans="1:8" x14ac:dyDescent="0.25">
      <c r="A142" s="2">
        <f t="shared" ca="1" si="79"/>
        <v>3.0072891757214268</v>
      </c>
      <c r="B142" cm="1">
        <f t="array" aca="1" ref="B1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42" s="2">
        <f t="shared" ca="1" si="80"/>
        <v>3.0002139814672963</v>
      </c>
      <c r="D142" t="str" cm="1">
        <f t="array" aca="1" ref="D1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2" s="2">
        <f t="shared" ca="1" si="81"/>
        <v>30.012584750698821</v>
      </c>
      <c r="F142" t="str" cm="1">
        <f t="array" aca="1" ref="F1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2" s="2">
        <f t="shared" ca="1" si="82"/>
        <v>40.015679157753148</v>
      </c>
      <c r="H142" s="5" t="str" cm="1">
        <f t="array" aca="1" ref="H1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3" spans="1:8" x14ac:dyDescent="0.25">
      <c r="A143" s="2">
        <f t="shared" ca="1" si="79"/>
        <v>3.0066413317453633</v>
      </c>
      <c r="B143" cm="1">
        <f t="array" aca="1" ref="B1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43" s="2">
        <f t="shared" ca="1" si="80"/>
        <v>3.0292904935816041</v>
      </c>
      <c r="D143" t="str" cm="1">
        <f t="array" aca="1" ref="D1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3" s="2">
        <f t="shared" ca="1" si="81"/>
        <v>30.01505378466037</v>
      </c>
      <c r="F143" t="str" cm="1">
        <f t="array" aca="1" ref="F1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3" s="2">
        <f t="shared" ca="1" si="82"/>
        <v>40.010364061694887</v>
      </c>
      <c r="H143" s="5" t="str" cm="1">
        <f t="array" aca="1" ref="H1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4" spans="1:8" x14ac:dyDescent="0.25">
      <c r="A144" s="2">
        <f t="shared" ca="1" si="79"/>
        <v>3.000225351911487</v>
      </c>
      <c r="B144" cm="1">
        <f t="array" aca="1" ref="B1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44" s="2">
        <f t="shared" ca="1" si="80"/>
        <v>3.0127177777390095</v>
      </c>
      <c r="D144" t="str" cm="1">
        <f t="array" aca="1" ref="D1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4" s="2">
        <f t="shared" ca="1" si="81"/>
        <v>30.012706694977449</v>
      </c>
      <c r="F144" t="str" cm="1">
        <f t="array" aca="1" ref="F1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4" s="2">
        <f t="shared" ca="1" si="82"/>
        <v>40.024999033245045</v>
      </c>
      <c r="H144" s="5" t="str" cm="1">
        <f t="array" aca="1" ref="H1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5" spans="1:8" x14ac:dyDescent="0.25">
      <c r="A145" s="2">
        <f t="shared" ca="1" si="79"/>
        <v>3.0046729704021558</v>
      </c>
      <c r="B145" cm="1">
        <f t="array" aca="1" ref="B1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45" s="2">
        <f t="shared" ca="1" si="80"/>
        <v>3.0292800758064335</v>
      </c>
      <c r="D145" t="str" cm="1">
        <f t="array" aca="1" ref="D1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5" s="2">
        <f t="shared" ca="1" si="81"/>
        <v>30.019359342871702</v>
      </c>
      <c r="F145" t="str" cm="1">
        <f t="array" aca="1" ref="F1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5" s="2">
        <f t="shared" ca="1" si="82"/>
        <v>40.027976017573202</v>
      </c>
      <c r="H145" s="5" t="str" cm="1">
        <f t="array" aca="1" ref="H1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6" spans="1:8" x14ac:dyDescent="0.25">
      <c r="A146" s="2">
        <f t="shared" ca="1" si="79"/>
        <v>3.0005689739354331</v>
      </c>
      <c r="B146" cm="1">
        <f t="array" aca="1" ref="B1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46" s="2">
        <f t="shared" ca="1" si="80"/>
        <v>3.0211675250390044</v>
      </c>
      <c r="D146" t="str" cm="1">
        <f t="array" aca="1" ref="D1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6" s="2">
        <f t="shared" ca="1" si="81"/>
        <v>30.005107918288836</v>
      </c>
      <c r="F146" t="str" cm="1">
        <f t="array" aca="1" ref="F1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6" s="2">
        <f t="shared" ca="1" si="82"/>
        <v>40.000117115710779</v>
      </c>
      <c r="H146" s="5" t="str" cm="1">
        <f t="array" aca="1" ref="H1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7" spans="1:8" x14ac:dyDescent="0.25">
      <c r="A147" s="2">
        <f t="shared" ca="1" si="79"/>
        <v>3.0049578267572294</v>
      </c>
      <c r="B147" cm="1">
        <f t="array" aca="1" ref="B1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47" s="2">
        <f t="shared" ca="1" si="80"/>
        <v>3.0038797185873398</v>
      </c>
      <c r="D147" t="str" cm="1">
        <f t="array" aca="1" ref="D1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7" s="2">
        <f t="shared" ca="1" si="81"/>
        <v>30.006187933994745</v>
      </c>
      <c r="F147" t="str" cm="1">
        <f t="array" aca="1" ref="F1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7" s="2">
        <f t="shared" ca="1" si="82"/>
        <v>40.003146684696972</v>
      </c>
      <c r="H147" s="5" t="str" cm="1">
        <f t="array" aca="1" ref="H1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8" spans="1:8" x14ac:dyDescent="0.25">
      <c r="A148" s="2">
        <f t="shared" ca="1" si="79"/>
        <v>3.0054454481781687</v>
      </c>
      <c r="B148" cm="1">
        <f t="array" aca="1" ref="B1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48" s="2">
        <f t="shared" ca="1" si="80"/>
        <v>3.0015380739732094</v>
      </c>
      <c r="D148" t="str" cm="1">
        <f t="array" aca="1" ref="D1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8" s="2">
        <f t="shared" ca="1" si="81"/>
        <v>30.00843798197576</v>
      </c>
      <c r="F148" t="str" cm="1">
        <f t="array" aca="1" ref="F1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8" s="2">
        <f t="shared" ca="1" si="82"/>
        <v>40.005281351531089</v>
      </c>
      <c r="H148" s="5" t="str" cm="1">
        <f t="array" aca="1" ref="H1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9" spans="1:8" x14ac:dyDescent="0.25">
      <c r="A149" s="2">
        <f t="shared" ca="1" si="79"/>
        <v>3.0073118105693277</v>
      </c>
      <c r="B149" cm="1">
        <f t="array" aca="1" ref="B1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49" s="2">
        <f t="shared" ca="1" si="80"/>
        <v>3.0293553839021863</v>
      </c>
      <c r="D149" t="str" cm="1">
        <f t="array" aca="1" ref="D1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9" s="2">
        <f t="shared" ca="1" si="81"/>
        <v>30.023049375611492</v>
      </c>
      <c r="F149" t="str" cm="1">
        <f t="array" aca="1" ref="F1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9" s="2">
        <f t="shared" ca="1" si="82"/>
        <v>40.017695375276276</v>
      </c>
      <c r="H149" s="5" t="str" cm="1">
        <f t="array" aca="1" ref="H1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0" spans="1:8" x14ac:dyDescent="0.25">
      <c r="A150" s="2">
        <f t="shared" ca="1" si="79"/>
        <v>3.0061553945349653</v>
      </c>
      <c r="B150" cm="1">
        <f t="array" aca="1" ref="B1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50" s="2">
        <f t="shared" ca="1" si="80"/>
        <v>3.0012826276016153</v>
      </c>
      <c r="D150" t="str" cm="1">
        <f t="array" aca="1" ref="D1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0" s="2">
        <f t="shared" ca="1" si="81"/>
        <v>30.00282024856239</v>
      </c>
      <c r="F150" t="str" cm="1">
        <f t="array" aca="1" ref="F1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0" s="2">
        <f t="shared" ca="1" si="82"/>
        <v>40.006390250529229</v>
      </c>
      <c r="H150" s="5" t="str" cm="1">
        <f t="array" aca="1" ref="H1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1" spans="1:8" x14ac:dyDescent="0.25">
      <c r="A151" s="2">
        <f t="shared" ca="1" si="79"/>
        <v>3.001503247072602</v>
      </c>
      <c r="B151" cm="1">
        <f t="array" aca="1" ref="B1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51" s="2">
        <f t="shared" ca="1" si="80"/>
        <v>3.0136667125016356</v>
      </c>
      <c r="D151" t="str" cm="1">
        <f t="array" aca="1" ref="D1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1" s="2">
        <f t="shared" ca="1" si="81"/>
        <v>30.017077063377602</v>
      </c>
      <c r="F151" t="str" cm="1">
        <f t="array" aca="1" ref="F1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1" s="2">
        <f t="shared" ca="1" si="82"/>
        <v>40.001476179302408</v>
      </c>
      <c r="H151" s="5" t="str" cm="1">
        <f t="array" aca="1" ref="H1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2" spans="1:8" x14ac:dyDescent="0.25">
      <c r="A152" s="2">
        <f t="shared" ca="1" si="79"/>
        <v>3.0015805461570357</v>
      </c>
      <c r="B152" cm="1">
        <f t="array" aca="1" ref="B1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52" s="2">
        <f t="shared" ca="1" si="80"/>
        <v>3.0195337345014477</v>
      </c>
      <c r="D152" t="str" cm="1">
        <f t="array" aca="1" ref="D1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2" s="2">
        <f t="shared" ca="1" si="81"/>
        <v>30.009939941193569</v>
      </c>
      <c r="F152" t="str" cm="1">
        <f t="array" aca="1" ref="F1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2" s="2">
        <f t="shared" ca="1" si="82"/>
        <v>40.010568935236911</v>
      </c>
      <c r="H152" s="5" t="str" cm="1">
        <f t="array" aca="1" ref="H1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3" spans="1:8" x14ac:dyDescent="0.25">
      <c r="A153" s="2">
        <f t="shared" ca="1" si="79"/>
        <v>3.0095530682108977</v>
      </c>
      <c r="B153" cm="1">
        <f t="array" aca="1" ref="B1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53" s="2">
        <f t="shared" ca="1" si="80"/>
        <v>3.0137119464958557</v>
      </c>
      <c r="D153" t="str" cm="1">
        <f t="array" aca="1" ref="D1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3" s="2">
        <f t="shared" ca="1" si="81"/>
        <v>30.008467454601799</v>
      </c>
      <c r="F153" t="str" cm="1">
        <f t="array" aca="1" ref="F1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3" s="2">
        <f t="shared" ca="1" si="82"/>
        <v>40.028682840401821</v>
      </c>
      <c r="H153" s="5" t="str" cm="1">
        <f t="array" aca="1" ref="H1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4" spans="1:8" x14ac:dyDescent="0.25">
      <c r="A154" s="2">
        <f t="shared" ca="1" si="79"/>
        <v>3.0029947009963647</v>
      </c>
      <c r="B154" cm="1">
        <f t="array" aca="1" ref="B1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54" s="2">
        <f t="shared" ca="1" si="80"/>
        <v>3.0017346705179979</v>
      </c>
      <c r="D154" t="str" cm="1">
        <f t="array" aca="1" ref="D1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4" s="2">
        <f t="shared" ca="1" si="81"/>
        <v>30.027445434823878</v>
      </c>
      <c r="F154" t="str" cm="1">
        <f t="array" aca="1" ref="F1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4" s="2">
        <f t="shared" ca="1" si="82"/>
        <v>40.012853882050763</v>
      </c>
      <c r="H154" s="5" t="str" cm="1">
        <f t="array" aca="1" ref="H1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5" spans="1:8" x14ac:dyDescent="0.25">
      <c r="A155" s="2">
        <f t="shared" ca="1" si="79"/>
        <v>3.0046378895292696</v>
      </c>
      <c r="B155" cm="1">
        <f t="array" aca="1" ref="B1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55" s="2">
        <f t="shared" ca="1" si="80"/>
        <v>3.017007686478073</v>
      </c>
      <c r="D155" t="str" cm="1">
        <f t="array" aca="1" ref="D1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5" s="2">
        <f t="shared" ca="1" si="81"/>
        <v>30.020443366103855</v>
      </c>
      <c r="F155" t="str" cm="1">
        <f t="array" aca="1" ref="F1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5" s="2">
        <f t="shared" ca="1" si="82"/>
        <v>40.025216027172156</v>
      </c>
      <c r="H155" s="5" t="str" cm="1">
        <f t="array" aca="1" ref="H1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6" spans="1:8" x14ac:dyDescent="0.25">
      <c r="A156" s="2">
        <f t="shared" ca="1" si="79"/>
        <v>3.008102119340804</v>
      </c>
      <c r="B156" cm="1">
        <f t="array" aca="1" ref="B1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56" s="2">
        <f t="shared" ca="1" si="80"/>
        <v>3.0245347526835453</v>
      </c>
      <c r="D156" t="str" cm="1">
        <f t="array" aca="1" ref="D1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6" s="2">
        <f t="shared" ca="1" si="81"/>
        <v>30.024578662776989</v>
      </c>
      <c r="F156" t="str" cm="1">
        <f t="array" aca="1" ref="F1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6" s="2">
        <f t="shared" ca="1" si="82"/>
        <v>40.020013960237193</v>
      </c>
      <c r="H156" s="5" t="str" cm="1">
        <f t="array" aca="1" ref="H1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7" spans="1:8" x14ac:dyDescent="0.25">
      <c r="A157" s="2">
        <f t="shared" ca="1" si="79"/>
        <v>3.0065318299934445</v>
      </c>
      <c r="B157" cm="1">
        <f t="array" aca="1" ref="B1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57" s="2">
        <f t="shared" ca="1" si="80"/>
        <v>3.015022607704037</v>
      </c>
      <c r="D157" t="str" cm="1">
        <f t="array" aca="1" ref="D1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7" s="2">
        <f t="shared" ca="1" si="81"/>
        <v>30.015864063801789</v>
      </c>
      <c r="F157" t="str" cm="1">
        <f t="array" aca="1" ref="F1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7" s="2">
        <f t="shared" ca="1" si="82"/>
        <v>40.016887542525751</v>
      </c>
      <c r="H157" s="5" t="str" cm="1">
        <f t="array" aca="1" ref="H1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8" spans="1:8" x14ac:dyDescent="0.25">
      <c r="A158" s="2">
        <f t="shared" ca="1" si="79"/>
        <v>3.0022717932602929</v>
      </c>
      <c r="B158" cm="1">
        <f t="array" aca="1" ref="B1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58" s="2">
        <f t="shared" ca="1" si="80"/>
        <v>3.0248095385158718</v>
      </c>
      <c r="D158" t="str" cm="1">
        <f t="array" aca="1" ref="D1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8" s="2">
        <f t="shared" ca="1" si="81"/>
        <v>30.004813746408804</v>
      </c>
      <c r="F158" t="str" cm="1">
        <f t="array" aca="1" ref="F1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8" s="2">
        <f t="shared" ca="1" si="82"/>
        <v>40.023914778086208</v>
      </c>
      <c r="H158" s="5" t="str" cm="1">
        <f t="array" aca="1" ref="H1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9" spans="1:8" x14ac:dyDescent="0.25">
      <c r="A159" s="2">
        <f t="shared" ca="1" si="79"/>
        <v>3.0016348892657212</v>
      </c>
      <c r="B159" cm="1">
        <f t="array" aca="1" ref="B1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59" s="2">
        <f t="shared" ca="1" si="80"/>
        <v>3.0122456602506382</v>
      </c>
      <c r="D159" t="str" cm="1">
        <f t="array" aca="1" ref="D1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9" s="2">
        <f t="shared" ca="1" si="81"/>
        <v>30.023533696057079</v>
      </c>
      <c r="F159" t="str" cm="1">
        <f t="array" aca="1" ref="F1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9" s="2">
        <f t="shared" ca="1" si="82"/>
        <v>40.010290806077485</v>
      </c>
      <c r="H159" s="5" t="str" cm="1">
        <f t="array" aca="1" ref="H1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0" spans="1:8" x14ac:dyDescent="0.25">
      <c r="A160" s="2">
        <f t="shared" ca="1" si="79"/>
        <v>3.0093884468845111</v>
      </c>
      <c r="B160" cm="1">
        <f t="array" aca="1" ref="B1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60" s="2">
        <f t="shared" ca="1" si="80"/>
        <v>3.0161333164967123</v>
      </c>
      <c r="D160" t="str" cm="1">
        <f t="array" aca="1" ref="D1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0" s="2">
        <f t="shared" ca="1" si="81"/>
        <v>30.027725070117263</v>
      </c>
      <c r="F160" t="str" cm="1">
        <f t="array" aca="1" ref="F1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0" s="2">
        <f t="shared" ca="1" si="82"/>
        <v>40.021786193185534</v>
      </c>
      <c r="H160" s="5" t="str" cm="1">
        <f t="array" aca="1" ref="H1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1" spans="1:8" x14ac:dyDescent="0.25">
      <c r="A161" s="2">
        <f t="shared" ca="1" si="79"/>
        <v>3.007365412541501</v>
      </c>
      <c r="B161" cm="1">
        <f t="array" aca="1" ref="B1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61" s="2">
        <f t="shared" ca="1" si="80"/>
        <v>3.0128864748860522</v>
      </c>
      <c r="D161" t="str" cm="1">
        <f t="array" aca="1" ref="D1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1" s="2">
        <f t="shared" ca="1" si="81"/>
        <v>30.01841115690538</v>
      </c>
      <c r="F161" t="str" cm="1">
        <f t="array" aca="1" ref="F1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1" s="2">
        <f t="shared" ca="1" si="82"/>
        <v>40.003679299299904</v>
      </c>
      <c r="H161" s="5" t="str" cm="1">
        <f t="array" aca="1" ref="H1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2" spans="1:8" x14ac:dyDescent="0.25">
      <c r="A162" s="2">
        <f t="shared" ca="1" si="79"/>
        <v>3.0016855942753753</v>
      </c>
      <c r="B162" cm="1">
        <f t="array" aca="1" ref="B1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62" s="2">
        <f t="shared" ca="1" si="80"/>
        <v>3.0133290218058635</v>
      </c>
      <c r="D162" t="str" cm="1">
        <f t="array" aca="1" ref="D1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2" s="2">
        <f t="shared" ca="1" si="81"/>
        <v>30.021956272636476</v>
      </c>
      <c r="F162" t="str" cm="1">
        <f t="array" aca="1" ref="F1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2" s="2">
        <f t="shared" ca="1" si="82"/>
        <v>40.013094597644496</v>
      </c>
      <c r="H162" s="5" t="str" cm="1">
        <f t="array" aca="1" ref="H1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3" spans="1:8" x14ac:dyDescent="0.25">
      <c r="A163" s="2">
        <f t="shared" ca="1" si="79"/>
        <v>3.0020038587990765</v>
      </c>
      <c r="B163" cm="1">
        <f t="array" aca="1" ref="B1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63" s="2">
        <f t="shared" ca="1" si="80"/>
        <v>3.0169023655240319</v>
      </c>
      <c r="D163" t="str" cm="1">
        <f t="array" aca="1" ref="D1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3" s="2">
        <f t="shared" ca="1" si="81"/>
        <v>30.016199831920634</v>
      </c>
      <c r="F163" t="str" cm="1">
        <f t="array" aca="1" ref="F1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3" s="2">
        <f t="shared" ca="1" si="82"/>
        <v>40.024651173080073</v>
      </c>
      <c r="H163" s="5" t="str" cm="1">
        <f t="array" aca="1" ref="H1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4" spans="1:8" x14ac:dyDescent="0.25">
      <c r="A164" s="2">
        <f t="shared" ca="1" si="79"/>
        <v>3.0003193851755765</v>
      </c>
      <c r="B164" cm="1">
        <f t="array" aca="1" ref="B1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64" s="2">
        <f t="shared" ca="1" si="80"/>
        <v>3.0193047799020118</v>
      </c>
      <c r="D164" t="str" cm="1">
        <f t="array" aca="1" ref="D1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4" s="2">
        <f t="shared" ca="1" si="81"/>
        <v>30.022301804274711</v>
      </c>
      <c r="F164" t="str" cm="1">
        <f t="array" aca="1" ref="F1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4" s="2">
        <f t="shared" ca="1" si="82"/>
        <v>40.024533388639654</v>
      </c>
      <c r="H164" s="5" t="str" cm="1">
        <f t="array" aca="1" ref="H1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5" spans="1:8" x14ac:dyDescent="0.25">
      <c r="A165" s="2">
        <f t="shared" ca="1" si="79"/>
        <v>3.0043390517094157</v>
      </c>
      <c r="B165" cm="1">
        <f t="array" aca="1" ref="B1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65" s="2">
        <f t="shared" ca="1" si="80"/>
        <v>3.0222610566948225</v>
      </c>
      <c r="D165" t="str" cm="1">
        <f t="array" aca="1" ref="D1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5" s="2">
        <f t="shared" ca="1" si="81"/>
        <v>30.026539813250238</v>
      </c>
      <c r="F165" t="str" cm="1">
        <f t="array" aca="1" ref="F1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5" s="2">
        <f t="shared" ca="1" si="82"/>
        <v>40.002300485422026</v>
      </c>
      <c r="H165" s="5" t="str" cm="1">
        <f t="array" aca="1" ref="H1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6" spans="1:8" x14ac:dyDescent="0.25">
      <c r="A166" s="2">
        <f t="shared" ca="1" si="79"/>
        <v>3.0068876450122008</v>
      </c>
      <c r="B166" cm="1">
        <f t="array" aca="1" ref="B1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66" s="2">
        <f t="shared" ca="1" si="80"/>
        <v>3.0117981072698465</v>
      </c>
      <c r="D166" t="str" cm="1">
        <f t="array" aca="1" ref="D1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6" s="2">
        <f t="shared" ca="1" si="81"/>
        <v>30.007617733576254</v>
      </c>
      <c r="F166" t="str" cm="1">
        <f t="array" aca="1" ref="F1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6" s="2">
        <f t="shared" ca="1" si="82"/>
        <v>40.008798923209078</v>
      </c>
      <c r="H166" s="5" t="str" cm="1">
        <f t="array" aca="1" ref="H1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7" spans="1:8" x14ac:dyDescent="0.25">
      <c r="A167" s="2">
        <f t="shared" ca="1" si="79"/>
        <v>3.0008327959881633</v>
      </c>
      <c r="B167" cm="1">
        <f t="array" aca="1" ref="B1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67" s="2">
        <f t="shared" ca="1" si="80"/>
        <v>3.016174906946417</v>
      </c>
      <c r="D167" t="str" cm="1">
        <f t="array" aca="1" ref="D1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7" s="2">
        <f t="shared" ca="1" si="81"/>
        <v>30.012673305700954</v>
      </c>
      <c r="F167" t="str" cm="1">
        <f t="array" aca="1" ref="F1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7" s="2">
        <f t="shared" ca="1" si="82"/>
        <v>40.024633186791789</v>
      </c>
      <c r="H167" s="5" t="str" cm="1">
        <f t="array" aca="1" ref="H1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8" spans="1:8" x14ac:dyDescent="0.25">
      <c r="A168" s="2">
        <f t="shared" ca="1" si="79"/>
        <v>3.0066123772507765</v>
      </c>
      <c r="B168" cm="1">
        <f t="array" aca="1" ref="B1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68" s="2">
        <f t="shared" ca="1" si="80"/>
        <v>3.0145733476411678</v>
      </c>
      <c r="D168" t="str" cm="1">
        <f t="array" aca="1" ref="D1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8" s="2">
        <f t="shared" ca="1" si="81"/>
        <v>30.001250006229206</v>
      </c>
      <c r="F168" t="str" cm="1">
        <f t="array" aca="1" ref="F1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8" s="2">
        <f t="shared" ca="1" si="82"/>
        <v>40.013663741647242</v>
      </c>
      <c r="H168" s="5" t="str" cm="1">
        <f t="array" aca="1" ref="H1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9" spans="1:8" x14ac:dyDescent="0.25">
      <c r="A169" s="2">
        <f t="shared" ca="1" si="79"/>
        <v>3.0087169590870269</v>
      </c>
      <c r="B169" cm="1">
        <f t="array" aca="1" ref="B1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69" s="2">
        <f t="shared" ca="1" si="80"/>
        <v>3.018448632895673</v>
      </c>
      <c r="D169" t="str" cm="1">
        <f t="array" aca="1" ref="D1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9" s="2">
        <f t="shared" ca="1" si="81"/>
        <v>30.009326137664114</v>
      </c>
      <c r="F169" t="str" cm="1">
        <f t="array" aca="1" ref="F1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9" s="2">
        <f t="shared" ca="1" si="82"/>
        <v>40.019252667797282</v>
      </c>
      <c r="H169" s="5" t="str" cm="1">
        <f t="array" aca="1" ref="H1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0" spans="1:8" x14ac:dyDescent="0.25">
      <c r="A170" s="2">
        <f t="shared" ca="1" si="79"/>
        <v>3.0014170705803447</v>
      </c>
      <c r="B170" cm="1">
        <f t="array" aca="1" ref="B1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70" s="2">
        <f t="shared" ca="1" si="80"/>
        <v>3.0065878720097161</v>
      </c>
      <c r="D170" t="str" cm="1">
        <f t="array" aca="1" ref="D1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0" s="2">
        <f t="shared" ca="1" si="81"/>
        <v>30.024884286595956</v>
      </c>
      <c r="F170" t="str" cm="1">
        <f t="array" aca="1" ref="F1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0" s="2">
        <f t="shared" ca="1" si="82"/>
        <v>40.000918304448064</v>
      </c>
      <c r="H170" s="5" t="str" cm="1">
        <f t="array" aca="1" ref="H1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1" spans="1:8" x14ac:dyDescent="0.25">
      <c r="A171" s="2">
        <f t="shared" ca="1" si="79"/>
        <v>3.0094698850210317</v>
      </c>
      <c r="B171" cm="1">
        <f t="array" aca="1" ref="B1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71" s="2">
        <f t="shared" ca="1" si="80"/>
        <v>3.023486130066404</v>
      </c>
      <c r="D171" t="str" cm="1">
        <f t="array" aca="1" ref="D1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1" s="2">
        <f t="shared" ca="1" si="81"/>
        <v>30.019510288078852</v>
      </c>
      <c r="F171" t="str" cm="1">
        <f t="array" aca="1" ref="F1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1" s="2">
        <f t="shared" ca="1" si="82"/>
        <v>40.0134056301603</v>
      </c>
      <c r="H171" s="5" t="str" cm="1">
        <f t="array" aca="1" ref="H1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2" spans="1:8" x14ac:dyDescent="0.25">
      <c r="A172" s="2">
        <f t="shared" ca="1" si="79"/>
        <v>3.0077585191927763</v>
      </c>
      <c r="B172" cm="1">
        <f t="array" aca="1" ref="B1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72" s="2">
        <f t="shared" ca="1" si="80"/>
        <v>3.0135960625337139</v>
      </c>
      <c r="D172" t="str" cm="1">
        <f t="array" aca="1" ref="D1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2" s="2">
        <f t="shared" ca="1" si="81"/>
        <v>30.025388990913886</v>
      </c>
      <c r="F172" t="str" cm="1">
        <f t="array" aca="1" ref="F1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2" s="2">
        <f t="shared" ca="1" si="82"/>
        <v>40.000852700617372</v>
      </c>
      <c r="H172" s="5" t="str" cm="1">
        <f t="array" aca="1" ref="H1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3" spans="1:8" x14ac:dyDescent="0.25">
      <c r="A173" s="2">
        <f t="shared" ca="1" si="79"/>
        <v>3.0043693756189955</v>
      </c>
      <c r="B173" cm="1">
        <f t="array" aca="1" ref="B1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73" s="2">
        <f t="shared" ca="1" si="80"/>
        <v>3.0084203789541557</v>
      </c>
      <c r="D173" t="str" cm="1">
        <f t="array" aca="1" ref="D1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3" s="2">
        <f t="shared" ca="1" si="81"/>
        <v>30.00469728743122</v>
      </c>
      <c r="F173" t="str" cm="1">
        <f t="array" aca="1" ref="F1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3" s="2">
        <f t="shared" ca="1" si="82"/>
        <v>40.011198495803342</v>
      </c>
      <c r="H173" s="5" t="str" cm="1">
        <f t="array" aca="1" ref="H1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4" spans="1:8" x14ac:dyDescent="0.25">
      <c r="A174" s="2">
        <f t="shared" ca="1" si="79"/>
        <v>3.0078811200222662</v>
      </c>
      <c r="B174" cm="1">
        <f t="array" aca="1" ref="B1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74" s="2">
        <f t="shared" ca="1" si="80"/>
        <v>3.0036048375973134</v>
      </c>
      <c r="D174" t="str" cm="1">
        <f t="array" aca="1" ref="D1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4" s="2">
        <f t="shared" ca="1" si="81"/>
        <v>30.013973549609357</v>
      </c>
      <c r="F174" t="str" cm="1">
        <f t="array" aca="1" ref="F1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4" s="2">
        <f t="shared" ca="1" si="82"/>
        <v>40.014242305960195</v>
      </c>
      <c r="H174" s="5" t="str" cm="1">
        <f t="array" aca="1" ref="H1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5" spans="1:8" x14ac:dyDescent="0.25">
      <c r="A175" s="2">
        <f t="shared" ca="1" si="79"/>
        <v>3.0074088311779259</v>
      </c>
      <c r="B175" cm="1">
        <f t="array" aca="1" ref="B1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75" s="2">
        <f t="shared" ca="1" si="80"/>
        <v>3.009332511412802</v>
      </c>
      <c r="D175" t="str" cm="1">
        <f t="array" aca="1" ref="D1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5" s="2">
        <f t="shared" ca="1" si="81"/>
        <v>30.025388864364068</v>
      </c>
      <c r="F175" t="str" cm="1">
        <f t="array" aca="1" ref="F1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5" s="2">
        <f t="shared" ca="1" si="82"/>
        <v>40.000411040729503</v>
      </c>
      <c r="H175" s="5" t="str" cm="1">
        <f t="array" aca="1" ref="H1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6" spans="1:8" x14ac:dyDescent="0.25">
      <c r="A176" s="2">
        <f t="shared" ca="1" si="79"/>
        <v>3.0069109441544675</v>
      </c>
      <c r="B176" cm="1">
        <f t="array" aca="1" ref="B1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76" s="2">
        <f t="shared" ca="1" si="80"/>
        <v>3.0105208998461066</v>
      </c>
      <c r="D176" t="str" cm="1">
        <f t="array" aca="1" ref="D1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6" s="2">
        <f t="shared" ca="1" si="81"/>
        <v>30.014108515007845</v>
      </c>
      <c r="F176" t="str" cm="1">
        <f t="array" aca="1" ref="F1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6" s="2">
        <f t="shared" ca="1" si="82"/>
        <v>40.02952238282559</v>
      </c>
      <c r="H176" s="5" t="str" cm="1">
        <f t="array" aca="1" ref="H1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7" spans="1:8" x14ac:dyDescent="0.25">
      <c r="A177" s="2">
        <f t="shared" ca="1" si="79"/>
        <v>3.0001743360052169</v>
      </c>
      <c r="B177" cm="1">
        <f t="array" aca="1" ref="B1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77" s="2">
        <f t="shared" ca="1" si="80"/>
        <v>3.0122636657765494</v>
      </c>
      <c r="D177" t="str" cm="1">
        <f t="array" aca="1" ref="D1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7" s="2">
        <f t="shared" ca="1" si="81"/>
        <v>30.008436422514585</v>
      </c>
      <c r="F177" t="str" cm="1">
        <f t="array" aca="1" ref="F1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7" s="2">
        <f t="shared" ca="1" si="82"/>
        <v>40.001306638674983</v>
      </c>
      <c r="H177" s="5" t="str" cm="1">
        <f t="array" aca="1" ref="H1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8" spans="1:8" x14ac:dyDescent="0.25">
      <c r="A178" s="2">
        <f t="shared" ca="1" si="79"/>
        <v>3.0040445083079947</v>
      </c>
      <c r="B178" cm="1">
        <f t="array" aca="1" ref="B1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78" s="2">
        <f t="shared" ca="1" si="80"/>
        <v>3.020452340666965</v>
      </c>
      <c r="D178" t="str" cm="1">
        <f t="array" aca="1" ref="D1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8" s="2">
        <f t="shared" ca="1" si="81"/>
        <v>30.009872807316402</v>
      </c>
      <c r="F178" t="str" cm="1">
        <f t="array" aca="1" ref="F1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8" s="2">
        <f t="shared" ca="1" si="82"/>
        <v>40.005290312119378</v>
      </c>
      <c r="H178" s="5" t="str" cm="1">
        <f t="array" aca="1" ref="H1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9" spans="1:8" x14ac:dyDescent="0.25">
      <c r="A179" s="2">
        <f t="shared" ca="1" si="79"/>
        <v>3.0046691870316677</v>
      </c>
      <c r="B179" cm="1">
        <f t="array" aca="1" ref="B1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79" s="2">
        <f t="shared" ca="1" si="80"/>
        <v>3.0067055658769206</v>
      </c>
      <c r="D179" t="str" cm="1">
        <f t="array" aca="1" ref="D1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9" s="2">
        <f t="shared" ca="1" si="81"/>
        <v>30.009415531188587</v>
      </c>
      <c r="F179" t="str" cm="1">
        <f t="array" aca="1" ref="F1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9" s="2">
        <f t="shared" ca="1" si="82"/>
        <v>40.000446450372642</v>
      </c>
      <c r="H179" s="5" t="str" cm="1">
        <f t="array" aca="1" ref="H1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0" spans="1:8" x14ac:dyDescent="0.25">
      <c r="A180" s="2">
        <f t="shared" ca="1" si="79"/>
        <v>3.006010849166096</v>
      </c>
      <c r="B180" cm="1">
        <f t="array" aca="1" ref="B1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0" s="2">
        <f t="shared" ca="1" si="80"/>
        <v>3.0297610784020668</v>
      </c>
      <c r="D180" t="str" cm="1">
        <f t="array" aca="1" ref="D1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0" s="2">
        <f t="shared" ca="1" si="81"/>
        <v>30.004144953359145</v>
      </c>
      <c r="F180" t="str" cm="1">
        <f t="array" aca="1" ref="F1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0" s="2">
        <f t="shared" ca="1" si="82"/>
        <v>40.009023700093245</v>
      </c>
      <c r="H180" s="5" t="str" cm="1">
        <f t="array" aca="1" ref="H1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1" spans="1:8" x14ac:dyDescent="0.25">
      <c r="A181" s="2">
        <f t="shared" ca="1" si="79"/>
        <v>3.0037271475528673</v>
      </c>
      <c r="B181" cm="1">
        <f t="array" aca="1" ref="B1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81" s="2">
        <f t="shared" ca="1" si="80"/>
        <v>3.0051713205842487</v>
      </c>
      <c r="D181" t="str" cm="1">
        <f t="array" aca="1" ref="D1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1" s="2">
        <f t="shared" ca="1" si="81"/>
        <v>30.011968491361625</v>
      </c>
      <c r="F181" t="str" cm="1">
        <f t="array" aca="1" ref="F1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1" s="2">
        <f t="shared" ca="1" si="82"/>
        <v>40.023933888245125</v>
      </c>
      <c r="H181" s="5" t="str" cm="1">
        <f t="array" aca="1" ref="H1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2" spans="1:8" x14ac:dyDescent="0.25">
      <c r="A182" s="2">
        <f t="shared" ca="1" si="79"/>
        <v>3.0077348296066089</v>
      </c>
      <c r="B182" cm="1">
        <f t="array" aca="1" ref="B1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82" s="2">
        <f t="shared" ca="1" si="80"/>
        <v>3.0191162060488343</v>
      </c>
      <c r="D182" t="str" cm="1">
        <f t="array" aca="1" ref="D1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2" s="2">
        <f t="shared" ca="1" si="81"/>
        <v>30.010369922033107</v>
      </c>
      <c r="F182" t="str" cm="1">
        <f t="array" aca="1" ref="F1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2" s="2">
        <f t="shared" ca="1" si="82"/>
        <v>40.022453826175465</v>
      </c>
      <c r="H182" s="5" t="str" cm="1">
        <f t="array" aca="1" ref="H1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3" spans="1:8" x14ac:dyDescent="0.25">
      <c r="A183" s="2">
        <f t="shared" ca="1" si="79"/>
        <v>3.0075218791640128</v>
      </c>
      <c r="B183" cm="1">
        <f t="array" aca="1" ref="B1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83" s="2">
        <f t="shared" ca="1" si="80"/>
        <v>3.0164479476639317</v>
      </c>
      <c r="D183" t="str" cm="1">
        <f t="array" aca="1" ref="D1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3" s="2">
        <f t="shared" ca="1" si="81"/>
        <v>30.005080028530649</v>
      </c>
      <c r="F183" t="str" cm="1">
        <f t="array" aca="1" ref="F1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3" s="2">
        <f t="shared" ca="1" si="82"/>
        <v>40.021754452350862</v>
      </c>
      <c r="H183" s="5" t="str" cm="1">
        <f t="array" aca="1" ref="H1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4" spans="1:8" x14ac:dyDescent="0.25">
      <c r="A184" s="2">
        <f t="shared" ca="1" si="79"/>
        <v>3.000101881283705</v>
      </c>
      <c r="B184" cm="1">
        <f t="array" aca="1" ref="B1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84" s="2">
        <f t="shared" ca="1" si="80"/>
        <v>3.0288863162295527</v>
      </c>
      <c r="D184" t="str" cm="1">
        <f t="array" aca="1" ref="D1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4" s="2">
        <f t="shared" ca="1" si="81"/>
        <v>30.0092196659132</v>
      </c>
      <c r="F184" t="str" cm="1">
        <f t="array" aca="1" ref="F1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4" s="2">
        <f t="shared" ca="1" si="82"/>
        <v>40.004119972488859</v>
      </c>
      <c r="H184" s="5" t="str" cm="1">
        <f t="array" aca="1" ref="H1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5" spans="1:8" x14ac:dyDescent="0.25">
      <c r="A185" s="2">
        <f t="shared" ca="1" si="79"/>
        <v>3.0078065133145366</v>
      </c>
      <c r="B185" cm="1">
        <f t="array" aca="1" ref="B1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85" s="2">
        <f t="shared" ca="1" si="80"/>
        <v>3.0263097456997716</v>
      </c>
      <c r="D185" t="str" cm="1">
        <f t="array" aca="1" ref="D1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5" s="2">
        <f t="shared" ca="1" si="81"/>
        <v>30.007934083531268</v>
      </c>
      <c r="F185" t="str" cm="1">
        <f t="array" aca="1" ref="F1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5" s="2">
        <f t="shared" ca="1" si="82"/>
        <v>40.001642076816822</v>
      </c>
      <c r="H185" s="5" t="str" cm="1">
        <f t="array" aca="1" ref="H1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6" spans="1:8" x14ac:dyDescent="0.25">
      <c r="A186" s="2">
        <f t="shared" ca="1" si="79"/>
        <v>3.0044764321451942</v>
      </c>
      <c r="B186" cm="1">
        <f t="array" aca="1" ref="B1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86" s="2">
        <f t="shared" ca="1" si="80"/>
        <v>3.0267192076580716</v>
      </c>
      <c r="D186" t="str" cm="1">
        <f t="array" aca="1" ref="D1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6" s="2">
        <f t="shared" ca="1" si="81"/>
        <v>30.022323869094134</v>
      </c>
      <c r="F186" t="str" cm="1">
        <f t="array" aca="1" ref="F1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6" s="2">
        <f t="shared" ca="1" si="82"/>
        <v>40.00197641520873</v>
      </c>
      <c r="H186" s="5" t="str" cm="1">
        <f t="array" aca="1" ref="H1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7" spans="1:8" x14ac:dyDescent="0.25">
      <c r="A187" s="2">
        <f t="shared" ca="1" si="79"/>
        <v>3.0040480101268576</v>
      </c>
      <c r="B187" cm="1">
        <f t="array" aca="1" ref="B1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87" s="2">
        <f t="shared" ca="1" si="80"/>
        <v>3.027022706103268</v>
      </c>
      <c r="D187" t="str" cm="1">
        <f t="array" aca="1" ref="D1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7" s="2">
        <f t="shared" ca="1" si="81"/>
        <v>30.016138538023448</v>
      </c>
      <c r="F187" t="str" cm="1">
        <f t="array" aca="1" ref="F1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7" s="2">
        <f t="shared" ca="1" si="82"/>
        <v>40.017563067014834</v>
      </c>
      <c r="H187" s="5" t="str" cm="1">
        <f t="array" aca="1" ref="H1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8" spans="1:8" x14ac:dyDescent="0.25">
      <c r="A188" s="2">
        <f t="shared" ca="1" si="79"/>
        <v>3.0025998479678213</v>
      </c>
      <c r="B188" cm="1">
        <f t="array" aca="1" ref="B1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88" s="2">
        <f t="shared" ca="1" si="80"/>
        <v>3.0257749733319801</v>
      </c>
      <c r="D188" t="str" cm="1">
        <f t="array" aca="1" ref="D1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8" s="2">
        <f t="shared" ca="1" si="81"/>
        <v>30.027149052936011</v>
      </c>
      <c r="F188" t="str" cm="1">
        <f t="array" aca="1" ref="F1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8" s="2">
        <f t="shared" ca="1" si="82"/>
        <v>40.005606295364885</v>
      </c>
      <c r="H188" s="5" t="str" cm="1">
        <f t="array" aca="1" ref="H1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9" spans="1:8" x14ac:dyDescent="0.25">
      <c r="A189" s="2">
        <f t="shared" ca="1" si="79"/>
        <v>3.0070010038796391</v>
      </c>
      <c r="B189" cm="1">
        <f t="array" aca="1" ref="B1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89" s="2">
        <f t="shared" ca="1" si="80"/>
        <v>3.0009162982672364</v>
      </c>
      <c r="D189" t="str" cm="1">
        <f t="array" aca="1" ref="D1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9" s="2">
        <f t="shared" ca="1" si="81"/>
        <v>30.017279833742371</v>
      </c>
      <c r="F189" t="str" cm="1">
        <f t="array" aca="1" ref="F1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9" s="2">
        <f t="shared" ca="1" si="82"/>
        <v>40.022255411012054</v>
      </c>
      <c r="H189" s="5" t="str" cm="1">
        <f t="array" aca="1" ref="H1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0" spans="1:8" x14ac:dyDescent="0.25">
      <c r="A190" s="2">
        <f t="shared" ca="1" si="79"/>
        <v>3.0029816823320274</v>
      </c>
      <c r="B190" cm="1">
        <f t="array" aca="1" ref="B1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90" s="2">
        <f t="shared" ca="1" si="80"/>
        <v>3.0252234005407637</v>
      </c>
      <c r="D190" t="str" cm="1">
        <f t="array" aca="1" ref="D1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0" s="2">
        <f t="shared" ca="1" si="81"/>
        <v>30.016897711804912</v>
      </c>
      <c r="F190" t="str" cm="1">
        <f t="array" aca="1" ref="F1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0" s="2">
        <f t="shared" ca="1" si="82"/>
        <v>40.000051188764559</v>
      </c>
      <c r="H190" s="5" t="str" cm="1">
        <f t="array" aca="1" ref="H1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1" spans="1:8" x14ac:dyDescent="0.25">
      <c r="A191" s="2">
        <f t="shared" ca="1" si="79"/>
        <v>3.0053436007432515</v>
      </c>
      <c r="B191" cm="1">
        <f t="array" aca="1" ref="B1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91" s="2">
        <f t="shared" ca="1" si="80"/>
        <v>3.0195917251153439</v>
      </c>
      <c r="D191" t="str" cm="1">
        <f t="array" aca="1" ref="D1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1" s="2">
        <f t="shared" ca="1" si="81"/>
        <v>30.02590159984813</v>
      </c>
      <c r="F191" t="str" cm="1">
        <f t="array" aca="1" ref="F1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1" s="2">
        <f t="shared" ca="1" si="82"/>
        <v>40.020846031450375</v>
      </c>
      <c r="H191" s="5" t="str" cm="1">
        <f t="array" aca="1" ref="H1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2" spans="1:8" x14ac:dyDescent="0.25">
      <c r="A192" s="2">
        <f t="shared" ca="1" si="79"/>
        <v>3.0017787637482853</v>
      </c>
      <c r="B192" cm="1">
        <f t="array" aca="1" ref="B1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92" s="2">
        <f t="shared" ca="1" si="80"/>
        <v>3.0284929240019611</v>
      </c>
      <c r="D192" t="str" cm="1">
        <f t="array" aca="1" ref="D1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2" s="2">
        <f t="shared" ca="1" si="81"/>
        <v>30.020832343560691</v>
      </c>
      <c r="F192" t="str" cm="1">
        <f t="array" aca="1" ref="F1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2" s="2">
        <f t="shared" ca="1" si="82"/>
        <v>40.02483275081979</v>
      </c>
      <c r="H192" s="5" t="str" cm="1">
        <f t="array" aca="1" ref="H1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3" spans="1:8" x14ac:dyDescent="0.25">
      <c r="A193" s="2">
        <f t="shared" ca="1" si="79"/>
        <v>3.0007735750686071</v>
      </c>
      <c r="B193" cm="1">
        <f t="array" aca="1" ref="B1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93" s="2">
        <f t="shared" ca="1" si="80"/>
        <v>3.0143598308072614</v>
      </c>
      <c r="D193" t="str" cm="1">
        <f t="array" aca="1" ref="D1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3" s="2">
        <f t="shared" ca="1" si="81"/>
        <v>30.027377848050218</v>
      </c>
      <c r="F193" t="str" cm="1">
        <f t="array" aca="1" ref="F1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3" s="2">
        <f t="shared" ca="1" si="82"/>
        <v>40.014971466934568</v>
      </c>
      <c r="H193" s="5" t="str" cm="1">
        <f t="array" aca="1" ref="H1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4" spans="1:8" x14ac:dyDescent="0.25">
      <c r="A194" s="2">
        <f t="shared" ref="A194:A257" ca="1" si="83">3+RAND()*0.01</f>
        <v>3.0041908111567679</v>
      </c>
      <c r="B194" cm="1">
        <f t="array" aca="1" ref="B1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94" s="2">
        <f t="shared" ref="C194:C257" ca="1" si="84">3+RAND()*0.03</f>
        <v>3.021047000357207</v>
      </c>
      <c r="D194" t="str" cm="1">
        <f t="array" aca="1" ref="D1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4" s="2">
        <f t="shared" ref="E194:E257" ca="1" si="85">30+RAND()*0.03</f>
        <v>30.026278187534597</v>
      </c>
      <c r="F194" t="str" cm="1">
        <f t="array" aca="1" ref="F1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4" s="2">
        <f t="shared" ref="G194:G257" ca="1" si="86">40+RAND()*0.03</f>
        <v>40.025330394713983</v>
      </c>
      <c r="H194" s="5" t="str" cm="1">
        <f t="array" aca="1" ref="H1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5" spans="1:8" x14ac:dyDescent="0.25">
      <c r="A195" s="2">
        <f t="shared" ca="1" si="83"/>
        <v>3.0038691254489662</v>
      </c>
      <c r="B195" cm="1">
        <f t="array" aca="1" ref="B1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95" s="2">
        <f t="shared" ca="1" si="84"/>
        <v>3.0283626852589176</v>
      </c>
      <c r="D195" t="str" cm="1">
        <f t="array" aca="1" ref="D1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5" s="2">
        <f t="shared" ca="1" si="85"/>
        <v>30.028787078580233</v>
      </c>
      <c r="F195" t="str" cm="1">
        <f t="array" aca="1" ref="F1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5" s="2">
        <f t="shared" ca="1" si="86"/>
        <v>40.002677492262528</v>
      </c>
      <c r="H195" s="5" t="str" cm="1">
        <f t="array" aca="1" ref="H1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6" spans="1:8" x14ac:dyDescent="0.25">
      <c r="A196" s="2">
        <f t="shared" ca="1" si="83"/>
        <v>3.0076020550469216</v>
      </c>
      <c r="B196" cm="1">
        <f t="array" aca="1" ref="B1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96" s="2">
        <f t="shared" ca="1" si="84"/>
        <v>3.0261549849470253</v>
      </c>
      <c r="D196" t="str" cm="1">
        <f t="array" aca="1" ref="D1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6" s="2">
        <f t="shared" ca="1" si="85"/>
        <v>30.016460560110421</v>
      </c>
      <c r="F196" t="str" cm="1">
        <f t="array" aca="1" ref="F1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6" s="2">
        <f t="shared" ca="1" si="86"/>
        <v>40.019400721105264</v>
      </c>
      <c r="H196" s="5" t="str" cm="1">
        <f t="array" aca="1" ref="H1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7" spans="1:8" x14ac:dyDescent="0.25">
      <c r="A197" s="2">
        <f t="shared" ca="1" si="83"/>
        <v>3.0025905846563483</v>
      </c>
      <c r="B197" cm="1">
        <f t="array" aca="1" ref="B1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97" s="2">
        <f t="shared" ca="1" si="84"/>
        <v>3.0013929902225374</v>
      </c>
      <c r="D197" t="str" cm="1">
        <f t="array" aca="1" ref="D1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7" s="2">
        <f t="shared" ca="1" si="85"/>
        <v>30.01185755177481</v>
      </c>
      <c r="F197" t="str" cm="1">
        <f t="array" aca="1" ref="F1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7" s="2">
        <f t="shared" ca="1" si="86"/>
        <v>40.024084566430993</v>
      </c>
      <c r="H197" s="5" t="str" cm="1">
        <f t="array" aca="1" ref="H1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8" spans="1:8" x14ac:dyDescent="0.25">
      <c r="A198" s="2">
        <f t="shared" ca="1" si="83"/>
        <v>3.0047747336597408</v>
      </c>
      <c r="B198" cm="1">
        <f t="array" aca="1" ref="B1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98" s="2">
        <f t="shared" ca="1" si="84"/>
        <v>3.0255196534566799</v>
      </c>
      <c r="D198" t="str" cm="1">
        <f t="array" aca="1" ref="D1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8" s="2">
        <f t="shared" ca="1" si="85"/>
        <v>30.008177336754457</v>
      </c>
      <c r="F198" t="str" cm="1">
        <f t="array" aca="1" ref="F1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8" s="2">
        <f t="shared" ca="1" si="86"/>
        <v>40.026378987932205</v>
      </c>
      <c r="H198" s="5" t="str" cm="1">
        <f t="array" aca="1" ref="H1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9" spans="1:8" x14ac:dyDescent="0.25">
      <c r="A199" s="2">
        <f t="shared" ca="1" si="83"/>
        <v>3.0041980153867716</v>
      </c>
      <c r="B199" cm="1">
        <f t="array" aca="1" ref="B1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99" s="2">
        <f t="shared" ca="1" si="84"/>
        <v>3.0257499398411993</v>
      </c>
      <c r="D199" t="str" cm="1">
        <f t="array" aca="1" ref="D1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9" s="2">
        <f t="shared" ca="1" si="85"/>
        <v>30.024095735652732</v>
      </c>
      <c r="F199" t="str" cm="1">
        <f t="array" aca="1" ref="F1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9" s="2">
        <f t="shared" ca="1" si="86"/>
        <v>40.003465375486975</v>
      </c>
      <c r="H199" s="5" t="str" cm="1">
        <f t="array" aca="1" ref="H1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00" spans="1:8" x14ac:dyDescent="0.25">
      <c r="A200" s="2">
        <f t="shared" ca="1" si="83"/>
        <v>3.0040538317417358</v>
      </c>
      <c r="B200" cm="1">
        <f t="array" aca="1" ref="B2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200" s="2">
        <f t="shared" ca="1" si="84"/>
        <v>3.0030575730027524</v>
      </c>
      <c r="D200" t="str" cm="1">
        <f t="array" aca="1" ref="D2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00" s="2">
        <f t="shared" ca="1" si="85"/>
        <v>30.018970537599099</v>
      </c>
      <c r="F200" t="str" cm="1">
        <f t="array" aca="1" ref="F2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00" s="2">
        <f t="shared" ca="1" si="86"/>
        <v>40.025281501141912</v>
      </c>
      <c r="H200" s="5" t="str" cm="1">
        <f t="array" aca="1" ref="H2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01" spans="1:8" x14ac:dyDescent="0.25">
      <c r="A201" s="2">
        <f t="shared" ca="1" si="83"/>
        <v>3.0048018227988624</v>
      </c>
      <c r="B201" s="4" cm="1">
        <f t="array" aca="1" ref="B2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201" s="2">
        <f t="shared" ca="1" si="84"/>
        <v>3.0098765700003782</v>
      </c>
      <c r="D201" t="str" cm="1">
        <f t="array" aca="1" ref="D2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01" s="2">
        <f t="shared" ca="1" si="85"/>
        <v>30.002622665837897</v>
      </c>
      <c r="F201" t="str" cm="1">
        <f t="array" aca="1" ref="F2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01" s="2">
        <f t="shared" ca="1" si="86"/>
        <v>40.02743424930437</v>
      </c>
      <c r="H201" s="5" t="str" cm="1">
        <f t="array" aca="1" ref="H2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02" spans="1:8" x14ac:dyDescent="0.25">
      <c r="A202" s="2">
        <f t="shared" ca="1" si="83"/>
        <v>3.0067139110617536</v>
      </c>
      <c r="B202" s="4" cm="1">
        <f t="array" aca="1" ref="B2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202" s="2">
        <f t="shared" ca="1" si="84"/>
        <v>3.0254775294007414</v>
      </c>
      <c r="D202" s="4" t="str" cm="1">
        <f t="array" aca="1" ref="D2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02" s="2">
        <f t="shared" ca="1" si="85"/>
        <v>30.028024445717687</v>
      </c>
      <c r="F202" s="4" t="str" cm="1">
        <f t="array" aca="1" ref="F2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02" s="2">
        <f t="shared" ca="1" si="86"/>
        <v>40.019064111480645</v>
      </c>
      <c r="H202" s="47" t="str" cm="1">
        <f t="array" aca="1" ref="H2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03" spans="1:8" x14ac:dyDescent="0.25">
      <c r="A203" s="2">
        <f t="shared" ca="1" si="83"/>
        <v>3.00290967467746</v>
      </c>
      <c r="B203" s="4" cm="1">
        <f t="array" aca="1" ref="B2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203" s="2">
        <f t="shared" ca="1" si="84"/>
        <v>3.0156434863736603</v>
      </c>
      <c r="D203" s="4" t="str" cm="1">
        <f t="array" aca="1" ref="D2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03" s="2">
        <f t="shared" ca="1" si="85"/>
        <v>30.012401084700691</v>
      </c>
      <c r="F203" s="4" t="str" cm="1">
        <f t="array" aca="1" ref="F2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03" s="2">
        <f t="shared" ca="1" si="86"/>
        <v>40.016020579388766</v>
      </c>
      <c r="H203" s="47" t="str" cm="1">
        <f t="array" aca="1" ref="H2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04" spans="1:8" x14ac:dyDescent="0.25">
      <c r="A204" s="2">
        <f t="shared" ca="1" si="83"/>
        <v>3.0010892533231792</v>
      </c>
      <c r="B204" s="4" cm="1">
        <f t="array" aca="1" ref="B2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204" s="2">
        <f t="shared" ca="1" si="84"/>
        <v>3.0178980111982283</v>
      </c>
      <c r="D204" s="4" t="str" cm="1">
        <f t="array" aca="1" ref="D2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04" s="2">
        <f t="shared" ca="1" si="85"/>
        <v>30.007927432751387</v>
      </c>
      <c r="F204" s="4" t="str" cm="1">
        <f t="array" aca="1" ref="F2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04" s="2">
        <f t="shared" ca="1" si="86"/>
        <v>40.008956998160976</v>
      </c>
      <c r="H204" s="47" t="str" cm="1">
        <f t="array" aca="1" ref="H2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05" spans="1:8" x14ac:dyDescent="0.25">
      <c r="A205" s="2">
        <f t="shared" ca="1" si="83"/>
        <v>3.0036383622212903</v>
      </c>
      <c r="B205" s="4" cm="1">
        <f t="array" aca="1" ref="B2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205" s="2">
        <f t="shared" ca="1" si="84"/>
        <v>3.0050011310435254</v>
      </c>
      <c r="D205" s="4" t="str" cm="1">
        <f t="array" aca="1" ref="D2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05" s="2">
        <f t="shared" ca="1" si="85"/>
        <v>30.018646154870371</v>
      </c>
      <c r="F205" s="4" t="str" cm="1">
        <f t="array" aca="1" ref="F2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05" s="2">
        <f t="shared" ca="1" si="86"/>
        <v>40.008210282254659</v>
      </c>
      <c r="H205" s="47" t="str" cm="1">
        <f t="array" aca="1" ref="H2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06" spans="1:8" x14ac:dyDescent="0.25">
      <c r="A206" s="2">
        <f t="shared" ca="1" si="83"/>
        <v>3.007521650611261</v>
      </c>
      <c r="B206" s="4" cm="1">
        <f t="array" aca="1" ref="B2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206" s="2">
        <f t="shared" ca="1" si="84"/>
        <v>3.0277233310332314</v>
      </c>
      <c r="D206" s="4" t="str" cm="1">
        <f t="array" aca="1" ref="D2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06" s="2">
        <f t="shared" ca="1" si="85"/>
        <v>30.006418566656105</v>
      </c>
      <c r="F206" s="4" t="str" cm="1">
        <f t="array" aca="1" ref="F2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06" s="2">
        <f t="shared" ca="1" si="86"/>
        <v>40.006170538916273</v>
      </c>
      <c r="H206" s="47" t="str" cm="1">
        <f t="array" aca="1" ref="H2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07" spans="1:8" x14ac:dyDescent="0.25">
      <c r="A207" s="2">
        <f t="shared" ca="1" si="83"/>
        <v>3.0068586384041343</v>
      </c>
      <c r="B207" s="4" cm="1">
        <f t="array" aca="1" ref="B2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207" s="2">
        <f t="shared" ca="1" si="84"/>
        <v>3.0003127461520034</v>
      </c>
      <c r="D207" s="4" t="str" cm="1">
        <f t="array" aca="1" ref="D2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07" s="2">
        <f t="shared" ca="1" si="85"/>
        <v>30.012763334553242</v>
      </c>
      <c r="F207" s="4" t="str" cm="1">
        <f t="array" aca="1" ref="F2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07" s="2">
        <f t="shared" ca="1" si="86"/>
        <v>40.025669830713611</v>
      </c>
      <c r="H207" s="47" t="str" cm="1">
        <f t="array" aca="1" ref="H2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08" spans="1:8" x14ac:dyDescent="0.25">
      <c r="A208" s="2">
        <f t="shared" ca="1" si="83"/>
        <v>3.006752666837671</v>
      </c>
      <c r="B208" s="4" cm="1">
        <f t="array" aca="1" ref="B2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208" s="2">
        <f t="shared" ca="1" si="84"/>
        <v>3.0018005679851343</v>
      </c>
      <c r="D208" s="4" t="str" cm="1">
        <f t="array" aca="1" ref="D2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08" s="2">
        <f t="shared" ca="1" si="85"/>
        <v>30.007201736899457</v>
      </c>
      <c r="F208" s="4" t="str" cm="1">
        <f t="array" aca="1" ref="F2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08" s="2">
        <f t="shared" ca="1" si="86"/>
        <v>40.017818062716309</v>
      </c>
      <c r="H208" s="47" t="str" cm="1">
        <f t="array" aca="1" ref="H2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09" spans="1:8" x14ac:dyDescent="0.25">
      <c r="A209" s="2">
        <f t="shared" ca="1" si="83"/>
        <v>3.0078640229686724</v>
      </c>
      <c r="B209" s="4" cm="1">
        <f t="array" aca="1" ref="B2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209" s="2">
        <f t="shared" ca="1" si="84"/>
        <v>3.020425165286281</v>
      </c>
      <c r="D209" s="4" t="str" cm="1">
        <f t="array" aca="1" ref="D2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09" s="2">
        <f t="shared" ca="1" si="85"/>
        <v>30.029426501773418</v>
      </c>
      <c r="F209" s="4" t="str" cm="1">
        <f t="array" aca="1" ref="F2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09" s="2">
        <f t="shared" ca="1" si="86"/>
        <v>40.021096930544289</v>
      </c>
      <c r="H209" s="47" t="str" cm="1">
        <f t="array" aca="1" ref="H2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10" spans="1:8" x14ac:dyDescent="0.25">
      <c r="A210" s="2">
        <f t="shared" ca="1" si="83"/>
        <v>3.009957104633886</v>
      </c>
      <c r="B210" s="4" cm="1">
        <f t="array" aca="1" ref="B2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210" s="2">
        <f t="shared" ca="1" si="84"/>
        <v>3.0234376375018597</v>
      </c>
      <c r="D210" s="4" t="str" cm="1">
        <f t="array" aca="1" ref="D2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10" s="2">
        <f t="shared" ca="1" si="85"/>
        <v>30.023542188748024</v>
      </c>
      <c r="F210" s="4" t="str" cm="1">
        <f t="array" aca="1" ref="F2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10" s="2">
        <f t="shared" ca="1" si="86"/>
        <v>40.019137662902537</v>
      </c>
      <c r="H210" s="47" t="str" cm="1">
        <f t="array" aca="1" ref="H2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11" spans="1:8" x14ac:dyDescent="0.25">
      <c r="A211" s="2">
        <f t="shared" ca="1" si="83"/>
        <v>3.0005545999815224</v>
      </c>
      <c r="B211" s="4" cm="1">
        <f t="array" aca="1" ref="B2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211" s="2">
        <f t="shared" ca="1" si="84"/>
        <v>3.0146735920400496</v>
      </c>
      <c r="D211" s="4" t="str" cm="1">
        <f t="array" aca="1" ref="D2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11" s="2">
        <f t="shared" ca="1" si="85"/>
        <v>30.009529589602579</v>
      </c>
      <c r="F211" s="4" t="str" cm="1">
        <f t="array" aca="1" ref="F2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11" s="2">
        <f t="shared" ca="1" si="86"/>
        <v>40.004938719245366</v>
      </c>
      <c r="H211" s="47" t="str" cm="1">
        <f t="array" aca="1" ref="H2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12" spans="1:8" x14ac:dyDescent="0.25">
      <c r="A212" s="2">
        <f t="shared" ca="1" si="83"/>
        <v>3.0061984588709079</v>
      </c>
      <c r="B212" s="4" cm="1">
        <f t="array" aca="1" ref="B2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212" s="2">
        <f t="shared" ca="1" si="84"/>
        <v>3.0084201497650733</v>
      </c>
      <c r="D212" s="4" t="str" cm="1">
        <f t="array" aca="1" ref="D2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12" s="2">
        <f t="shared" ca="1" si="85"/>
        <v>30.026272858970696</v>
      </c>
      <c r="F212" s="4" t="str" cm="1">
        <f t="array" aca="1" ref="F2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12" s="2">
        <f t="shared" ca="1" si="86"/>
        <v>40.01665655710152</v>
      </c>
      <c r="H212" s="47" t="str" cm="1">
        <f t="array" aca="1" ref="H2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13" spans="1:8" x14ac:dyDescent="0.25">
      <c r="A213" s="2">
        <f t="shared" ca="1" si="83"/>
        <v>3.006961166689929</v>
      </c>
      <c r="B213" s="4" cm="1">
        <f t="array" aca="1" ref="B2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213" s="2">
        <f t="shared" ca="1" si="84"/>
        <v>3.0175137740288847</v>
      </c>
      <c r="D213" s="4" t="str" cm="1">
        <f t="array" aca="1" ref="D2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13" s="2">
        <f t="shared" ca="1" si="85"/>
        <v>30.01271243907696</v>
      </c>
      <c r="F213" s="4" t="str" cm="1">
        <f t="array" aca="1" ref="F2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13" s="2">
        <f t="shared" ca="1" si="86"/>
        <v>40.012443950856394</v>
      </c>
      <c r="H213" s="47" t="str" cm="1">
        <f t="array" aca="1" ref="H2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14" spans="1:8" x14ac:dyDescent="0.25">
      <c r="A214" s="2">
        <f t="shared" ca="1" si="83"/>
        <v>3.0024583250847416</v>
      </c>
      <c r="B214" s="4" cm="1">
        <f t="array" aca="1" ref="B2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214" s="2">
        <f t="shared" ca="1" si="84"/>
        <v>3.0269027623516678</v>
      </c>
      <c r="D214" s="4" t="str" cm="1">
        <f t="array" aca="1" ref="D2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14" s="2">
        <f t="shared" ca="1" si="85"/>
        <v>30.020703286386727</v>
      </c>
      <c r="F214" s="4" t="str" cm="1">
        <f t="array" aca="1" ref="F2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14" s="2">
        <f t="shared" ca="1" si="86"/>
        <v>40.016637449470444</v>
      </c>
      <c r="H214" s="47" t="str" cm="1">
        <f t="array" aca="1" ref="H2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15" spans="1:8" x14ac:dyDescent="0.25">
      <c r="A215" s="2">
        <f t="shared" ca="1" si="83"/>
        <v>3.0049351907460906</v>
      </c>
      <c r="B215" s="4" cm="1">
        <f t="array" aca="1" ref="B2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215" s="2">
        <f t="shared" ca="1" si="84"/>
        <v>3.0265824731114241</v>
      </c>
      <c r="D215" s="4" t="str" cm="1">
        <f t="array" aca="1" ref="D2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15" s="2">
        <f t="shared" ca="1" si="85"/>
        <v>30.009786606230335</v>
      </c>
      <c r="F215" s="4" t="str" cm="1">
        <f t="array" aca="1" ref="F2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15" s="2">
        <f t="shared" ca="1" si="86"/>
        <v>40.021577641408179</v>
      </c>
      <c r="H215" s="47" t="str" cm="1">
        <f t="array" aca="1" ref="H2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16" spans="1:8" x14ac:dyDescent="0.25">
      <c r="A216" s="2">
        <f t="shared" ca="1" si="83"/>
        <v>3.0007601365382826</v>
      </c>
      <c r="B216" s="4" cm="1">
        <f t="array" aca="1" ref="B2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216" s="2">
        <f t="shared" ca="1" si="84"/>
        <v>3.0162010727675677</v>
      </c>
      <c r="D216" s="4" t="str" cm="1">
        <f t="array" aca="1" ref="D2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16" s="2">
        <f t="shared" ca="1" si="85"/>
        <v>30.029798390079325</v>
      </c>
      <c r="F216" s="4" t="str" cm="1">
        <f t="array" aca="1" ref="F2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16" s="2">
        <f t="shared" ca="1" si="86"/>
        <v>40.009005913054125</v>
      </c>
      <c r="H216" s="47" t="str" cm="1">
        <f t="array" aca="1" ref="H2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17" spans="1:8" x14ac:dyDescent="0.25">
      <c r="A217" s="2">
        <f t="shared" ca="1" si="83"/>
        <v>3.0018460319766298</v>
      </c>
      <c r="B217" s="4" cm="1">
        <f t="array" aca="1" ref="B2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217" s="2">
        <f t="shared" ca="1" si="84"/>
        <v>3.0102631234501218</v>
      </c>
      <c r="D217" s="4" t="str" cm="1">
        <f t="array" aca="1" ref="D2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17" s="2">
        <f t="shared" ca="1" si="85"/>
        <v>30.028834640498875</v>
      </c>
      <c r="F217" s="4" t="str" cm="1">
        <f t="array" aca="1" ref="F2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17" s="2">
        <f t="shared" ca="1" si="86"/>
        <v>40.024760631841765</v>
      </c>
      <c r="H217" s="47" t="str" cm="1">
        <f t="array" aca="1" ref="H2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18" spans="1:8" x14ac:dyDescent="0.25">
      <c r="A218" s="2">
        <f t="shared" ca="1" si="83"/>
        <v>3.0059009994096697</v>
      </c>
      <c r="B218" s="4" cm="1">
        <f t="array" aca="1" ref="B2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218" s="2">
        <f t="shared" ca="1" si="84"/>
        <v>3.0166833615533588</v>
      </c>
      <c r="D218" s="4" t="str" cm="1">
        <f t="array" aca="1" ref="D2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18" s="2">
        <f t="shared" ca="1" si="85"/>
        <v>30.017497371806442</v>
      </c>
      <c r="F218" s="4" t="str" cm="1">
        <f t="array" aca="1" ref="F2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18" s="2">
        <f t="shared" ca="1" si="86"/>
        <v>40.015002024280562</v>
      </c>
      <c r="H218" s="47" t="str" cm="1">
        <f t="array" aca="1" ref="H2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19" spans="1:8" x14ac:dyDescent="0.25">
      <c r="A219" s="2">
        <f t="shared" ca="1" si="83"/>
        <v>3.0083624875541881</v>
      </c>
      <c r="B219" s="4" cm="1">
        <f t="array" aca="1" ref="B2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219" s="2">
        <f t="shared" ca="1" si="84"/>
        <v>3.0273581602353645</v>
      </c>
      <c r="D219" s="4" t="str" cm="1">
        <f t="array" aca="1" ref="D2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19" s="2">
        <f t="shared" ca="1" si="85"/>
        <v>30.009274978244733</v>
      </c>
      <c r="F219" s="4" t="str" cm="1">
        <f t="array" aca="1" ref="F2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19" s="2">
        <f t="shared" ca="1" si="86"/>
        <v>40.006409780273557</v>
      </c>
      <c r="H219" s="47" t="str" cm="1">
        <f t="array" aca="1" ref="H2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20" spans="1:8" x14ac:dyDescent="0.25">
      <c r="A220" s="2">
        <f t="shared" ca="1" si="83"/>
        <v>3.0092056899715303</v>
      </c>
      <c r="B220" s="4" cm="1">
        <f t="array" aca="1" ref="B2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220" s="2">
        <f t="shared" ca="1" si="84"/>
        <v>3.0177274067890125</v>
      </c>
      <c r="D220" s="4" t="str" cm="1">
        <f t="array" aca="1" ref="D2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20" s="2">
        <f t="shared" ca="1" si="85"/>
        <v>30.002376600847001</v>
      </c>
      <c r="F220" s="4" t="str" cm="1">
        <f t="array" aca="1" ref="F2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20" s="2">
        <f t="shared" ca="1" si="86"/>
        <v>40.028569073967702</v>
      </c>
      <c r="H220" s="47" t="str" cm="1">
        <f t="array" aca="1" ref="H2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21" spans="1:8" x14ac:dyDescent="0.25">
      <c r="A221" s="2">
        <f t="shared" ca="1" si="83"/>
        <v>3.0019549552855027</v>
      </c>
      <c r="B221" s="4" cm="1">
        <f t="array" aca="1" ref="B2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221" s="2">
        <f t="shared" ca="1" si="84"/>
        <v>3.012778758515982</v>
      </c>
      <c r="D221" s="4" t="str" cm="1">
        <f t="array" aca="1" ref="D2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21" s="2">
        <f t="shared" ca="1" si="85"/>
        <v>30.010042162808631</v>
      </c>
      <c r="F221" s="4" t="str" cm="1">
        <f t="array" aca="1" ref="F2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21" s="2">
        <f t="shared" ca="1" si="86"/>
        <v>40.025722722639358</v>
      </c>
      <c r="H221" s="47" t="str" cm="1">
        <f t="array" aca="1" ref="H2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22" spans="1:8" x14ac:dyDescent="0.25">
      <c r="A222" s="2">
        <f t="shared" ca="1" si="83"/>
        <v>3.0087237494742824</v>
      </c>
      <c r="B222" s="4" cm="1">
        <f t="array" aca="1" ref="B2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222" s="2">
        <f t="shared" ca="1" si="84"/>
        <v>3.0106037799349279</v>
      </c>
      <c r="D222" s="4" t="str" cm="1">
        <f t="array" aca="1" ref="D2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22" s="2">
        <f t="shared" ca="1" si="85"/>
        <v>30.025994574668875</v>
      </c>
      <c r="F222" s="4" t="str" cm="1">
        <f t="array" aca="1" ref="F2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22" s="2">
        <f t="shared" ca="1" si="86"/>
        <v>40.003931050395032</v>
      </c>
      <c r="H222" s="47" t="str" cm="1">
        <f t="array" aca="1" ref="H2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23" spans="1:8" x14ac:dyDescent="0.25">
      <c r="A223" s="2">
        <f t="shared" ca="1" si="83"/>
        <v>3.0019433819853498</v>
      </c>
      <c r="B223" s="4" cm="1">
        <f t="array" aca="1" ref="B2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223" s="2">
        <f t="shared" ca="1" si="84"/>
        <v>3.0012870251945429</v>
      </c>
      <c r="D223" s="4" t="str" cm="1">
        <f t="array" aca="1" ref="D2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23" s="2">
        <f t="shared" ca="1" si="85"/>
        <v>30.010256868119651</v>
      </c>
      <c r="F223" s="4" t="str" cm="1">
        <f t="array" aca="1" ref="F2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23" s="2">
        <f t="shared" ca="1" si="86"/>
        <v>40.003380535068153</v>
      </c>
      <c r="H223" s="47" t="str" cm="1">
        <f t="array" aca="1" ref="H2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24" spans="1:8" x14ac:dyDescent="0.25">
      <c r="A224" s="2">
        <f t="shared" ca="1" si="83"/>
        <v>3.0092836256550175</v>
      </c>
      <c r="B224" s="4" cm="1">
        <f t="array" aca="1" ref="B2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224" s="2">
        <f t="shared" ca="1" si="84"/>
        <v>3.0048328754548406</v>
      </c>
      <c r="D224" s="4" t="str" cm="1">
        <f t="array" aca="1" ref="D2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24" s="2">
        <f t="shared" ca="1" si="85"/>
        <v>30.002999871416602</v>
      </c>
      <c r="F224" s="4" t="str" cm="1">
        <f t="array" aca="1" ref="F2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24" s="2">
        <f t="shared" ca="1" si="86"/>
        <v>40.028684377257541</v>
      </c>
      <c r="H224" s="47" t="str" cm="1">
        <f t="array" aca="1" ref="H2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25" spans="1:8" x14ac:dyDescent="0.25">
      <c r="A225" s="2">
        <f t="shared" ca="1" si="83"/>
        <v>3.0065996005393401</v>
      </c>
      <c r="B225" s="4" cm="1">
        <f t="array" aca="1" ref="B2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225" s="2">
        <f t="shared" ca="1" si="84"/>
        <v>3.0163227954228495</v>
      </c>
      <c r="D225" s="4" t="str" cm="1">
        <f t="array" aca="1" ref="D2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25" s="2">
        <f t="shared" ca="1" si="85"/>
        <v>30.022502165277363</v>
      </c>
      <c r="F225" s="4" t="str" cm="1">
        <f t="array" aca="1" ref="F2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25" s="2">
        <f t="shared" ca="1" si="86"/>
        <v>40.024248227995919</v>
      </c>
      <c r="H225" s="47" t="str" cm="1">
        <f t="array" aca="1" ref="H2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26" spans="1:8" x14ac:dyDescent="0.25">
      <c r="A226" s="2">
        <f t="shared" ca="1" si="83"/>
        <v>3.0000454677885564</v>
      </c>
      <c r="B226" s="4" cm="1">
        <f t="array" aca="1" ref="B2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226" s="2">
        <f t="shared" ca="1" si="84"/>
        <v>3.022397470090572</v>
      </c>
      <c r="D226" s="4" t="str" cm="1">
        <f t="array" aca="1" ref="D2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26" s="2">
        <f t="shared" ca="1" si="85"/>
        <v>30.011826251307372</v>
      </c>
      <c r="F226" s="4" t="str" cm="1">
        <f t="array" aca="1" ref="F2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26" s="2">
        <f t="shared" ca="1" si="86"/>
        <v>40.028670900465073</v>
      </c>
      <c r="H226" s="47" t="str" cm="1">
        <f t="array" aca="1" ref="H2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27" spans="1:8" x14ac:dyDescent="0.25">
      <c r="A227" s="2">
        <f t="shared" ca="1" si="83"/>
        <v>3.00034016824497</v>
      </c>
      <c r="B227" s="4" cm="1">
        <f t="array" aca="1" ref="B2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227" s="2">
        <f t="shared" ca="1" si="84"/>
        <v>3.012289479240287</v>
      </c>
      <c r="D227" s="4" t="str" cm="1">
        <f t="array" aca="1" ref="D2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27" s="2">
        <f t="shared" ca="1" si="85"/>
        <v>30.015895431446229</v>
      </c>
      <c r="F227" s="4" t="str" cm="1">
        <f t="array" aca="1" ref="F2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27" s="2">
        <f t="shared" ca="1" si="86"/>
        <v>40.028519807287168</v>
      </c>
      <c r="H227" s="47" t="str" cm="1">
        <f t="array" aca="1" ref="H2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28" spans="1:8" x14ac:dyDescent="0.25">
      <c r="A228" s="2">
        <f t="shared" ca="1" si="83"/>
        <v>3.0032769005300324</v>
      </c>
      <c r="B228" s="4" cm="1">
        <f t="array" aca="1" ref="B2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228" s="2">
        <f t="shared" ca="1" si="84"/>
        <v>3.0038968129431276</v>
      </c>
      <c r="D228" s="4" t="str" cm="1">
        <f t="array" aca="1" ref="D2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28" s="2">
        <f t="shared" ca="1" si="85"/>
        <v>30.021998744018056</v>
      </c>
      <c r="F228" s="4" t="str" cm="1">
        <f t="array" aca="1" ref="F2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28" s="2">
        <f t="shared" ca="1" si="86"/>
        <v>40.004900328380621</v>
      </c>
      <c r="H228" s="47" t="str" cm="1">
        <f t="array" aca="1" ref="H2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29" spans="1:8" x14ac:dyDescent="0.25">
      <c r="A229" s="2">
        <f t="shared" ca="1" si="83"/>
        <v>3.0046216387289748</v>
      </c>
      <c r="B229" s="4" cm="1">
        <f t="array" aca="1" ref="B2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229" s="2">
        <f t="shared" ca="1" si="84"/>
        <v>3.0149913100719958</v>
      </c>
      <c r="D229" s="4" t="str" cm="1">
        <f t="array" aca="1" ref="D2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29" s="2">
        <f t="shared" ca="1" si="85"/>
        <v>30.008537047096681</v>
      </c>
      <c r="F229" s="4" t="str" cm="1">
        <f t="array" aca="1" ref="F2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29" s="2">
        <f t="shared" ca="1" si="86"/>
        <v>40.017772737023229</v>
      </c>
      <c r="H229" s="47" t="str" cm="1">
        <f t="array" aca="1" ref="H2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30" spans="1:8" x14ac:dyDescent="0.25">
      <c r="A230" s="2">
        <f t="shared" ca="1" si="83"/>
        <v>3.0013827950808993</v>
      </c>
      <c r="B230" s="4" cm="1">
        <f t="array" aca="1" ref="B2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230" s="2">
        <f t="shared" ca="1" si="84"/>
        <v>3.0225526999428198</v>
      </c>
      <c r="D230" s="4" t="str" cm="1">
        <f t="array" aca="1" ref="D2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30" s="2">
        <f t="shared" ca="1" si="85"/>
        <v>30.001751453620255</v>
      </c>
      <c r="F230" s="4" t="str" cm="1">
        <f t="array" aca="1" ref="F2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30" s="2">
        <f t="shared" ca="1" si="86"/>
        <v>40.025362082668039</v>
      </c>
      <c r="H230" s="47" t="str" cm="1">
        <f t="array" aca="1" ref="H2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31" spans="1:8" x14ac:dyDescent="0.25">
      <c r="A231" s="2">
        <f t="shared" ca="1" si="83"/>
        <v>3.0074531195560135</v>
      </c>
      <c r="B231" s="4" cm="1">
        <f t="array" aca="1" ref="B2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231" s="2">
        <f t="shared" ca="1" si="84"/>
        <v>3.0299351021531336</v>
      </c>
      <c r="D231" s="4" t="str" cm="1">
        <f t="array" aca="1" ref="D2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31" s="2">
        <f t="shared" ca="1" si="85"/>
        <v>30.014927669052039</v>
      </c>
      <c r="F231" s="4" t="str" cm="1">
        <f t="array" aca="1" ref="F2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31" s="2">
        <f t="shared" ca="1" si="86"/>
        <v>40.009842751794913</v>
      </c>
      <c r="H231" s="47" t="str" cm="1">
        <f t="array" aca="1" ref="H2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32" spans="1:8" x14ac:dyDescent="0.25">
      <c r="A232" s="2">
        <f t="shared" ca="1" si="83"/>
        <v>3.0015352651958054</v>
      </c>
      <c r="B232" s="4" cm="1">
        <f t="array" aca="1" ref="B2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232" s="2">
        <f t="shared" ca="1" si="84"/>
        <v>3.0024190446307819</v>
      </c>
      <c r="D232" s="4" t="str" cm="1">
        <f t="array" aca="1" ref="D2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32" s="2">
        <f t="shared" ca="1" si="85"/>
        <v>30.025923186243606</v>
      </c>
      <c r="F232" s="4" t="str" cm="1">
        <f t="array" aca="1" ref="F2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32" s="2">
        <f t="shared" ca="1" si="86"/>
        <v>40.018519603094589</v>
      </c>
      <c r="H232" s="47" t="str" cm="1">
        <f t="array" aca="1" ref="H2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33" spans="1:8" x14ac:dyDescent="0.25">
      <c r="A233" s="2">
        <f t="shared" ca="1" si="83"/>
        <v>3.0070810789651206</v>
      </c>
      <c r="B233" s="4" cm="1">
        <f t="array" aca="1" ref="B2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233" s="2">
        <f t="shared" ca="1" si="84"/>
        <v>3.0194136860461391</v>
      </c>
      <c r="D233" s="4" t="str" cm="1">
        <f t="array" aca="1" ref="D2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33" s="2">
        <f t="shared" ca="1" si="85"/>
        <v>30.028103553015136</v>
      </c>
      <c r="F233" s="4" t="str" cm="1">
        <f t="array" aca="1" ref="F2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33" s="2">
        <f t="shared" ca="1" si="86"/>
        <v>40.008659830937198</v>
      </c>
      <c r="H233" s="47" t="str" cm="1">
        <f t="array" aca="1" ref="H2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34" spans="1:8" x14ac:dyDescent="0.25">
      <c r="A234" s="2">
        <f t="shared" ca="1" si="83"/>
        <v>3.0081864698200276</v>
      </c>
      <c r="B234" s="4" cm="1">
        <f t="array" aca="1" ref="B2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234" s="2">
        <f t="shared" ca="1" si="84"/>
        <v>3.0011488862837048</v>
      </c>
      <c r="D234" s="4" t="str" cm="1">
        <f t="array" aca="1" ref="D2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34" s="2">
        <f t="shared" ca="1" si="85"/>
        <v>30.027774742031124</v>
      </c>
      <c r="F234" s="4" t="str" cm="1">
        <f t="array" aca="1" ref="F2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34" s="2">
        <f t="shared" ca="1" si="86"/>
        <v>40.001911775685471</v>
      </c>
      <c r="H234" s="47" t="str" cm="1">
        <f t="array" aca="1" ref="H2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35" spans="1:8" x14ac:dyDescent="0.25">
      <c r="A235" s="2">
        <f t="shared" ca="1" si="83"/>
        <v>3.002959672628315</v>
      </c>
      <c r="B235" s="4" cm="1">
        <f t="array" aca="1" ref="B2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235" s="2">
        <f t="shared" ca="1" si="84"/>
        <v>3.0017440681611358</v>
      </c>
      <c r="D235" s="4" t="str" cm="1">
        <f t="array" aca="1" ref="D2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35" s="2">
        <f t="shared" ca="1" si="85"/>
        <v>30.021132703222914</v>
      </c>
      <c r="F235" s="4" t="str" cm="1">
        <f t="array" aca="1" ref="F2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35" s="2">
        <f t="shared" ca="1" si="86"/>
        <v>40.027479666864664</v>
      </c>
      <c r="H235" s="47" t="str" cm="1">
        <f t="array" aca="1" ref="H2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36" spans="1:8" x14ac:dyDescent="0.25">
      <c r="A236" s="2">
        <f t="shared" ca="1" si="83"/>
        <v>3.0008182951396889</v>
      </c>
      <c r="B236" s="4" cm="1">
        <f t="array" aca="1" ref="B2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236" s="2">
        <f t="shared" ca="1" si="84"/>
        <v>3.0132263491918669</v>
      </c>
      <c r="D236" s="4" t="str" cm="1">
        <f t="array" aca="1" ref="D2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36" s="2">
        <f t="shared" ca="1" si="85"/>
        <v>30.013024290378926</v>
      </c>
      <c r="F236" s="4" t="str" cm="1">
        <f t="array" aca="1" ref="F2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36" s="2">
        <f t="shared" ca="1" si="86"/>
        <v>40.026525918540273</v>
      </c>
      <c r="H236" s="47" t="str" cm="1">
        <f t="array" aca="1" ref="H2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37" spans="1:8" x14ac:dyDescent="0.25">
      <c r="A237" s="2">
        <f t="shared" ca="1" si="83"/>
        <v>3.0063493136849111</v>
      </c>
      <c r="B237" s="4" cm="1">
        <f t="array" aca="1" ref="B2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237" s="2">
        <f t="shared" ca="1" si="84"/>
        <v>3.0105931170169553</v>
      </c>
      <c r="D237" s="4" t="str" cm="1">
        <f t="array" aca="1" ref="D2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37" s="2">
        <f t="shared" ca="1" si="85"/>
        <v>30.003639678995313</v>
      </c>
      <c r="F237" s="4" t="str" cm="1">
        <f t="array" aca="1" ref="F2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37" s="2">
        <f t="shared" ca="1" si="86"/>
        <v>40.001633845311964</v>
      </c>
      <c r="H237" s="47" t="str" cm="1">
        <f t="array" aca="1" ref="H2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38" spans="1:8" x14ac:dyDescent="0.25">
      <c r="A238" s="2">
        <f t="shared" ca="1" si="83"/>
        <v>3.0099262593553999</v>
      </c>
      <c r="B238" s="4" cm="1">
        <f t="array" aca="1" ref="B2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238" s="2">
        <f t="shared" ca="1" si="84"/>
        <v>3.0074675038108398</v>
      </c>
      <c r="D238" s="4" t="str" cm="1">
        <f t="array" aca="1" ref="D2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38" s="2">
        <f t="shared" ca="1" si="85"/>
        <v>30.011301641985028</v>
      </c>
      <c r="F238" s="4" t="str" cm="1">
        <f t="array" aca="1" ref="F2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38" s="2">
        <f t="shared" ca="1" si="86"/>
        <v>40.003395777441256</v>
      </c>
      <c r="H238" s="47" t="str" cm="1">
        <f t="array" aca="1" ref="H2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39" spans="1:8" x14ac:dyDescent="0.25">
      <c r="A239" s="2">
        <f t="shared" ca="1" si="83"/>
        <v>3.0085797296011507</v>
      </c>
      <c r="B239" s="4" cm="1">
        <f t="array" aca="1" ref="B2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239" s="2">
        <f t="shared" ca="1" si="84"/>
        <v>3.0276198018839229</v>
      </c>
      <c r="D239" s="4" t="str" cm="1">
        <f t="array" aca="1" ref="D2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39" s="2">
        <f t="shared" ca="1" si="85"/>
        <v>30.021793093365577</v>
      </c>
      <c r="F239" s="4" t="str" cm="1">
        <f t="array" aca="1" ref="F2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39" s="2">
        <f t="shared" ca="1" si="86"/>
        <v>40.026677543593351</v>
      </c>
      <c r="H239" s="47" t="str" cm="1">
        <f t="array" aca="1" ref="H2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40" spans="1:8" x14ac:dyDescent="0.25">
      <c r="A240" s="2">
        <f t="shared" ca="1" si="83"/>
        <v>3.0092692406266552</v>
      </c>
      <c r="B240" s="4" cm="1">
        <f t="array" aca="1" ref="B2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240" s="2">
        <f t="shared" ca="1" si="84"/>
        <v>3.0222770814160289</v>
      </c>
      <c r="D240" s="4" t="str" cm="1">
        <f t="array" aca="1" ref="D2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40" s="2">
        <f t="shared" ca="1" si="85"/>
        <v>30.007904429572836</v>
      </c>
      <c r="F240" s="4" t="str" cm="1">
        <f t="array" aca="1" ref="F2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40" s="2">
        <f t="shared" ca="1" si="86"/>
        <v>40.003282687677341</v>
      </c>
      <c r="H240" s="47" t="str" cm="1">
        <f t="array" aca="1" ref="H2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41" spans="1:8" x14ac:dyDescent="0.25">
      <c r="A241" s="2">
        <f t="shared" ca="1" si="83"/>
        <v>3.0079739086205666</v>
      </c>
      <c r="B241" s="4" cm="1">
        <f t="array" aca="1" ref="B2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241" s="2">
        <f t="shared" ca="1" si="84"/>
        <v>3.0278089455634518</v>
      </c>
      <c r="D241" s="4" t="str" cm="1">
        <f t="array" aca="1" ref="D2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41" s="2">
        <f t="shared" ca="1" si="85"/>
        <v>30.029231565606512</v>
      </c>
      <c r="F241" s="4" t="str" cm="1">
        <f t="array" aca="1" ref="F2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41" s="2">
        <f t="shared" ca="1" si="86"/>
        <v>40.01687571074612</v>
      </c>
      <c r="H241" s="47" t="str" cm="1">
        <f t="array" aca="1" ref="H2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42" spans="1:8" x14ac:dyDescent="0.25">
      <c r="A242" s="2">
        <f t="shared" ca="1" si="83"/>
        <v>3.0079211576803764</v>
      </c>
      <c r="B242" s="4" cm="1">
        <f t="array" aca="1" ref="B2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242" s="2">
        <f t="shared" ca="1" si="84"/>
        <v>3.0146724490959573</v>
      </c>
      <c r="D242" s="4" t="str" cm="1">
        <f t="array" aca="1" ref="D2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42" s="2">
        <f t="shared" ca="1" si="85"/>
        <v>30.016741823118561</v>
      </c>
      <c r="F242" s="4" t="str" cm="1">
        <f t="array" aca="1" ref="F2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42" s="2">
        <f t="shared" ca="1" si="86"/>
        <v>40.022013942144142</v>
      </c>
      <c r="H242" s="47" t="str" cm="1">
        <f t="array" aca="1" ref="H2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43" spans="1:8" x14ac:dyDescent="0.25">
      <c r="A243" s="2">
        <f t="shared" ca="1" si="83"/>
        <v>3.0068994123028041</v>
      </c>
      <c r="B243" s="4" cm="1">
        <f t="array" aca="1" ref="B2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243" s="2">
        <f t="shared" ca="1" si="84"/>
        <v>3.0102075283555361</v>
      </c>
      <c r="D243" s="4" t="str" cm="1">
        <f t="array" aca="1" ref="D2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43" s="2">
        <f t="shared" ca="1" si="85"/>
        <v>30.005443222947076</v>
      </c>
      <c r="F243" s="4" t="str" cm="1">
        <f t="array" aca="1" ref="F2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43" s="2">
        <f t="shared" ca="1" si="86"/>
        <v>40.000849763986103</v>
      </c>
      <c r="H243" s="47" t="str" cm="1">
        <f t="array" aca="1" ref="H2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44" spans="1:8" x14ac:dyDescent="0.25">
      <c r="A244" s="2">
        <f t="shared" ca="1" si="83"/>
        <v>3.0041012890624854</v>
      </c>
      <c r="B244" s="4" cm="1">
        <f t="array" aca="1" ref="B2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244" s="2">
        <f t="shared" ca="1" si="84"/>
        <v>3.0134396754840522</v>
      </c>
      <c r="D244" s="4" t="str" cm="1">
        <f t="array" aca="1" ref="D2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44" s="2">
        <f t="shared" ca="1" si="85"/>
        <v>30.027942451915173</v>
      </c>
      <c r="F244" s="4" t="str" cm="1">
        <f t="array" aca="1" ref="F2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44" s="2">
        <f t="shared" ca="1" si="86"/>
        <v>40.021231047902219</v>
      </c>
      <c r="H244" s="47" t="str" cm="1">
        <f t="array" aca="1" ref="H2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45" spans="1:8" x14ac:dyDescent="0.25">
      <c r="A245" s="2">
        <f t="shared" ca="1" si="83"/>
        <v>3.007747404494872</v>
      </c>
      <c r="B245" s="4" cm="1">
        <f t="array" aca="1" ref="B2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245" s="2">
        <f t="shared" ca="1" si="84"/>
        <v>3.002290178007454</v>
      </c>
      <c r="D245" s="4" t="str" cm="1">
        <f t="array" aca="1" ref="D2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45" s="2">
        <f t="shared" ca="1" si="85"/>
        <v>30.005806875922811</v>
      </c>
      <c r="F245" s="4" t="str" cm="1">
        <f t="array" aca="1" ref="F2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45" s="2">
        <f t="shared" ca="1" si="86"/>
        <v>40.013880739060966</v>
      </c>
      <c r="H245" s="47" t="str" cm="1">
        <f t="array" aca="1" ref="H2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46" spans="1:8" x14ac:dyDescent="0.25">
      <c r="A246" s="2">
        <f t="shared" ca="1" si="83"/>
        <v>3.0080390627639431</v>
      </c>
      <c r="B246" s="4" cm="1">
        <f t="array" aca="1" ref="B2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246" s="2">
        <f t="shared" ca="1" si="84"/>
        <v>3.0230527516645447</v>
      </c>
      <c r="D246" s="4" t="str" cm="1">
        <f t="array" aca="1" ref="D2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46" s="2">
        <f t="shared" ca="1" si="85"/>
        <v>30.019725681581555</v>
      </c>
      <c r="F246" s="4" t="str" cm="1">
        <f t="array" aca="1" ref="F2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46" s="2">
        <f t="shared" ca="1" si="86"/>
        <v>40.018295905798482</v>
      </c>
      <c r="H246" s="47" t="str" cm="1">
        <f t="array" aca="1" ref="H2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47" spans="1:8" x14ac:dyDescent="0.25">
      <c r="A247" s="2">
        <f t="shared" ca="1" si="83"/>
        <v>3.0087430562163933</v>
      </c>
      <c r="B247" s="4" cm="1">
        <f t="array" aca="1" ref="B2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247" s="2">
        <f t="shared" ca="1" si="84"/>
        <v>3.0210671530572841</v>
      </c>
      <c r="D247" s="4" t="str" cm="1">
        <f t="array" aca="1" ref="D2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47" s="2">
        <f t="shared" ca="1" si="85"/>
        <v>30.013049809426711</v>
      </c>
      <c r="F247" s="4" t="str" cm="1">
        <f t="array" aca="1" ref="F2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47" s="2">
        <f t="shared" ca="1" si="86"/>
        <v>40.022174258714536</v>
      </c>
      <c r="H247" s="47" t="str" cm="1">
        <f t="array" aca="1" ref="H2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48" spans="1:8" x14ac:dyDescent="0.25">
      <c r="A248" s="2">
        <f t="shared" ca="1" si="83"/>
        <v>3.003481609976324</v>
      </c>
      <c r="B248" s="4" cm="1">
        <f t="array" aca="1" ref="B2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248" s="2">
        <f t="shared" ca="1" si="84"/>
        <v>3.0287440303084199</v>
      </c>
      <c r="D248" s="4" t="str" cm="1">
        <f t="array" aca="1" ref="D2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48" s="2">
        <f t="shared" ca="1" si="85"/>
        <v>30.006296039409108</v>
      </c>
      <c r="F248" s="4" t="str" cm="1">
        <f t="array" aca="1" ref="F2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48" s="2">
        <f t="shared" ca="1" si="86"/>
        <v>40.022795981470502</v>
      </c>
      <c r="H248" s="47" t="str" cm="1">
        <f t="array" aca="1" ref="H2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49" spans="1:8" x14ac:dyDescent="0.25">
      <c r="A249" s="2">
        <f t="shared" ca="1" si="83"/>
        <v>3.0003718508820598</v>
      </c>
      <c r="B249" s="4" cm="1">
        <f t="array" aca="1" ref="B2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249" s="2">
        <f t="shared" ca="1" si="84"/>
        <v>3.0156689478667924</v>
      </c>
      <c r="D249" s="4" t="str" cm="1">
        <f t="array" aca="1" ref="D2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49" s="2">
        <f t="shared" ca="1" si="85"/>
        <v>30.028107107821199</v>
      </c>
      <c r="F249" s="4" t="str" cm="1">
        <f t="array" aca="1" ref="F2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49" s="2">
        <f t="shared" ca="1" si="86"/>
        <v>40.004939293293681</v>
      </c>
      <c r="H249" s="47" t="str" cm="1">
        <f t="array" aca="1" ref="H2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50" spans="1:8" x14ac:dyDescent="0.25">
      <c r="A250" s="2">
        <f t="shared" ca="1" si="83"/>
        <v>3.0062645602141016</v>
      </c>
      <c r="B250" s="4" cm="1">
        <f t="array" aca="1" ref="B2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250" s="2">
        <f t="shared" ca="1" si="84"/>
        <v>3.0177637383344487</v>
      </c>
      <c r="D250" s="4" t="str" cm="1">
        <f t="array" aca="1" ref="D2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50" s="2">
        <f t="shared" ca="1" si="85"/>
        <v>30.008072333371466</v>
      </c>
      <c r="F250" s="4" t="str" cm="1">
        <f t="array" aca="1" ref="F2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50" s="2">
        <f t="shared" ca="1" si="86"/>
        <v>40.02194593243977</v>
      </c>
      <c r="H250" s="47" t="str" cm="1">
        <f t="array" aca="1" ref="H2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51" spans="1:8" x14ac:dyDescent="0.25">
      <c r="A251" s="2">
        <f t="shared" ca="1" si="83"/>
        <v>3.0086527867885198</v>
      </c>
      <c r="B251" s="4" cm="1">
        <f t="array" aca="1" ref="B2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251" s="2">
        <f t="shared" ca="1" si="84"/>
        <v>3.0232821825392984</v>
      </c>
      <c r="D251" s="4" t="str" cm="1">
        <f t="array" aca="1" ref="D2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51" s="2">
        <f t="shared" ca="1" si="85"/>
        <v>30.016140388142489</v>
      </c>
      <c r="F251" s="4" t="str" cm="1">
        <f t="array" aca="1" ref="F2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51" s="2">
        <f t="shared" ca="1" si="86"/>
        <v>40.027442419004352</v>
      </c>
      <c r="H251" s="47" t="str" cm="1">
        <f t="array" aca="1" ref="H2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52" spans="1:8" x14ac:dyDescent="0.25">
      <c r="A252" s="2">
        <f t="shared" ca="1" si="83"/>
        <v>3.0073136806306402</v>
      </c>
      <c r="B252" s="4" cm="1">
        <f t="array" aca="1" ref="B2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252" s="2">
        <f t="shared" ca="1" si="84"/>
        <v>3.0250003160317216</v>
      </c>
      <c r="D252" s="4" t="str" cm="1">
        <f t="array" aca="1" ref="D2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52" s="2">
        <f t="shared" ca="1" si="85"/>
        <v>30.001725901282519</v>
      </c>
      <c r="F252" s="4" t="str" cm="1">
        <f t="array" aca="1" ref="F2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52" s="2">
        <f t="shared" ca="1" si="86"/>
        <v>40.018213264920156</v>
      </c>
      <c r="H252" s="47" t="str" cm="1">
        <f t="array" aca="1" ref="H2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53" spans="1:8" x14ac:dyDescent="0.25">
      <c r="A253" s="2">
        <f t="shared" ca="1" si="83"/>
        <v>3.0057324102816407</v>
      </c>
      <c r="B253" s="4" cm="1">
        <f t="array" aca="1" ref="B2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253" s="2">
        <f t="shared" ca="1" si="84"/>
        <v>3.0140202315427969</v>
      </c>
      <c r="D253" s="4" t="str" cm="1">
        <f t="array" aca="1" ref="D2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53" s="2">
        <f t="shared" ca="1" si="85"/>
        <v>30.017337625974513</v>
      </c>
      <c r="F253" s="4" t="str" cm="1">
        <f t="array" aca="1" ref="F2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53" s="2">
        <f t="shared" ca="1" si="86"/>
        <v>40.028931890975571</v>
      </c>
      <c r="H253" s="47" t="str" cm="1">
        <f t="array" aca="1" ref="H2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54" spans="1:8" x14ac:dyDescent="0.25">
      <c r="A254" s="2">
        <f t="shared" ca="1" si="83"/>
        <v>3.0067566346980987</v>
      </c>
      <c r="B254" s="4" cm="1">
        <f t="array" aca="1" ref="B2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254" s="2">
        <f t="shared" ca="1" si="84"/>
        <v>3.029996863516712</v>
      </c>
      <c r="D254" s="4" t="str" cm="1">
        <f t="array" aca="1" ref="D2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54" s="2">
        <f t="shared" ca="1" si="85"/>
        <v>30.012828302686806</v>
      </c>
      <c r="F254" s="4" t="str" cm="1">
        <f t="array" aca="1" ref="F2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54" s="2">
        <f t="shared" ca="1" si="86"/>
        <v>40.017585621459467</v>
      </c>
      <c r="H254" s="47" t="str" cm="1">
        <f t="array" aca="1" ref="H2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55" spans="1:8" x14ac:dyDescent="0.25">
      <c r="A255" s="2">
        <f t="shared" ca="1" si="83"/>
        <v>3.0079745078100499</v>
      </c>
      <c r="B255" s="4" cm="1">
        <f t="array" aca="1" ref="B2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255" s="2">
        <f t="shared" ca="1" si="84"/>
        <v>3.0097356918092917</v>
      </c>
      <c r="D255" s="4" t="str" cm="1">
        <f t="array" aca="1" ref="D2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55" s="2">
        <f t="shared" ca="1" si="85"/>
        <v>30.029996414946286</v>
      </c>
      <c r="F255" s="4" t="str" cm="1">
        <f t="array" aca="1" ref="F2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55" s="2">
        <f t="shared" ca="1" si="86"/>
        <v>40.011136855706923</v>
      </c>
      <c r="H255" s="47" t="str" cm="1">
        <f t="array" aca="1" ref="H2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56" spans="1:8" x14ac:dyDescent="0.25">
      <c r="A256" s="2">
        <f t="shared" ca="1" si="83"/>
        <v>3.0003555987156632</v>
      </c>
      <c r="B256" s="4" cm="1">
        <f t="array" aca="1" ref="B2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256" s="2">
        <f t="shared" ca="1" si="84"/>
        <v>3.0074022385083725</v>
      </c>
      <c r="D256" s="4" t="str" cm="1">
        <f t="array" aca="1" ref="D2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56" s="2">
        <f t="shared" ca="1" si="85"/>
        <v>30.028333457997576</v>
      </c>
      <c r="F256" s="4" t="str" cm="1">
        <f t="array" aca="1" ref="F2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56" s="2">
        <f t="shared" ca="1" si="86"/>
        <v>40.002290724531619</v>
      </c>
      <c r="H256" s="47" t="str" cm="1">
        <f t="array" aca="1" ref="H2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57" spans="1:8" x14ac:dyDescent="0.25">
      <c r="A257" s="2">
        <f t="shared" ca="1" si="83"/>
        <v>3.0053349004516812</v>
      </c>
      <c r="B257" s="4" cm="1">
        <f t="array" aca="1" ref="B2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257" s="2">
        <f t="shared" ca="1" si="84"/>
        <v>3.0287527759669235</v>
      </c>
      <c r="D257" s="4" t="str" cm="1">
        <f t="array" aca="1" ref="D2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57" s="2">
        <f t="shared" ca="1" si="85"/>
        <v>30.00094823162798</v>
      </c>
      <c r="F257" s="4" t="str" cm="1">
        <f t="array" aca="1" ref="F2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57" s="2">
        <f t="shared" ca="1" si="86"/>
        <v>40.018980365337562</v>
      </c>
      <c r="H257" s="47" t="str" cm="1">
        <f t="array" aca="1" ref="H2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58" spans="1:8" x14ac:dyDescent="0.25">
      <c r="A258" s="2">
        <f t="shared" ref="A258:A321" ca="1" si="87">3+RAND()*0.01</f>
        <v>3.0052674228184135</v>
      </c>
      <c r="B258" s="4" cm="1">
        <f t="array" aca="1" ref="B2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258" s="2">
        <f t="shared" ref="C258:C321" ca="1" si="88">3+RAND()*0.03</f>
        <v>3.0284797278386644</v>
      </c>
      <c r="D258" s="4" t="str" cm="1">
        <f t="array" aca="1" ref="D2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58" s="2">
        <f t="shared" ref="E258:E321" ca="1" si="89">30+RAND()*0.03</f>
        <v>30.025535324212921</v>
      </c>
      <c r="F258" s="4" t="str" cm="1">
        <f t="array" aca="1" ref="F2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58" s="2">
        <f t="shared" ref="G258:G321" ca="1" si="90">40+RAND()*0.03</f>
        <v>40.012349382131127</v>
      </c>
      <c r="H258" s="47" t="str" cm="1">
        <f t="array" aca="1" ref="H2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59" spans="1:8" x14ac:dyDescent="0.25">
      <c r="A259" s="2">
        <f t="shared" ca="1" si="87"/>
        <v>3.0049416570042586</v>
      </c>
      <c r="B259" s="4" cm="1">
        <f t="array" aca="1" ref="B2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259" s="2">
        <f t="shared" ca="1" si="88"/>
        <v>3.0144009348372651</v>
      </c>
      <c r="D259" s="4" t="str" cm="1">
        <f t="array" aca="1" ref="D2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59" s="2">
        <f t="shared" ca="1" si="89"/>
        <v>30.00713511504884</v>
      </c>
      <c r="F259" s="4" t="str" cm="1">
        <f t="array" aca="1" ref="F2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59" s="2">
        <f t="shared" ca="1" si="90"/>
        <v>40.005125710307944</v>
      </c>
      <c r="H259" s="47" t="str" cm="1">
        <f t="array" aca="1" ref="H2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60" spans="1:8" x14ac:dyDescent="0.25">
      <c r="A260" s="2">
        <f t="shared" ca="1" si="87"/>
        <v>3.0051441495430185</v>
      </c>
      <c r="B260" s="4" cm="1">
        <f t="array" aca="1" ref="B2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260" s="2">
        <f t="shared" ca="1" si="88"/>
        <v>3.0253855942480188</v>
      </c>
      <c r="D260" s="4" t="str" cm="1">
        <f t="array" aca="1" ref="D2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60" s="2">
        <f t="shared" ca="1" si="89"/>
        <v>30.017897584088061</v>
      </c>
      <c r="F260" s="4" t="str" cm="1">
        <f t="array" aca="1" ref="F2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60" s="2">
        <f t="shared" ca="1" si="90"/>
        <v>40.00239092082596</v>
      </c>
      <c r="H260" s="47" t="str" cm="1">
        <f t="array" aca="1" ref="H2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61" spans="1:8" x14ac:dyDescent="0.25">
      <c r="A261" s="2">
        <f t="shared" ca="1" si="87"/>
        <v>3.0023367569884818</v>
      </c>
      <c r="B261" s="4" cm="1">
        <f t="array" aca="1" ref="B2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261" s="2">
        <f t="shared" ca="1" si="88"/>
        <v>3.0243396416206831</v>
      </c>
      <c r="D261" s="4" t="str" cm="1">
        <f t="array" aca="1" ref="D2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61" s="2">
        <f t="shared" ca="1" si="89"/>
        <v>30.026121834799568</v>
      </c>
      <c r="F261" s="4" t="str" cm="1">
        <f t="array" aca="1" ref="F2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61" s="2">
        <f t="shared" ca="1" si="90"/>
        <v>40.018602304085753</v>
      </c>
      <c r="H261" s="47" t="str" cm="1">
        <f t="array" aca="1" ref="H2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62" spans="1:8" x14ac:dyDescent="0.25">
      <c r="A262" s="2">
        <f t="shared" ca="1" si="87"/>
        <v>3.0059934184269812</v>
      </c>
      <c r="B262" s="4" cm="1">
        <f t="array" aca="1" ref="B2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262" s="2">
        <f t="shared" ca="1" si="88"/>
        <v>3.0138300330950352</v>
      </c>
      <c r="D262" s="4" t="str" cm="1">
        <f t="array" aca="1" ref="D2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62" s="2">
        <f t="shared" ca="1" si="89"/>
        <v>30.012370609679653</v>
      </c>
      <c r="F262" s="4" t="str" cm="1">
        <f t="array" aca="1" ref="F2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62" s="2">
        <f t="shared" ca="1" si="90"/>
        <v>40.021417801957725</v>
      </c>
      <c r="H262" s="47" t="str" cm="1">
        <f t="array" aca="1" ref="H2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63" spans="1:8" x14ac:dyDescent="0.25">
      <c r="A263" s="2">
        <f t="shared" ca="1" si="87"/>
        <v>3.0044774974734083</v>
      </c>
      <c r="B263" s="4" cm="1">
        <f t="array" aca="1" ref="B2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263" s="2">
        <f t="shared" ca="1" si="88"/>
        <v>3.0106291525886211</v>
      </c>
      <c r="D263" s="4" t="str" cm="1">
        <f t="array" aca="1" ref="D2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63" s="2">
        <f t="shared" ca="1" si="89"/>
        <v>30.026614012072155</v>
      </c>
      <c r="F263" s="4" t="str" cm="1">
        <f t="array" aca="1" ref="F2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63" s="2">
        <f t="shared" ca="1" si="90"/>
        <v>40.025956582634784</v>
      </c>
      <c r="H263" s="47" t="str" cm="1">
        <f t="array" aca="1" ref="H2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64" spans="1:8" x14ac:dyDescent="0.25">
      <c r="A264" s="2">
        <f t="shared" ca="1" si="87"/>
        <v>3.0025019162878528</v>
      </c>
      <c r="B264" s="4" cm="1">
        <f t="array" aca="1" ref="B2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264" s="2">
        <f t="shared" ca="1" si="88"/>
        <v>3.0246286919861261</v>
      </c>
      <c r="D264" s="4" t="str" cm="1">
        <f t="array" aca="1" ref="D2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64" s="2">
        <f t="shared" ca="1" si="89"/>
        <v>30.01024333008294</v>
      </c>
      <c r="F264" s="4" t="str" cm="1">
        <f t="array" aca="1" ref="F2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64" s="2">
        <f t="shared" ca="1" si="90"/>
        <v>40.004156637299843</v>
      </c>
      <c r="H264" s="47" t="str" cm="1">
        <f t="array" aca="1" ref="H2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65" spans="1:8" x14ac:dyDescent="0.25">
      <c r="A265" s="2">
        <f t="shared" ca="1" si="87"/>
        <v>3.0098679059934135</v>
      </c>
      <c r="B265" s="4" cm="1">
        <f t="array" aca="1" ref="B2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265" s="2">
        <f t="shared" ca="1" si="88"/>
        <v>3.0226905053811111</v>
      </c>
      <c r="D265" s="4" t="str" cm="1">
        <f t="array" aca="1" ref="D2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65" s="2">
        <f t="shared" ca="1" si="89"/>
        <v>30.009155825148241</v>
      </c>
      <c r="F265" s="4" t="str" cm="1">
        <f t="array" aca="1" ref="F2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65" s="2">
        <f t="shared" ca="1" si="90"/>
        <v>40.00157721370617</v>
      </c>
      <c r="H265" s="47" t="str" cm="1">
        <f t="array" aca="1" ref="H2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66" spans="1:8" x14ac:dyDescent="0.25">
      <c r="A266" s="2">
        <f t="shared" ca="1" si="87"/>
        <v>3.0023309878097426</v>
      </c>
      <c r="B266" s="4" cm="1">
        <f t="array" aca="1" ref="B2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266" s="2">
        <f t="shared" ca="1" si="88"/>
        <v>3.01343801380653</v>
      </c>
      <c r="D266" s="4" t="str" cm="1">
        <f t="array" aca="1" ref="D2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66" s="2">
        <f t="shared" ca="1" si="89"/>
        <v>30.024781392618408</v>
      </c>
      <c r="F266" s="4" t="str" cm="1">
        <f t="array" aca="1" ref="F2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66" s="2">
        <f t="shared" ca="1" si="90"/>
        <v>40.017034795305001</v>
      </c>
      <c r="H266" s="47" t="str" cm="1">
        <f t="array" aca="1" ref="H2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67" spans="1:8" x14ac:dyDescent="0.25">
      <c r="A267" s="2">
        <f t="shared" ca="1" si="87"/>
        <v>3.0042781057482046</v>
      </c>
      <c r="B267" s="4" cm="1">
        <f t="array" aca="1" ref="B2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267" s="2">
        <f t="shared" ca="1" si="88"/>
        <v>3.004087637678412</v>
      </c>
      <c r="D267" s="4" t="str" cm="1">
        <f t="array" aca="1" ref="D2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67" s="2">
        <f t="shared" ca="1" si="89"/>
        <v>30.000788412979915</v>
      </c>
      <c r="F267" s="4" t="str" cm="1">
        <f t="array" aca="1" ref="F2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67" s="2">
        <f t="shared" ca="1" si="90"/>
        <v>40.020999624747439</v>
      </c>
      <c r="H267" s="47" t="str" cm="1">
        <f t="array" aca="1" ref="H2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68" spans="1:8" x14ac:dyDescent="0.25">
      <c r="A268" s="2">
        <f t="shared" ca="1" si="87"/>
        <v>3.0047777217035905</v>
      </c>
      <c r="B268" s="4" cm="1">
        <f t="array" aca="1" ref="B2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268" s="2">
        <f t="shared" ca="1" si="88"/>
        <v>3.0189494062403224</v>
      </c>
      <c r="D268" s="4" t="str" cm="1">
        <f t="array" aca="1" ref="D2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68" s="2">
        <f t="shared" ca="1" si="89"/>
        <v>30.010882889126727</v>
      </c>
      <c r="F268" s="4" t="str" cm="1">
        <f t="array" aca="1" ref="F2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68" s="2">
        <f t="shared" ca="1" si="90"/>
        <v>40.013885995034791</v>
      </c>
      <c r="H268" s="47" t="str" cm="1">
        <f t="array" aca="1" ref="H2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69" spans="1:8" x14ac:dyDescent="0.25">
      <c r="A269" s="2">
        <f t="shared" ca="1" si="87"/>
        <v>3.0057425147235572</v>
      </c>
      <c r="B269" s="4" cm="1">
        <f t="array" aca="1" ref="B2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269" s="2">
        <f t="shared" ca="1" si="88"/>
        <v>3.0018244118554853</v>
      </c>
      <c r="D269" s="4" t="str" cm="1">
        <f t="array" aca="1" ref="D2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69" s="2">
        <f t="shared" ca="1" si="89"/>
        <v>30.00764627295889</v>
      </c>
      <c r="F269" s="4" t="str" cm="1">
        <f t="array" aca="1" ref="F2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69" s="2">
        <f t="shared" ca="1" si="90"/>
        <v>40.012120596716194</v>
      </c>
      <c r="H269" s="47" t="str" cm="1">
        <f t="array" aca="1" ref="H2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70" spans="1:8" x14ac:dyDescent="0.25">
      <c r="A270" s="2">
        <f t="shared" ca="1" si="87"/>
        <v>3.0053108353572511</v>
      </c>
      <c r="B270" s="4" cm="1">
        <f t="array" aca="1" ref="B2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270" s="2">
        <f t="shared" ca="1" si="88"/>
        <v>3.0273264947852319</v>
      </c>
      <c r="D270" s="4" t="str" cm="1">
        <f t="array" aca="1" ref="D2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70" s="2">
        <f t="shared" ca="1" si="89"/>
        <v>30.000677405586814</v>
      </c>
      <c r="F270" s="4" t="str" cm="1">
        <f t="array" aca="1" ref="F2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70" s="2">
        <f t="shared" ca="1" si="90"/>
        <v>40.020465925128903</v>
      </c>
      <c r="H270" s="47" t="str" cm="1">
        <f t="array" aca="1" ref="H2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71" spans="1:8" x14ac:dyDescent="0.25">
      <c r="A271" s="2">
        <f t="shared" ca="1" si="87"/>
        <v>3.0035777727068127</v>
      </c>
      <c r="B271" s="4" cm="1">
        <f t="array" aca="1" ref="B2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271" s="2">
        <f t="shared" ca="1" si="88"/>
        <v>3.0296933226543032</v>
      </c>
      <c r="D271" s="4" t="str" cm="1">
        <f t="array" aca="1" ref="D2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71" s="2">
        <f t="shared" ca="1" si="89"/>
        <v>30.024604408238858</v>
      </c>
      <c r="F271" s="4" t="str" cm="1">
        <f t="array" aca="1" ref="F2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71" s="2">
        <f t="shared" ca="1" si="90"/>
        <v>40.006547007816998</v>
      </c>
      <c r="H271" s="47" t="str" cm="1">
        <f t="array" aca="1" ref="H2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72" spans="1:8" x14ac:dyDescent="0.25">
      <c r="A272" s="2">
        <f t="shared" ca="1" si="87"/>
        <v>3.003221200237689</v>
      </c>
      <c r="B272" s="4" cm="1">
        <f t="array" aca="1" ref="B2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272" s="2">
        <f t="shared" ca="1" si="88"/>
        <v>3.0225113185737853</v>
      </c>
      <c r="D272" s="4" t="str" cm="1">
        <f t="array" aca="1" ref="D2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72" s="2">
        <f t="shared" ca="1" si="89"/>
        <v>30.005163918164719</v>
      </c>
      <c r="F272" s="4" t="str" cm="1">
        <f t="array" aca="1" ref="F2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72" s="2">
        <f t="shared" ca="1" si="90"/>
        <v>40.010664041668335</v>
      </c>
      <c r="H272" s="47" t="str" cm="1">
        <f t="array" aca="1" ref="H2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73" spans="1:8" x14ac:dyDescent="0.25">
      <c r="A273" s="2">
        <f t="shared" ca="1" si="87"/>
        <v>3.0072850837219129</v>
      </c>
      <c r="B273" s="4" cm="1">
        <f t="array" aca="1" ref="B2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273" s="2">
        <f t="shared" ca="1" si="88"/>
        <v>3.0254680709286652</v>
      </c>
      <c r="D273" s="4" t="str" cm="1">
        <f t="array" aca="1" ref="D2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73" s="2">
        <f t="shared" ca="1" si="89"/>
        <v>30.011682566455367</v>
      </c>
      <c r="F273" s="4" t="str" cm="1">
        <f t="array" aca="1" ref="F2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73" s="2">
        <f t="shared" ca="1" si="90"/>
        <v>40.020301934712826</v>
      </c>
      <c r="H273" s="47" t="str" cm="1">
        <f t="array" aca="1" ref="H2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74" spans="1:8" x14ac:dyDescent="0.25">
      <c r="A274" s="2">
        <f t="shared" ca="1" si="87"/>
        <v>3.0067810285076111</v>
      </c>
      <c r="B274" s="4" cm="1">
        <f t="array" aca="1" ref="B2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274" s="2">
        <f t="shared" ca="1" si="88"/>
        <v>3.0177778165138269</v>
      </c>
      <c r="D274" s="4" t="str" cm="1">
        <f t="array" aca="1" ref="D2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74" s="2">
        <f t="shared" ca="1" si="89"/>
        <v>30.022135049654207</v>
      </c>
      <c r="F274" s="4" t="str" cm="1">
        <f t="array" aca="1" ref="F2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74" s="2">
        <f t="shared" ca="1" si="90"/>
        <v>40.019560256661144</v>
      </c>
      <c r="H274" s="47" t="str" cm="1">
        <f t="array" aca="1" ref="H2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75" spans="1:8" x14ac:dyDescent="0.25">
      <c r="A275" s="2">
        <f t="shared" ca="1" si="87"/>
        <v>3.0071338834058707</v>
      </c>
      <c r="B275" s="4" cm="1">
        <f t="array" aca="1" ref="B2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275" s="2">
        <f t="shared" ca="1" si="88"/>
        <v>3.0277502429597534</v>
      </c>
      <c r="D275" s="4" t="str" cm="1">
        <f t="array" aca="1" ref="D2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75" s="2">
        <f t="shared" ca="1" si="89"/>
        <v>30.006063299206652</v>
      </c>
      <c r="F275" s="4" t="str" cm="1">
        <f t="array" aca="1" ref="F2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75" s="2">
        <f t="shared" ca="1" si="90"/>
        <v>40.028321593313514</v>
      </c>
      <c r="H275" s="47" t="str" cm="1">
        <f t="array" aca="1" ref="H2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76" spans="1:8" x14ac:dyDescent="0.25">
      <c r="A276" s="2">
        <f t="shared" ca="1" si="87"/>
        <v>3.0077028756096196</v>
      </c>
      <c r="B276" s="4" cm="1">
        <f t="array" aca="1" ref="B2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276" s="2">
        <f t="shared" ca="1" si="88"/>
        <v>3.0064443772165577</v>
      </c>
      <c r="D276" s="4" t="str" cm="1">
        <f t="array" aca="1" ref="D2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76" s="2">
        <f t="shared" ca="1" si="89"/>
        <v>30.024089603962011</v>
      </c>
      <c r="F276" s="4" t="str" cm="1">
        <f t="array" aca="1" ref="F2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76" s="2">
        <f t="shared" ca="1" si="90"/>
        <v>40.014304999761301</v>
      </c>
      <c r="H276" s="47" t="str" cm="1">
        <f t="array" aca="1" ref="H2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77" spans="1:8" x14ac:dyDescent="0.25">
      <c r="A277" s="2">
        <f t="shared" ca="1" si="87"/>
        <v>3.0058987505818817</v>
      </c>
      <c r="B277" s="4" cm="1">
        <f t="array" aca="1" ref="B2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277" s="2">
        <f t="shared" ca="1" si="88"/>
        <v>3.0235041402700111</v>
      </c>
      <c r="D277" s="4" t="str" cm="1">
        <f t="array" aca="1" ref="D2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77" s="2">
        <f t="shared" ca="1" si="89"/>
        <v>30.004070094748915</v>
      </c>
      <c r="F277" s="4" t="str" cm="1">
        <f t="array" aca="1" ref="F2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77" s="2">
        <f t="shared" ca="1" si="90"/>
        <v>40.004052143849783</v>
      </c>
      <c r="H277" s="47" t="str" cm="1">
        <f t="array" aca="1" ref="H2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78" spans="1:8" x14ac:dyDescent="0.25">
      <c r="A278" s="2">
        <f t="shared" ca="1" si="87"/>
        <v>3.0046733088085853</v>
      </c>
      <c r="B278" s="4" cm="1">
        <f t="array" aca="1" ref="B2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278" s="2">
        <f t="shared" ca="1" si="88"/>
        <v>3.0146631773427304</v>
      </c>
      <c r="D278" s="4" t="str" cm="1">
        <f t="array" aca="1" ref="D2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78" s="2">
        <f t="shared" ca="1" si="89"/>
        <v>30.029002701585451</v>
      </c>
      <c r="F278" s="4" t="str" cm="1">
        <f t="array" aca="1" ref="F2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78" s="2">
        <f t="shared" ca="1" si="90"/>
        <v>40.025321496820297</v>
      </c>
      <c r="H278" s="47" t="str" cm="1">
        <f t="array" aca="1" ref="H2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79" spans="1:8" x14ac:dyDescent="0.25">
      <c r="A279" s="2">
        <f t="shared" ca="1" si="87"/>
        <v>3.0082794608962034</v>
      </c>
      <c r="B279" s="4" cm="1">
        <f t="array" aca="1" ref="B2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279" s="2">
        <f t="shared" ca="1" si="88"/>
        <v>3.0006057438009113</v>
      </c>
      <c r="D279" s="4" t="str" cm="1">
        <f t="array" aca="1" ref="D2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79" s="2">
        <f t="shared" ca="1" si="89"/>
        <v>30.020063522646499</v>
      </c>
      <c r="F279" s="4" t="str" cm="1">
        <f t="array" aca="1" ref="F2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79" s="2">
        <f t="shared" ca="1" si="90"/>
        <v>40.012956277404555</v>
      </c>
      <c r="H279" s="47" t="str" cm="1">
        <f t="array" aca="1" ref="H2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80" spans="1:8" x14ac:dyDescent="0.25">
      <c r="A280" s="2">
        <f t="shared" ca="1" si="87"/>
        <v>3.0068621987504334</v>
      </c>
      <c r="B280" s="4" cm="1">
        <f t="array" aca="1" ref="B2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280" s="2">
        <f t="shared" ca="1" si="88"/>
        <v>3.0047550829228684</v>
      </c>
      <c r="D280" s="4" t="str" cm="1">
        <f t="array" aca="1" ref="D2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80" s="2">
        <f t="shared" ca="1" si="89"/>
        <v>30.028979454070161</v>
      </c>
      <c r="F280" s="4" t="str" cm="1">
        <f t="array" aca="1" ref="F2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80" s="2">
        <f t="shared" ca="1" si="90"/>
        <v>40.00044641155997</v>
      </c>
      <c r="H280" s="47" t="str" cm="1">
        <f t="array" aca="1" ref="H2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81" spans="1:8" x14ac:dyDescent="0.25">
      <c r="A281" s="2">
        <f t="shared" ca="1" si="87"/>
        <v>3.0078978478819174</v>
      </c>
      <c r="B281" s="4" cm="1">
        <f t="array" aca="1" ref="B2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281" s="2">
        <f t="shared" ca="1" si="88"/>
        <v>3.0242921738527033</v>
      </c>
      <c r="D281" s="4" t="str" cm="1">
        <f t="array" aca="1" ref="D2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81" s="2">
        <f t="shared" ca="1" si="89"/>
        <v>30.001542460972715</v>
      </c>
      <c r="F281" s="4" t="str" cm="1">
        <f t="array" aca="1" ref="F2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81" s="2">
        <f t="shared" ca="1" si="90"/>
        <v>40.00688171797421</v>
      </c>
      <c r="H281" s="47" t="str" cm="1">
        <f t="array" aca="1" ref="H2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82" spans="1:8" x14ac:dyDescent="0.25">
      <c r="A282" s="2">
        <f t="shared" ca="1" si="87"/>
        <v>3.0092372486549857</v>
      </c>
      <c r="B282" s="4" cm="1">
        <f t="array" aca="1" ref="B2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282" s="2">
        <f t="shared" ca="1" si="88"/>
        <v>3.0103644951718294</v>
      </c>
      <c r="D282" s="4" t="str" cm="1">
        <f t="array" aca="1" ref="D2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82" s="2">
        <f t="shared" ca="1" si="89"/>
        <v>30.000357552651899</v>
      </c>
      <c r="F282" s="4" t="str" cm="1">
        <f t="array" aca="1" ref="F2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82" s="2">
        <f t="shared" ca="1" si="90"/>
        <v>40.002328048365918</v>
      </c>
      <c r="H282" s="47" t="str" cm="1">
        <f t="array" aca="1" ref="H2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83" spans="1:8" x14ac:dyDescent="0.25">
      <c r="A283" s="2">
        <f t="shared" ca="1" si="87"/>
        <v>3.003038734984528</v>
      </c>
      <c r="B283" s="4" cm="1">
        <f t="array" aca="1" ref="B2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283" s="2">
        <f t="shared" ca="1" si="88"/>
        <v>3.0152470649431127</v>
      </c>
      <c r="D283" s="4" t="str" cm="1">
        <f t="array" aca="1" ref="D2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83" s="2">
        <f t="shared" ca="1" si="89"/>
        <v>30.013716484996753</v>
      </c>
      <c r="F283" s="4" t="str" cm="1">
        <f t="array" aca="1" ref="F2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83" s="2">
        <f t="shared" ca="1" si="90"/>
        <v>40.018214612818994</v>
      </c>
      <c r="H283" s="47" t="str" cm="1">
        <f t="array" aca="1" ref="H2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84" spans="1:8" x14ac:dyDescent="0.25">
      <c r="A284" s="2">
        <f t="shared" ca="1" si="87"/>
        <v>3.0092683141441174</v>
      </c>
      <c r="B284" s="4" cm="1">
        <f t="array" aca="1" ref="B2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284" s="2">
        <f t="shared" ca="1" si="88"/>
        <v>3.0117276703942011</v>
      </c>
      <c r="D284" s="4" t="str" cm="1">
        <f t="array" aca="1" ref="D2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84" s="2">
        <f t="shared" ca="1" si="89"/>
        <v>30.028504515370084</v>
      </c>
      <c r="F284" s="4" t="str" cm="1">
        <f t="array" aca="1" ref="F2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84" s="2">
        <f t="shared" ca="1" si="90"/>
        <v>40.026014707396854</v>
      </c>
      <c r="H284" s="47" t="str" cm="1">
        <f t="array" aca="1" ref="H2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85" spans="1:8" x14ac:dyDescent="0.25">
      <c r="A285" s="2">
        <f t="shared" ca="1" si="87"/>
        <v>3.0023960081007992</v>
      </c>
      <c r="B285" s="4" cm="1">
        <f t="array" aca="1" ref="B2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285" s="2">
        <f t="shared" ca="1" si="88"/>
        <v>3.0071633352057905</v>
      </c>
      <c r="D285" s="4" t="str" cm="1">
        <f t="array" aca="1" ref="D2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85" s="2">
        <f t="shared" ca="1" si="89"/>
        <v>30.013268848047858</v>
      </c>
      <c r="F285" s="4" t="str" cm="1">
        <f t="array" aca="1" ref="F2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85" s="2">
        <f t="shared" ca="1" si="90"/>
        <v>40.000166203217319</v>
      </c>
      <c r="H285" s="47" t="str" cm="1">
        <f t="array" aca="1" ref="H2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86" spans="1:8" x14ac:dyDescent="0.25">
      <c r="A286" s="2">
        <f t="shared" ca="1" si="87"/>
        <v>3.0068250397838123</v>
      </c>
      <c r="B286" s="4" cm="1">
        <f t="array" aca="1" ref="B2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286" s="2">
        <f t="shared" ca="1" si="88"/>
        <v>3.0103416428830196</v>
      </c>
      <c r="D286" s="4" t="str" cm="1">
        <f t="array" aca="1" ref="D2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86" s="2">
        <f t="shared" ca="1" si="89"/>
        <v>30.001303969173453</v>
      </c>
      <c r="F286" s="4" t="str" cm="1">
        <f t="array" aca="1" ref="F2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86" s="2">
        <f t="shared" ca="1" si="90"/>
        <v>40.02255384775389</v>
      </c>
      <c r="H286" s="47" t="str" cm="1">
        <f t="array" aca="1" ref="H2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87" spans="1:8" x14ac:dyDescent="0.25">
      <c r="A287" s="2">
        <f t="shared" ca="1" si="87"/>
        <v>3.0005040700442978</v>
      </c>
      <c r="B287" s="4" cm="1">
        <f t="array" aca="1" ref="B2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287" s="2">
        <f t="shared" ca="1" si="88"/>
        <v>3.0172121664019178</v>
      </c>
      <c r="D287" s="4" t="str" cm="1">
        <f t="array" aca="1" ref="D2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87" s="2">
        <f t="shared" ca="1" si="89"/>
        <v>30.023335586999146</v>
      </c>
      <c r="F287" s="4" t="str" cm="1">
        <f t="array" aca="1" ref="F2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87" s="2">
        <f t="shared" ca="1" si="90"/>
        <v>40.004029190345776</v>
      </c>
      <c r="H287" s="47" t="str" cm="1">
        <f t="array" aca="1" ref="H2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88" spans="1:8" x14ac:dyDescent="0.25">
      <c r="A288" s="2">
        <f t="shared" ca="1" si="87"/>
        <v>3.0085117316295356</v>
      </c>
      <c r="B288" s="4" cm="1">
        <f t="array" aca="1" ref="B2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288" s="2">
        <f t="shared" ca="1" si="88"/>
        <v>3.0219176625776911</v>
      </c>
      <c r="D288" s="4" t="str" cm="1">
        <f t="array" aca="1" ref="D2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88" s="2">
        <f t="shared" ca="1" si="89"/>
        <v>30.027484576284948</v>
      </c>
      <c r="F288" s="4" t="str" cm="1">
        <f t="array" aca="1" ref="F2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88" s="2">
        <f t="shared" ca="1" si="90"/>
        <v>40.009103197151354</v>
      </c>
      <c r="H288" s="47" t="str" cm="1">
        <f t="array" aca="1" ref="H2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89" spans="1:8" x14ac:dyDescent="0.25">
      <c r="A289" s="2">
        <f t="shared" ca="1" si="87"/>
        <v>3.0094637375937179</v>
      </c>
      <c r="B289" s="4" cm="1">
        <f t="array" aca="1" ref="B2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289" s="2">
        <f t="shared" ca="1" si="88"/>
        <v>3.0189200537417649</v>
      </c>
      <c r="D289" s="4" t="str" cm="1">
        <f t="array" aca="1" ref="D2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89" s="2">
        <f t="shared" ca="1" si="89"/>
        <v>30.005900579374082</v>
      </c>
      <c r="F289" s="4" t="str" cm="1">
        <f t="array" aca="1" ref="F2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89" s="2">
        <f t="shared" ca="1" si="90"/>
        <v>40.021195393128288</v>
      </c>
      <c r="H289" s="47" t="str" cm="1">
        <f t="array" aca="1" ref="H2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90" spans="1:8" x14ac:dyDescent="0.25">
      <c r="A290" s="2">
        <f t="shared" ca="1" si="87"/>
        <v>3.0031959178272669</v>
      </c>
      <c r="B290" s="4" cm="1">
        <f t="array" aca="1" ref="B2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290" s="2">
        <f t="shared" ca="1" si="88"/>
        <v>3.0173493782711689</v>
      </c>
      <c r="D290" s="4" t="str" cm="1">
        <f t="array" aca="1" ref="D2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90" s="2">
        <f t="shared" ca="1" si="89"/>
        <v>30.022342355331748</v>
      </c>
      <c r="F290" s="4" t="str" cm="1">
        <f t="array" aca="1" ref="F2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90" s="2">
        <f t="shared" ca="1" si="90"/>
        <v>40.019134927868208</v>
      </c>
      <c r="H290" s="47" t="str" cm="1">
        <f t="array" aca="1" ref="H2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91" spans="1:8" x14ac:dyDescent="0.25">
      <c r="A291" s="2">
        <f t="shared" ca="1" si="87"/>
        <v>3.0030288204006261</v>
      </c>
      <c r="B291" s="4" cm="1">
        <f t="array" aca="1" ref="B2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291" s="2">
        <f t="shared" ca="1" si="88"/>
        <v>3.0088976508182692</v>
      </c>
      <c r="D291" s="4" t="str" cm="1">
        <f t="array" aca="1" ref="D2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91" s="2">
        <f t="shared" ca="1" si="89"/>
        <v>30.008114382424516</v>
      </c>
      <c r="F291" s="4" t="str" cm="1">
        <f t="array" aca="1" ref="F2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91" s="2">
        <f t="shared" ca="1" si="90"/>
        <v>40.002695038437402</v>
      </c>
      <c r="H291" s="47" t="str" cm="1">
        <f t="array" aca="1" ref="H2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292" spans="1:8" x14ac:dyDescent="0.25">
      <c r="A292" s="2">
        <f t="shared" ca="1" si="87"/>
        <v>3.0089138252949641</v>
      </c>
      <c r="B292" s="4" cm="1">
        <f t="array" aca="1" ref="B2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292" s="2">
        <f t="shared" ca="1" si="88"/>
        <v>3.0034274807491026</v>
      </c>
      <c r="D292" s="4" t="str" cm="1">
        <f t="array" aca="1" ref="D2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92" s="2">
        <f t="shared" ca="1" si="89"/>
        <v>30.012482171645402</v>
      </c>
      <c r="F292" s="4" t="str" cm="1">
        <f t="array" aca="1" ref="F2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92" s="2">
        <f t="shared" ca="1" si="90"/>
        <v>40.02176155598589</v>
      </c>
      <c r="H292" s="47" t="str" cm="1">
        <f t="array" aca="1" ref="H2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93" spans="1:8" x14ac:dyDescent="0.25">
      <c r="A293" s="2">
        <f t="shared" ca="1" si="87"/>
        <v>3.0054034728307379</v>
      </c>
      <c r="B293" s="4" cm="1">
        <f t="array" aca="1" ref="B2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293" s="2">
        <f t="shared" ca="1" si="88"/>
        <v>3.0285433081617712</v>
      </c>
      <c r="D293" s="4" t="str" cm="1">
        <f t="array" aca="1" ref="D2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93" s="2">
        <f t="shared" ca="1" si="89"/>
        <v>30.01631559779878</v>
      </c>
      <c r="F293" s="4" t="str" cm="1">
        <f t="array" aca="1" ref="F2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93" s="2">
        <f t="shared" ca="1" si="90"/>
        <v>40.029062483045109</v>
      </c>
      <c r="H293" s="47" t="str" cm="1">
        <f t="array" aca="1" ref="H2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94" spans="1:8" x14ac:dyDescent="0.25">
      <c r="A294" s="2">
        <f t="shared" ca="1" si="87"/>
        <v>3.0059916312872055</v>
      </c>
      <c r="B294" s="4" cm="1">
        <f t="array" aca="1" ref="B2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294" s="2">
        <f t="shared" ca="1" si="88"/>
        <v>3.0046176238115359</v>
      </c>
      <c r="D294" s="4" t="str" cm="1">
        <f t="array" aca="1" ref="D2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94" s="2">
        <f t="shared" ca="1" si="89"/>
        <v>30.012130861968568</v>
      </c>
      <c r="F294" s="4" t="str" cm="1">
        <f t="array" aca="1" ref="F2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94" s="2">
        <f t="shared" ca="1" si="90"/>
        <v>40.022488199592594</v>
      </c>
      <c r="H294" s="47" t="str" cm="1">
        <f t="array" aca="1" ref="H2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95" spans="1:8" x14ac:dyDescent="0.25">
      <c r="A295" s="2">
        <f t="shared" ca="1" si="87"/>
        <v>3.0095917524911178</v>
      </c>
      <c r="B295" s="4" cm="1">
        <f t="array" aca="1" ref="B2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295" s="2">
        <f t="shared" ca="1" si="88"/>
        <v>3.0111722582288922</v>
      </c>
      <c r="D295" s="4" t="str" cm="1">
        <f t="array" aca="1" ref="D2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95" s="2">
        <f t="shared" ca="1" si="89"/>
        <v>30.028139756064931</v>
      </c>
      <c r="F295" s="4" t="str" cm="1">
        <f t="array" aca="1" ref="F2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95" s="2">
        <f t="shared" ca="1" si="90"/>
        <v>40.029375786622133</v>
      </c>
      <c r="H295" s="47" t="str" cm="1">
        <f t="array" aca="1" ref="H2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96" spans="1:8" x14ac:dyDescent="0.25">
      <c r="A296" s="2">
        <f t="shared" ca="1" si="87"/>
        <v>3.0012871828077912</v>
      </c>
      <c r="B296" s="4" cm="1">
        <f t="array" aca="1" ref="B2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296" s="2">
        <f t="shared" ca="1" si="88"/>
        <v>3.0169069419642303</v>
      </c>
      <c r="D296" s="4" t="str" cm="1">
        <f t="array" aca="1" ref="D2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296" s="2">
        <f t="shared" ca="1" si="89"/>
        <v>30.025897668187575</v>
      </c>
      <c r="F296" s="4" t="str" cm="1">
        <f t="array" aca="1" ref="F2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96" s="2">
        <f t="shared" ca="1" si="90"/>
        <v>40.028946697169879</v>
      </c>
      <c r="H296" s="47" t="str" cm="1">
        <f t="array" aca="1" ref="H2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97" spans="1:8" x14ac:dyDescent="0.25">
      <c r="A297" s="2">
        <f t="shared" ca="1" si="87"/>
        <v>3.0018351884380805</v>
      </c>
      <c r="B297" s="4" cm="1">
        <f t="array" aca="1" ref="B2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297" s="2">
        <f t="shared" ca="1" si="88"/>
        <v>3.020600027061803</v>
      </c>
      <c r="D297" s="4" t="str" cm="1">
        <f t="array" aca="1" ref="D2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97" s="2">
        <f t="shared" ca="1" si="89"/>
        <v>30.014089692733531</v>
      </c>
      <c r="F297" s="4" t="str" cm="1">
        <f t="array" aca="1" ref="F2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97" s="2">
        <f t="shared" ca="1" si="90"/>
        <v>40.02025044999845</v>
      </c>
      <c r="H297" s="47" t="str" cm="1">
        <f t="array" aca="1" ref="H2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298" spans="1:8" x14ac:dyDescent="0.25">
      <c r="A298" s="2">
        <f t="shared" ca="1" si="87"/>
        <v>3.0058519516881379</v>
      </c>
      <c r="B298" s="4" cm="1">
        <f t="array" aca="1" ref="B2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298" s="2">
        <f t="shared" ca="1" si="88"/>
        <v>3.0070307269687921</v>
      </c>
      <c r="D298" s="4" t="str" cm="1">
        <f t="array" aca="1" ref="D2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98" s="2">
        <f t="shared" ca="1" si="89"/>
        <v>30.019013208855807</v>
      </c>
      <c r="F298" s="4" t="str" cm="1">
        <f t="array" aca="1" ref="F2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298" s="2">
        <f t="shared" ca="1" si="90"/>
        <v>40.019393710395207</v>
      </c>
      <c r="H298" s="47" t="str" cm="1">
        <f t="array" aca="1" ref="H2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99" spans="1:8" x14ac:dyDescent="0.25">
      <c r="A299" s="2">
        <f t="shared" ca="1" si="87"/>
        <v>3.0026727599631959</v>
      </c>
      <c r="B299" s="4" cm="1">
        <f t="array" aca="1" ref="B2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299" s="2">
        <f t="shared" ca="1" si="88"/>
        <v>3.0067240111664852</v>
      </c>
      <c r="D299" s="4" t="str" cm="1">
        <f t="array" aca="1" ref="D2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99" s="2">
        <f t="shared" ca="1" si="89"/>
        <v>30.02383630127331</v>
      </c>
      <c r="F299" s="4" t="str" cm="1">
        <f t="array" aca="1" ref="F2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99" s="2">
        <f t="shared" ca="1" si="90"/>
        <v>40.009858145755977</v>
      </c>
      <c r="H299" s="47" t="str" cm="1">
        <f t="array" aca="1" ref="H2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00" spans="1:8" x14ac:dyDescent="0.25">
      <c r="A300" s="2">
        <f t="shared" ca="1" si="87"/>
        <v>3.0070555682974218</v>
      </c>
      <c r="B300" s="4" cm="1">
        <f t="array" aca="1" ref="B3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300" s="2">
        <f t="shared" ca="1" si="88"/>
        <v>3.0030297134731776</v>
      </c>
      <c r="D300" s="4" t="str" cm="1">
        <f t="array" aca="1" ref="D3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00" s="2">
        <f t="shared" ca="1" si="89"/>
        <v>30.013055146027142</v>
      </c>
      <c r="F300" s="4" t="str" cm="1">
        <f t="array" aca="1" ref="F3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00" s="2">
        <f t="shared" ca="1" si="90"/>
        <v>40.004988865156413</v>
      </c>
      <c r="H300" s="47" t="str" cm="1">
        <f t="array" aca="1" ref="H3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01" spans="1:8" x14ac:dyDescent="0.25">
      <c r="A301" s="2">
        <f t="shared" ca="1" si="87"/>
        <v>3.0064748786671225</v>
      </c>
      <c r="B301" s="4" cm="1">
        <f t="array" aca="1" ref="B3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301" s="2">
        <f t="shared" ca="1" si="88"/>
        <v>3.0070349946567929</v>
      </c>
      <c r="D301" s="4" t="str" cm="1">
        <f t="array" aca="1" ref="D3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01" s="2">
        <f t="shared" ca="1" si="89"/>
        <v>30.013338661266079</v>
      </c>
      <c r="F301" s="4" t="str" cm="1">
        <f t="array" aca="1" ref="F3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01" s="2">
        <f t="shared" ca="1" si="90"/>
        <v>40.022315260546577</v>
      </c>
      <c r="H301" s="47" t="str" cm="1">
        <f t="array" aca="1" ref="H3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02" spans="1:8" x14ac:dyDescent="0.25">
      <c r="A302" s="2">
        <f t="shared" ca="1" si="87"/>
        <v>3.0076931623494811</v>
      </c>
      <c r="B302" s="4" cm="1">
        <f t="array" aca="1" ref="B3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302" s="2">
        <f t="shared" ca="1" si="88"/>
        <v>3.0073171518216695</v>
      </c>
      <c r="D302" s="4" t="str" cm="1">
        <f t="array" aca="1" ref="D3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02" s="2">
        <f t="shared" ca="1" si="89"/>
        <v>30.012068733889407</v>
      </c>
      <c r="F302" s="4" t="str" cm="1">
        <f t="array" aca="1" ref="F3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02" s="2">
        <f t="shared" ca="1" si="90"/>
        <v>40.009288442174231</v>
      </c>
      <c r="H302" s="47" t="str" cm="1">
        <f t="array" aca="1" ref="H3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03" spans="1:8" x14ac:dyDescent="0.25">
      <c r="A303" s="2">
        <f t="shared" ca="1" si="87"/>
        <v>3.0015035857053944</v>
      </c>
      <c r="B303" s="4" cm="1">
        <f t="array" aca="1" ref="B3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303" s="2">
        <f t="shared" ca="1" si="88"/>
        <v>3.0280637161653781</v>
      </c>
      <c r="D303" s="4" t="str" cm="1">
        <f t="array" aca="1" ref="D3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03" s="2">
        <f t="shared" ca="1" si="89"/>
        <v>30.012508996124208</v>
      </c>
      <c r="F303" s="4" t="str" cm="1">
        <f t="array" aca="1" ref="F3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03" s="2">
        <f t="shared" ca="1" si="90"/>
        <v>40.026205547133522</v>
      </c>
      <c r="H303" s="47" t="str" cm="1">
        <f t="array" aca="1" ref="H3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04" spans="1:8" x14ac:dyDescent="0.25">
      <c r="A304" s="2">
        <f t="shared" ca="1" si="87"/>
        <v>3.0068862073018221</v>
      </c>
      <c r="B304" s="4" cm="1">
        <f t="array" aca="1" ref="B3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304" s="2">
        <f t="shared" ca="1" si="88"/>
        <v>3.0100412969400558</v>
      </c>
      <c r="D304" s="4" t="str" cm="1">
        <f t="array" aca="1" ref="D3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04" s="2">
        <f t="shared" ca="1" si="89"/>
        <v>30.005218329765608</v>
      </c>
      <c r="F304" s="4" t="str" cm="1">
        <f t="array" aca="1" ref="F3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04" s="2">
        <f t="shared" ca="1" si="90"/>
        <v>40.025238671519894</v>
      </c>
      <c r="H304" s="47" t="str" cm="1">
        <f t="array" aca="1" ref="H3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05" spans="1:8" x14ac:dyDescent="0.25">
      <c r="A305" s="2">
        <f t="shared" ca="1" si="87"/>
        <v>3.0027100799291468</v>
      </c>
      <c r="B305" s="4" cm="1">
        <f t="array" aca="1" ref="B3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305" s="2">
        <f t="shared" ca="1" si="88"/>
        <v>3.0159027397161502</v>
      </c>
      <c r="D305" s="4" t="str" cm="1">
        <f t="array" aca="1" ref="D3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05" s="2">
        <f t="shared" ca="1" si="89"/>
        <v>30.022712521572831</v>
      </c>
      <c r="F305" s="4" t="str" cm="1">
        <f t="array" aca="1" ref="F3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05" s="2">
        <f t="shared" ca="1" si="90"/>
        <v>40.001080679502259</v>
      </c>
      <c r="H305" s="47" t="str" cm="1">
        <f t="array" aca="1" ref="H3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06" spans="1:8" x14ac:dyDescent="0.25">
      <c r="A306" s="2">
        <f t="shared" ca="1" si="87"/>
        <v>3.0069938417903144</v>
      </c>
      <c r="B306" s="4" cm="1">
        <f t="array" aca="1" ref="B3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306" s="2">
        <f t="shared" ca="1" si="88"/>
        <v>3.0123831400285317</v>
      </c>
      <c r="D306" s="4" t="str" cm="1">
        <f t="array" aca="1" ref="D3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06" s="2">
        <f t="shared" ca="1" si="89"/>
        <v>30.021354368231574</v>
      </c>
      <c r="F306" s="4" t="str" cm="1">
        <f t="array" aca="1" ref="F3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06" s="2">
        <f t="shared" ca="1" si="90"/>
        <v>40.008748378555147</v>
      </c>
      <c r="H306" s="47" t="str" cm="1">
        <f t="array" aca="1" ref="H3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07" spans="1:8" x14ac:dyDescent="0.25">
      <c r="A307" s="2">
        <f t="shared" ca="1" si="87"/>
        <v>3.005715828333595</v>
      </c>
      <c r="B307" s="4" cm="1">
        <f t="array" aca="1" ref="B3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307" s="2">
        <f t="shared" ca="1" si="88"/>
        <v>3.0027911877660292</v>
      </c>
      <c r="D307" s="4" t="str" cm="1">
        <f t="array" aca="1" ref="D3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07" s="2">
        <f t="shared" ca="1" si="89"/>
        <v>30.005130879150091</v>
      </c>
      <c r="F307" s="4" t="str" cm="1">
        <f t="array" aca="1" ref="F3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07" s="2">
        <f t="shared" ca="1" si="90"/>
        <v>40.002948779951758</v>
      </c>
      <c r="H307" s="47" t="str" cm="1">
        <f t="array" aca="1" ref="H3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08" spans="1:8" x14ac:dyDescent="0.25">
      <c r="A308" s="2">
        <f t="shared" ca="1" si="87"/>
        <v>3.0026516904500804</v>
      </c>
      <c r="B308" s="4" cm="1">
        <f t="array" aca="1" ref="B3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308" s="2">
        <f t="shared" ca="1" si="88"/>
        <v>3.003833335738912</v>
      </c>
      <c r="D308" s="4" t="str" cm="1">
        <f t="array" aca="1" ref="D3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08" s="2">
        <f t="shared" ca="1" si="89"/>
        <v>30.011262473090735</v>
      </c>
      <c r="F308" s="4" t="str" cm="1">
        <f t="array" aca="1" ref="F3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08" s="2">
        <f t="shared" ca="1" si="90"/>
        <v>40.024301439665578</v>
      </c>
      <c r="H308" s="47" t="str" cm="1">
        <f t="array" aca="1" ref="H3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09" spans="1:8" x14ac:dyDescent="0.25">
      <c r="A309" s="2">
        <f t="shared" ca="1" si="87"/>
        <v>3.0019585274788736</v>
      </c>
      <c r="B309" s="4" cm="1">
        <f t="array" aca="1" ref="B3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309" s="2">
        <f t="shared" ca="1" si="88"/>
        <v>3.0276225130567713</v>
      </c>
      <c r="D309" s="4" t="str" cm="1">
        <f t="array" aca="1" ref="D3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09" s="2">
        <f t="shared" ca="1" si="89"/>
        <v>30.005224740651062</v>
      </c>
      <c r="F309" s="4" t="str" cm="1">
        <f t="array" aca="1" ref="F3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09" s="2">
        <f t="shared" ca="1" si="90"/>
        <v>40.011299639894375</v>
      </c>
      <c r="H309" s="47" t="str" cm="1">
        <f t="array" aca="1" ref="H3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10" spans="1:8" x14ac:dyDescent="0.25">
      <c r="A310" s="2">
        <f t="shared" ca="1" si="87"/>
        <v>3.0079888917123747</v>
      </c>
      <c r="B310" s="4" cm="1">
        <f t="array" aca="1" ref="B3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310" s="2">
        <f t="shared" ca="1" si="88"/>
        <v>3.0235292131207654</v>
      </c>
      <c r="D310" s="4" t="str" cm="1">
        <f t="array" aca="1" ref="D3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10" s="2">
        <f t="shared" ca="1" si="89"/>
        <v>30.019126179012904</v>
      </c>
      <c r="F310" s="4" t="str" cm="1">
        <f t="array" aca="1" ref="F3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10" s="2">
        <f t="shared" ca="1" si="90"/>
        <v>40.019691903478794</v>
      </c>
      <c r="H310" s="47" t="str" cm="1">
        <f t="array" aca="1" ref="H3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11" spans="1:8" x14ac:dyDescent="0.25">
      <c r="A311" s="2">
        <f t="shared" ca="1" si="87"/>
        <v>3.0072892157915185</v>
      </c>
      <c r="B311" s="4" cm="1">
        <f t="array" aca="1" ref="B3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311" s="2">
        <f t="shared" ca="1" si="88"/>
        <v>3.0004091387656024</v>
      </c>
      <c r="D311" s="4" t="str" cm="1">
        <f t="array" aca="1" ref="D3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11" s="2">
        <f t="shared" ca="1" si="89"/>
        <v>30.013593929939834</v>
      </c>
      <c r="F311" s="4" t="str" cm="1">
        <f t="array" aca="1" ref="F3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11" s="2">
        <f t="shared" ca="1" si="90"/>
        <v>40.02307082305223</v>
      </c>
      <c r="H311" s="47" t="str" cm="1">
        <f t="array" aca="1" ref="H3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12" spans="1:8" x14ac:dyDescent="0.25">
      <c r="A312" s="2">
        <f t="shared" ca="1" si="87"/>
        <v>3.0081211944682487</v>
      </c>
      <c r="B312" s="4" cm="1">
        <f t="array" aca="1" ref="B3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312" s="2">
        <f t="shared" ca="1" si="88"/>
        <v>3.0278053539484424</v>
      </c>
      <c r="D312" s="4" t="str" cm="1">
        <f t="array" aca="1" ref="D3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12" s="2">
        <f t="shared" ca="1" si="89"/>
        <v>30.012766042275032</v>
      </c>
      <c r="F312" s="4" t="str" cm="1">
        <f t="array" aca="1" ref="F3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12" s="2">
        <f t="shared" ca="1" si="90"/>
        <v>40.010465119994137</v>
      </c>
      <c r="H312" s="47" t="str" cm="1">
        <f t="array" aca="1" ref="H3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13" spans="1:8" x14ac:dyDescent="0.25">
      <c r="A313" s="2">
        <f t="shared" ca="1" si="87"/>
        <v>3.0058760530599127</v>
      </c>
      <c r="B313" s="4" cm="1">
        <f t="array" aca="1" ref="B3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313" s="2">
        <f t="shared" ca="1" si="88"/>
        <v>3.015334962411095</v>
      </c>
      <c r="D313" s="4" t="str" cm="1">
        <f t="array" aca="1" ref="D3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13" s="2">
        <f t="shared" ca="1" si="89"/>
        <v>30.021576521987519</v>
      </c>
      <c r="F313" s="4" t="str" cm="1">
        <f t="array" aca="1" ref="F3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13" s="2">
        <f t="shared" ca="1" si="90"/>
        <v>40.025253210783376</v>
      </c>
      <c r="H313" s="47" t="str" cm="1">
        <f t="array" aca="1" ref="H3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14" spans="1:8" x14ac:dyDescent="0.25">
      <c r="A314" s="2">
        <f t="shared" ca="1" si="87"/>
        <v>3.0025416458993632</v>
      </c>
      <c r="B314" s="4" cm="1">
        <f t="array" aca="1" ref="B3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314" s="2">
        <f t="shared" ca="1" si="88"/>
        <v>3.0208105933082945</v>
      </c>
      <c r="D314" s="4" t="str" cm="1">
        <f t="array" aca="1" ref="D3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14" s="2">
        <f t="shared" ca="1" si="89"/>
        <v>30.024035850113396</v>
      </c>
      <c r="F314" s="4" t="str" cm="1">
        <f t="array" aca="1" ref="F3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14" s="2">
        <f t="shared" ca="1" si="90"/>
        <v>40.00898477577887</v>
      </c>
      <c r="H314" s="47" t="str" cm="1">
        <f t="array" aca="1" ref="H3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15" spans="1:8" x14ac:dyDescent="0.25">
      <c r="A315" s="2">
        <f t="shared" ca="1" si="87"/>
        <v>3.0047707645674637</v>
      </c>
      <c r="B315" s="4" cm="1">
        <f t="array" aca="1" ref="B3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315" s="2">
        <f t="shared" ca="1" si="88"/>
        <v>3.0105047071764428</v>
      </c>
      <c r="D315" s="4" t="str" cm="1">
        <f t="array" aca="1" ref="D3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15" s="2">
        <f t="shared" ca="1" si="89"/>
        <v>30.016571122382317</v>
      </c>
      <c r="F315" s="4" t="str" cm="1">
        <f t="array" aca="1" ref="F3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15" s="2">
        <f t="shared" ca="1" si="90"/>
        <v>40.01215160451541</v>
      </c>
      <c r="H315" s="47" t="str" cm="1">
        <f t="array" aca="1" ref="H3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16" spans="1:8" x14ac:dyDescent="0.25">
      <c r="A316" s="2">
        <f t="shared" ca="1" si="87"/>
        <v>3.0029224538208577</v>
      </c>
      <c r="B316" s="4" cm="1">
        <f t="array" aca="1" ref="B3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316" s="2">
        <f t="shared" ca="1" si="88"/>
        <v>3.0098358497374509</v>
      </c>
      <c r="D316" s="4" t="str" cm="1">
        <f t="array" aca="1" ref="D3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16" s="2">
        <f t="shared" ca="1" si="89"/>
        <v>30.005756967415593</v>
      </c>
      <c r="F316" s="4" t="str" cm="1">
        <f t="array" aca="1" ref="F3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16" s="2">
        <f t="shared" ca="1" si="90"/>
        <v>40.022870547051241</v>
      </c>
      <c r="H316" s="47" t="str" cm="1">
        <f t="array" aca="1" ref="H3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17" spans="1:8" x14ac:dyDescent="0.25">
      <c r="A317" s="2">
        <f t="shared" ca="1" si="87"/>
        <v>3.0071014160609737</v>
      </c>
      <c r="B317" s="4" cm="1">
        <f t="array" aca="1" ref="B3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317" s="2">
        <f t="shared" ca="1" si="88"/>
        <v>3.0032834734721252</v>
      </c>
      <c r="D317" s="4" t="str" cm="1">
        <f t="array" aca="1" ref="D3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17" s="2">
        <f t="shared" ca="1" si="89"/>
        <v>30.007630738693674</v>
      </c>
      <c r="F317" s="4" t="str" cm="1">
        <f t="array" aca="1" ref="F3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17" s="2">
        <f t="shared" ca="1" si="90"/>
        <v>40.023951091414666</v>
      </c>
      <c r="H317" s="47" t="str" cm="1">
        <f t="array" aca="1" ref="H3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18" spans="1:8" x14ac:dyDescent="0.25">
      <c r="A318" s="2">
        <f t="shared" ca="1" si="87"/>
        <v>3.0067751384620975</v>
      </c>
      <c r="B318" s="4" cm="1">
        <f t="array" aca="1" ref="B3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318" s="2">
        <f t="shared" ca="1" si="88"/>
        <v>3.0020640661772942</v>
      </c>
      <c r="D318" s="4" t="str" cm="1">
        <f t="array" aca="1" ref="D3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18" s="2">
        <f t="shared" ca="1" si="89"/>
        <v>30.010688175590321</v>
      </c>
      <c r="F318" s="4" t="str" cm="1">
        <f t="array" aca="1" ref="F3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18" s="2">
        <f t="shared" ca="1" si="90"/>
        <v>40.025495635637675</v>
      </c>
      <c r="H318" s="47" t="str" cm="1">
        <f t="array" aca="1" ref="H3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19" spans="1:8" x14ac:dyDescent="0.25">
      <c r="A319" s="2">
        <f t="shared" ca="1" si="87"/>
        <v>3.0087517063758238</v>
      </c>
      <c r="B319" s="4" cm="1">
        <f t="array" aca="1" ref="B3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319" s="2">
        <f t="shared" ca="1" si="88"/>
        <v>3.0108343706401937</v>
      </c>
      <c r="D319" s="4" t="str" cm="1">
        <f t="array" aca="1" ref="D3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19" s="2">
        <f t="shared" ca="1" si="89"/>
        <v>30.006383325320279</v>
      </c>
      <c r="F319" s="4" t="str" cm="1">
        <f t="array" aca="1" ref="F3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19" s="2">
        <f t="shared" ca="1" si="90"/>
        <v>40.007548624638972</v>
      </c>
      <c r="H319" s="47" t="str" cm="1">
        <f t="array" aca="1" ref="H3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20" spans="1:8" x14ac:dyDescent="0.25">
      <c r="A320" s="2">
        <f t="shared" ca="1" si="87"/>
        <v>3.0083944617172516</v>
      </c>
      <c r="B320" s="4" cm="1">
        <f t="array" aca="1" ref="B3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320" s="2">
        <f t="shared" ca="1" si="88"/>
        <v>3.026986826759773</v>
      </c>
      <c r="D320" s="4" t="str" cm="1">
        <f t="array" aca="1" ref="D3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20" s="2">
        <f t="shared" ca="1" si="89"/>
        <v>30.016070780054729</v>
      </c>
      <c r="F320" s="4" t="str" cm="1">
        <f t="array" aca="1" ref="F3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20" s="2">
        <f t="shared" ca="1" si="90"/>
        <v>40.00106694561849</v>
      </c>
      <c r="H320" s="47" t="str" cm="1">
        <f t="array" aca="1" ref="H3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21" spans="1:8" x14ac:dyDescent="0.25">
      <c r="A321" s="2">
        <f t="shared" ca="1" si="87"/>
        <v>3.0030190295044039</v>
      </c>
      <c r="B321" s="4" cm="1">
        <f t="array" aca="1" ref="B3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321" s="2">
        <f t="shared" ca="1" si="88"/>
        <v>3.0052867321099006</v>
      </c>
      <c r="D321" s="4" t="str" cm="1">
        <f t="array" aca="1" ref="D3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21" s="2">
        <f t="shared" ca="1" si="89"/>
        <v>30.00097892214696</v>
      </c>
      <c r="F321" s="4" t="str" cm="1">
        <f t="array" aca="1" ref="F3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21" s="2">
        <f t="shared" ca="1" si="90"/>
        <v>40.019414862351148</v>
      </c>
      <c r="H321" s="47" t="str" cm="1">
        <f t="array" aca="1" ref="H3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22" spans="1:8" x14ac:dyDescent="0.25">
      <c r="A322" s="2">
        <f t="shared" ref="A322:A385" ca="1" si="91">3+RAND()*0.01</f>
        <v>3.0069820580268245</v>
      </c>
      <c r="B322" s="4" cm="1">
        <f t="array" aca="1" ref="B3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322" s="2">
        <f t="shared" ref="C322:C385" ca="1" si="92">3+RAND()*0.03</f>
        <v>3.005183740682611</v>
      </c>
      <c r="D322" s="4" t="str" cm="1">
        <f t="array" aca="1" ref="D3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22" s="2">
        <f t="shared" ref="E322:E385" ca="1" si="93">30+RAND()*0.03</f>
        <v>30.016660750709288</v>
      </c>
      <c r="F322" s="4" t="str" cm="1">
        <f t="array" aca="1" ref="F3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22" s="2">
        <f t="shared" ref="G322:G385" ca="1" si="94">40+RAND()*0.03</f>
        <v>40.002366781624367</v>
      </c>
      <c r="H322" s="47" t="str" cm="1">
        <f t="array" aca="1" ref="H3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23" spans="1:8" x14ac:dyDescent="0.25">
      <c r="A323" s="2">
        <f t="shared" ca="1" si="91"/>
        <v>3.0005432263211684</v>
      </c>
      <c r="B323" s="4" cm="1">
        <f t="array" aca="1" ref="B3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323" s="2">
        <f t="shared" ca="1" si="92"/>
        <v>3.0234813919501775</v>
      </c>
      <c r="D323" s="4" t="str" cm="1">
        <f t="array" aca="1" ref="D3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23" s="2">
        <f t="shared" ca="1" si="93"/>
        <v>30.007997445741061</v>
      </c>
      <c r="F323" s="4" t="str" cm="1">
        <f t="array" aca="1" ref="F3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23" s="2">
        <f t="shared" ca="1" si="94"/>
        <v>40.029263242893727</v>
      </c>
      <c r="H323" s="47" t="str" cm="1">
        <f t="array" aca="1" ref="H3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24" spans="1:8" x14ac:dyDescent="0.25">
      <c r="A324" s="2">
        <f t="shared" ca="1" si="91"/>
        <v>3.0095777328653326</v>
      </c>
      <c r="B324" s="4" cm="1">
        <f t="array" aca="1" ref="B3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324" s="2">
        <f t="shared" ca="1" si="92"/>
        <v>3.0184763196358366</v>
      </c>
      <c r="D324" s="4" t="str" cm="1">
        <f t="array" aca="1" ref="D3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24" s="2">
        <f t="shared" ca="1" si="93"/>
        <v>30.023030762554047</v>
      </c>
      <c r="F324" s="4" t="str" cm="1">
        <f t="array" aca="1" ref="F3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24" s="2">
        <f t="shared" ca="1" si="94"/>
        <v>40.026668430563596</v>
      </c>
      <c r="H324" s="47" t="str" cm="1">
        <f t="array" aca="1" ref="H3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25" spans="1:8" x14ac:dyDescent="0.25">
      <c r="A325" s="2">
        <f t="shared" ca="1" si="91"/>
        <v>3.0048544903293082</v>
      </c>
      <c r="B325" s="4" cm="1">
        <f t="array" aca="1" ref="B3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325" s="2">
        <f t="shared" ca="1" si="92"/>
        <v>3.025329855529336</v>
      </c>
      <c r="D325" s="4" t="str" cm="1">
        <f t="array" aca="1" ref="D3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25" s="2">
        <f t="shared" ca="1" si="93"/>
        <v>30.029567040480845</v>
      </c>
      <c r="F325" s="4" t="str" cm="1">
        <f t="array" aca="1" ref="F3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25" s="2">
        <f t="shared" ca="1" si="94"/>
        <v>40.004270390353625</v>
      </c>
      <c r="H325" s="47" t="str" cm="1">
        <f t="array" aca="1" ref="H3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26" spans="1:8" x14ac:dyDescent="0.25">
      <c r="A326" s="2">
        <f t="shared" ca="1" si="91"/>
        <v>3.0027707423912378</v>
      </c>
      <c r="B326" s="4" cm="1">
        <f t="array" aca="1" ref="B3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326" s="2">
        <f t="shared" ca="1" si="92"/>
        <v>3.0007760653867628</v>
      </c>
      <c r="D326" s="4" t="str" cm="1">
        <f t="array" aca="1" ref="D3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26" s="2">
        <f t="shared" ca="1" si="93"/>
        <v>30.007903007802028</v>
      </c>
      <c r="F326" s="4" t="str" cm="1">
        <f t="array" aca="1" ref="F3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26" s="2">
        <f t="shared" ca="1" si="94"/>
        <v>40.020732499270792</v>
      </c>
      <c r="H326" s="47" t="str" cm="1">
        <f t="array" aca="1" ref="H3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27" spans="1:8" x14ac:dyDescent="0.25">
      <c r="A327" s="2">
        <f t="shared" ca="1" si="91"/>
        <v>3.0004868241329747</v>
      </c>
      <c r="B327" s="4" cm="1">
        <f t="array" aca="1" ref="B3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327" s="2">
        <f t="shared" ca="1" si="92"/>
        <v>3.0185635755130407</v>
      </c>
      <c r="D327" s="4" t="str" cm="1">
        <f t="array" aca="1" ref="D3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27" s="2">
        <f t="shared" ca="1" si="93"/>
        <v>30.015320090082582</v>
      </c>
      <c r="F327" s="4" t="str" cm="1">
        <f t="array" aca="1" ref="F3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27" s="2">
        <f t="shared" ca="1" si="94"/>
        <v>40.019881960504122</v>
      </c>
      <c r="H327" s="47" t="str" cm="1">
        <f t="array" aca="1" ref="H3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28" spans="1:8" x14ac:dyDescent="0.25">
      <c r="A328" s="2">
        <f t="shared" ca="1" si="91"/>
        <v>3.00187786250244</v>
      </c>
      <c r="B328" s="4" cm="1">
        <f t="array" aca="1" ref="B3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328" s="2">
        <f t="shared" ca="1" si="92"/>
        <v>3.0201954135977833</v>
      </c>
      <c r="D328" s="4" t="str" cm="1">
        <f t="array" aca="1" ref="D3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28" s="2">
        <f t="shared" ca="1" si="93"/>
        <v>30.026606225340981</v>
      </c>
      <c r="F328" s="4" t="str" cm="1">
        <f t="array" aca="1" ref="F3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28" s="2">
        <f t="shared" ca="1" si="94"/>
        <v>40.005290513079501</v>
      </c>
      <c r="H328" s="47" t="str" cm="1">
        <f t="array" aca="1" ref="H3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29" spans="1:8" x14ac:dyDescent="0.25">
      <c r="A329" s="2">
        <f t="shared" ca="1" si="91"/>
        <v>3.0042884719486942</v>
      </c>
      <c r="B329" s="4" cm="1">
        <f t="array" aca="1" ref="B3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329" s="2">
        <f t="shared" ca="1" si="92"/>
        <v>3.0241910335860083</v>
      </c>
      <c r="D329" s="4" t="str" cm="1">
        <f t="array" aca="1" ref="D3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29" s="2">
        <f t="shared" ca="1" si="93"/>
        <v>30.007484132174778</v>
      </c>
      <c r="F329" s="4" t="str" cm="1">
        <f t="array" aca="1" ref="F3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29" s="2">
        <f t="shared" ca="1" si="94"/>
        <v>40.004583682805446</v>
      </c>
      <c r="H329" s="47" t="str" cm="1">
        <f t="array" aca="1" ref="H3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30" spans="1:8" x14ac:dyDescent="0.25">
      <c r="A330" s="2">
        <f t="shared" ca="1" si="91"/>
        <v>3.0055742145829027</v>
      </c>
      <c r="B330" s="4" cm="1">
        <f t="array" aca="1" ref="B3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330" s="2">
        <f t="shared" ca="1" si="92"/>
        <v>3.0055629920169276</v>
      </c>
      <c r="D330" s="4" t="str" cm="1">
        <f t="array" aca="1" ref="D3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30" s="2">
        <f t="shared" ca="1" si="93"/>
        <v>30.007185941980598</v>
      </c>
      <c r="F330" s="4" t="str" cm="1">
        <f t="array" aca="1" ref="F3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30" s="2">
        <f t="shared" ca="1" si="94"/>
        <v>40.017160837417386</v>
      </c>
      <c r="H330" s="47" t="str" cm="1">
        <f t="array" aca="1" ref="H3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31" spans="1:8" x14ac:dyDescent="0.25">
      <c r="A331" s="2">
        <f t="shared" ca="1" si="91"/>
        <v>3.0055583762963631</v>
      </c>
      <c r="B331" s="4" cm="1">
        <f t="array" aca="1" ref="B3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331" s="2">
        <f t="shared" ca="1" si="92"/>
        <v>3.0254264808969831</v>
      </c>
      <c r="D331" s="4" t="str" cm="1">
        <f t="array" aca="1" ref="D3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31" s="2">
        <f t="shared" ca="1" si="93"/>
        <v>30.016706584311041</v>
      </c>
      <c r="F331" s="4" t="str" cm="1">
        <f t="array" aca="1" ref="F3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31" s="2">
        <f t="shared" ca="1" si="94"/>
        <v>40.008326064754442</v>
      </c>
      <c r="H331" s="47" t="str" cm="1">
        <f t="array" aca="1" ref="H3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32" spans="1:8" x14ac:dyDescent="0.25">
      <c r="A332" s="2">
        <f t="shared" ca="1" si="91"/>
        <v>3.0065396466887484</v>
      </c>
      <c r="B332" s="4" cm="1">
        <f t="array" aca="1" ref="B3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332" s="2">
        <f t="shared" ca="1" si="92"/>
        <v>3.0152362880154313</v>
      </c>
      <c r="D332" s="4" t="str" cm="1">
        <f t="array" aca="1" ref="D3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32" s="2">
        <f t="shared" ca="1" si="93"/>
        <v>30.01044628974326</v>
      </c>
      <c r="F332" s="4" t="str" cm="1">
        <f t="array" aca="1" ref="F3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32" s="2">
        <f t="shared" ca="1" si="94"/>
        <v>40.021558480567258</v>
      </c>
      <c r="H332" s="47" t="str" cm="1">
        <f t="array" aca="1" ref="H3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33" spans="1:8" x14ac:dyDescent="0.25">
      <c r="A333" s="2">
        <f t="shared" ca="1" si="91"/>
        <v>3.003305723261263</v>
      </c>
      <c r="B333" s="4" cm="1">
        <f t="array" aca="1" ref="B3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333" s="2">
        <f t="shared" ca="1" si="92"/>
        <v>3.0201497363300955</v>
      </c>
      <c r="D333" s="4" t="str" cm="1">
        <f t="array" aca="1" ref="D3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33" s="2">
        <f t="shared" ca="1" si="93"/>
        <v>30.019106852665569</v>
      </c>
      <c r="F333" s="4" t="str" cm="1">
        <f t="array" aca="1" ref="F3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33" s="2">
        <f t="shared" ca="1" si="94"/>
        <v>40.01140988001783</v>
      </c>
      <c r="H333" s="47" t="str" cm="1">
        <f t="array" aca="1" ref="H3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34" spans="1:8" x14ac:dyDescent="0.25">
      <c r="A334" s="2">
        <f t="shared" ca="1" si="91"/>
        <v>3.0035827458096453</v>
      </c>
      <c r="B334" s="4" cm="1">
        <f t="array" aca="1" ref="B3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334" s="2">
        <f t="shared" ca="1" si="92"/>
        <v>3.0083480169086112</v>
      </c>
      <c r="D334" s="4" t="str" cm="1">
        <f t="array" aca="1" ref="D3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34" s="2">
        <f t="shared" ca="1" si="93"/>
        <v>30.012435265804424</v>
      </c>
      <c r="F334" s="4" t="str" cm="1">
        <f t="array" aca="1" ref="F3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34" s="2">
        <f t="shared" ca="1" si="94"/>
        <v>40.003548602894242</v>
      </c>
      <c r="H334" s="47" t="str" cm="1">
        <f t="array" aca="1" ref="H3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35" spans="1:8" x14ac:dyDescent="0.25">
      <c r="A335" s="2">
        <f t="shared" ca="1" si="91"/>
        <v>3.0027094403986752</v>
      </c>
      <c r="B335" s="4" cm="1">
        <f t="array" aca="1" ref="B3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335" s="2">
        <f t="shared" ca="1" si="92"/>
        <v>3.0214490334702497</v>
      </c>
      <c r="D335" s="4" t="str" cm="1">
        <f t="array" aca="1" ref="D3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35" s="2">
        <f t="shared" ca="1" si="93"/>
        <v>30.000125977459849</v>
      </c>
      <c r="F335" s="4" t="str" cm="1">
        <f t="array" aca="1" ref="F3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35" s="2">
        <f t="shared" ca="1" si="94"/>
        <v>40.011961275477098</v>
      </c>
      <c r="H335" s="47" t="str" cm="1">
        <f t="array" aca="1" ref="H3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36" spans="1:8" x14ac:dyDescent="0.25">
      <c r="A336" s="2">
        <f t="shared" ca="1" si="91"/>
        <v>3.006560487215808</v>
      </c>
      <c r="B336" s="4" cm="1">
        <f t="array" aca="1" ref="B3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336" s="2">
        <f t="shared" ca="1" si="92"/>
        <v>3.0119613711864193</v>
      </c>
      <c r="D336" s="4" t="str" cm="1">
        <f t="array" aca="1" ref="D3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36" s="2">
        <f t="shared" ca="1" si="93"/>
        <v>30.005602705845945</v>
      </c>
      <c r="F336" s="4" t="str" cm="1">
        <f t="array" aca="1" ref="F3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36" s="2">
        <f t="shared" ca="1" si="94"/>
        <v>40.022139896164177</v>
      </c>
      <c r="H336" s="47" t="str" cm="1">
        <f t="array" aca="1" ref="H3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37" spans="1:8" x14ac:dyDescent="0.25">
      <c r="A337" s="2">
        <f t="shared" ca="1" si="91"/>
        <v>3.0013880423105554</v>
      </c>
      <c r="B337" s="4" cm="1">
        <f t="array" aca="1" ref="B3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337" s="2">
        <f t="shared" ca="1" si="92"/>
        <v>3.0190657871369799</v>
      </c>
      <c r="D337" s="4" t="str" cm="1">
        <f t="array" aca="1" ref="D3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37" s="2">
        <f t="shared" ca="1" si="93"/>
        <v>30.018848048418974</v>
      </c>
      <c r="F337" s="4" t="str" cm="1">
        <f t="array" aca="1" ref="F3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37" s="2">
        <f t="shared" ca="1" si="94"/>
        <v>40.014133016548207</v>
      </c>
      <c r="H337" s="47" t="str" cm="1">
        <f t="array" aca="1" ref="H3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38" spans="1:8" x14ac:dyDescent="0.25">
      <c r="A338" s="2">
        <f t="shared" ca="1" si="91"/>
        <v>3.0004558104178987</v>
      </c>
      <c r="B338" s="4" cm="1">
        <f t="array" aca="1" ref="B3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338" s="2">
        <f t="shared" ca="1" si="92"/>
        <v>3.0117520663795241</v>
      </c>
      <c r="D338" s="4" t="str" cm="1">
        <f t="array" aca="1" ref="D3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38" s="2">
        <f t="shared" ca="1" si="93"/>
        <v>30.023476648318379</v>
      </c>
      <c r="F338" s="4" t="str" cm="1">
        <f t="array" aca="1" ref="F3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38" s="2">
        <f t="shared" ca="1" si="94"/>
        <v>40.029481247928807</v>
      </c>
      <c r="H338" s="47" t="str" cm="1">
        <f t="array" aca="1" ref="H3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39" spans="1:8" x14ac:dyDescent="0.25">
      <c r="A339" s="2">
        <f t="shared" ca="1" si="91"/>
        <v>3.0048636049883473</v>
      </c>
      <c r="B339" s="4" cm="1">
        <f t="array" aca="1" ref="B3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339" s="2">
        <f t="shared" ca="1" si="92"/>
        <v>3.0048844883755041</v>
      </c>
      <c r="D339" s="4" t="str" cm="1">
        <f t="array" aca="1" ref="D3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39" s="2">
        <f t="shared" ca="1" si="93"/>
        <v>30.002452002111163</v>
      </c>
      <c r="F339" s="4" t="str" cm="1">
        <f t="array" aca="1" ref="F3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39" s="2">
        <f t="shared" ca="1" si="94"/>
        <v>40.014923912489898</v>
      </c>
      <c r="H339" s="47" t="str" cm="1">
        <f t="array" aca="1" ref="H3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40" spans="1:8" x14ac:dyDescent="0.25">
      <c r="A340" s="2">
        <f t="shared" ca="1" si="91"/>
        <v>3.0060762870256545</v>
      </c>
      <c r="B340" s="4" cm="1">
        <f t="array" aca="1" ref="B3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340" s="2">
        <f t="shared" ca="1" si="92"/>
        <v>3.0192751700779139</v>
      </c>
      <c r="D340" s="4" t="str" cm="1">
        <f t="array" aca="1" ref="D3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40" s="2">
        <f t="shared" ca="1" si="93"/>
        <v>30.020123614820513</v>
      </c>
      <c r="F340" s="4" t="str" cm="1">
        <f t="array" aca="1" ref="F3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40" s="2">
        <f t="shared" ca="1" si="94"/>
        <v>40.012522060555455</v>
      </c>
      <c r="H340" s="47" t="str" cm="1">
        <f t="array" aca="1" ref="H3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41" spans="1:8" x14ac:dyDescent="0.25">
      <c r="A341" s="2">
        <f t="shared" ca="1" si="91"/>
        <v>3.0060231864621376</v>
      </c>
      <c r="B341" s="4" cm="1">
        <f t="array" aca="1" ref="B3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341" s="2">
        <f t="shared" ca="1" si="92"/>
        <v>3.0048348380200403</v>
      </c>
      <c r="D341" s="4" t="str" cm="1">
        <f t="array" aca="1" ref="D3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41" s="2">
        <f t="shared" ca="1" si="93"/>
        <v>30.004220444151471</v>
      </c>
      <c r="F341" s="4" t="str" cm="1">
        <f t="array" aca="1" ref="F3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41" s="2">
        <f t="shared" ca="1" si="94"/>
        <v>40.009401761040536</v>
      </c>
      <c r="H341" s="47" t="str" cm="1">
        <f t="array" aca="1" ref="H3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42" spans="1:8" x14ac:dyDescent="0.25">
      <c r="A342" s="2">
        <f t="shared" ca="1" si="91"/>
        <v>3.0061545624864268</v>
      </c>
      <c r="B342" s="4" cm="1">
        <f t="array" aca="1" ref="B3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342" s="2">
        <f t="shared" ca="1" si="92"/>
        <v>3.0091856621712236</v>
      </c>
      <c r="D342" s="4" t="str" cm="1">
        <f t="array" aca="1" ref="D3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42" s="2">
        <f t="shared" ca="1" si="93"/>
        <v>30.029483973102547</v>
      </c>
      <c r="F342" s="4" t="str" cm="1">
        <f t="array" aca="1" ref="F3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42" s="2">
        <f t="shared" ca="1" si="94"/>
        <v>40.021957757632514</v>
      </c>
      <c r="H342" s="47" t="str" cm="1">
        <f t="array" aca="1" ref="H3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43" spans="1:8" x14ac:dyDescent="0.25">
      <c r="A343" s="2">
        <f t="shared" ca="1" si="91"/>
        <v>3.0032707527544016</v>
      </c>
      <c r="B343" s="4" cm="1">
        <f t="array" aca="1" ref="B3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343" s="2">
        <f t="shared" ca="1" si="92"/>
        <v>3.0041366504150218</v>
      </c>
      <c r="D343" s="4" t="str" cm="1">
        <f t="array" aca="1" ref="D3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43" s="2">
        <f t="shared" ca="1" si="93"/>
        <v>30.004271208291478</v>
      </c>
      <c r="F343" s="4" t="str" cm="1">
        <f t="array" aca="1" ref="F3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43" s="2">
        <f t="shared" ca="1" si="94"/>
        <v>40.007029025141534</v>
      </c>
      <c r="H343" s="47" t="str" cm="1">
        <f t="array" aca="1" ref="H3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44" spans="1:8" x14ac:dyDescent="0.25">
      <c r="A344" s="2">
        <f t="shared" ca="1" si="91"/>
        <v>3.0038681086839296</v>
      </c>
      <c r="B344" s="4" cm="1">
        <f t="array" aca="1" ref="B3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344" s="2">
        <f t="shared" ca="1" si="92"/>
        <v>3.0261890652762387</v>
      </c>
      <c r="D344" s="4" t="str" cm="1">
        <f t="array" aca="1" ref="D3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44" s="2">
        <f t="shared" ca="1" si="93"/>
        <v>30.001331282631618</v>
      </c>
      <c r="F344" s="4" t="str" cm="1">
        <f t="array" aca="1" ref="F3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44" s="2">
        <f t="shared" ca="1" si="94"/>
        <v>40.024210794277636</v>
      </c>
      <c r="H344" s="47" t="str" cm="1">
        <f t="array" aca="1" ref="H3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45" spans="1:8" x14ac:dyDescent="0.25">
      <c r="A345" s="2">
        <f t="shared" ca="1" si="91"/>
        <v>3.0022377125905484</v>
      </c>
      <c r="B345" s="4" cm="1">
        <f t="array" aca="1" ref="B3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345" s="2">
        <f t="shared" ca="1" si="92"/>
        <v>3.0021649516561015</v>
      </c>
      <c r="D345" s="4" t="str" cm="1">
        <f t="array" aca="1" ref="D3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45" s="2">
        <f t="shared" ca="1" si="93"/>
        <v>30.003539927621155</v>
      </c>
      <c r="F345" s="4" t="str" cm="1">
        <f t="array" aca="1" ref="F3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45" s="2">
        <f t="shared" ca="1" si="94"/>
        <v>40.01141910496834</v>
      </c>
      <c r="H345" s="47" t="str" cm="1">
        <f t="array" aca="1" ref="H3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46" spans="1:8" x14ac:dyDescent="0.25">
      <c r="A346" s="2">
        <f t="shared" ca="1" si="91"/>
        <v>3.0005975515963885</v>
      </c>
      <c r="B346" s="4" cm="1">
        <f t="array" aca="1" ref="B3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346" s="2">
        <f t="shared" ca="1" si="92"/>
        <v>3.0292731994108526</v>
      </c>
      <c r="D346" s="4" t="str" cm="1">
        <f t="array" aca="1" ref="D3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46" s="2">
        <f t="shared" ca="1" si="93"/>
        <v>30.01290764700585</v>
      </c>
      <c r="F346" s="4" t="str" cm="1">
        <f t="array" aca="1" ref="F3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46" s="2">
        <f t="shared" ca="1" si="94"/>
        <v>40.00358233502233</v>
      </c>
      <c r="H346" s="47" t="str" cm="1">
        <f t="array" aca="1" ref="H3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47" spans="1:8" x14ac:dyDescent="0.25">
      <c r="A347" s="2">
        <f t="shared" ca="1" si="91"/>
        <v>3.0071385710490541</v>
      </c>
      <c r="B347" s="4" cm="1">
        <f t="array" aca="1" ref="B3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347" s="2">
        <f t="shared" ca="1" si="92"/>
        <v>3.0246568281886028</v>
      </c>
      <c r="D347" s="4" t="str" cm="1">
        <f t="array" aca="1" ref="D3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47" s="2">
        <f t="shared" ca="1" si="93"/>
        <v>30.005421042228043</v>
      </c>
      <c r="F347" s="4" t="str" cm="1">
        <f t="array" aca="1" ref="F3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47" s="2">
        <f t="shared" ca="1" si="94"/>
        <v>40.005162672706398</v>
      </c>
      <c r="H347" s="47" t="str" cm="1">
        <f t="array" aca="1" ref="H3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48" spans="1:8" x14ac:dyDescent="0.25">
      <c r="A348" s="2">
        <f t="shared" ca="1" si="91"/>
        <v>3.0021154323870931</v>
      </c>
      <c r="B348" s="4" cm="1">
        <f t="array" aca="1" ref="B3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348" s="2">
        <f t="shared" ca="1" si="92"/>
        <v>3.0225748777507637</v>
      </c>
      <c r="D348" s="4" t="str" cm="1">
        <f t="array" aca="1" ref="D3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48" s="2">
        <f t="shared" ca="1" si="93"/>
        <v>30.002409859378943</v>
      </c>
      <c r="F348" s="4" t="str" cm="1">
        <f t="array" aca="1" ref="F3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48" s="2">
        <f t="shared" ca="1" si="94"/>
        <v>40.002052825162771</v>
      </c>
      <c r="H348" s="47" t="str" cm="1">
        <f t="array" aca="1" ref="H3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49" spans="1:8" x14ac:dyDescent="0.25">
      <c r="A349" s="2">
        <f t="shared" ca="1" si="91"/>
        <v>3.0067900985011708</v>
      </c>
      <c r="B349" s="4" cm="1">
        <f t="array" aca="1" ref="B3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349" s="2">
        <f t="shared" ca="1" si="92"/>
        <v>3.0030456714929405</v>
      </c>
      <c r="D349" s="4" t="str" cm="1">
        <f t="array" aca="1" ref="D3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49" s="2">
        <f t="shared" ca="1" si="93"/>
        <v>30.006011411598639</v>
      </c>
      <c r="F349" s="4" t="str" cm="1">
        <f t="array" aca="1" ref="F3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49" s="2">
        <f t="shared" ca="1" si="94"/>
        <v>40.00489438161685</v>
      </c>
      <c r="H349" s="47" t="str" cm="1">
        <f t="array" aca="1" ref="H3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50" spans="1:8" x14ac:dyDescent="0.25">
      <c r="A350" s="2">
        <f t="shared" ca="1" si="91"/>
        <v>3.0028430923175415</v>
      </c>
      <c r="B350" s="4" cm="1">
        <f t="array" aca="1" ref="B3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350" s="2">
        <f t="shared" ca="1" si="92"/>
        <v>3.0062416358912851</v>
      </c>
      <c r="D350" s="4" t="str" cm="1">
        <f t="array" aca="1" ref="D3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50" s="2">
        <f t="shared" ca="1" si="93"/>
        <v>30.019831456998407</v>
      </c>
      <c r="F350" s="4" t="str" cm="1">
        <f t="array" aca="1" ref="F3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50" s="2">
        <f t="shared" ca="1" si="94"/>
        <v>40.01097774655868</v>
      </c>
      <c r="H350" s="47" t="str" cm="1">
        <f t="array" aca="1" ref="H3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51" spans="1:8" x14ac:dyDescent="0.25">
      <c r="A351" s="2">
        <f t="shared" ca="1" si="91"/>
        <v>3.0013332544807612</v>
      </c>
      <c r="B351" s="4" cm="1">
        <f t="array" aca="1" ref="B3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351" s="2">
        <f t="shared" ca="1" si="92"/>
        <v>3.0205683445384772</v>
      </c>
      <c r="D351" s="4" t="str" cm="1">
        <f t="array" aca="1" ref="D3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51" s="2">
        <f t="shared" ca="1" si="93"/>
        <v>30.011101177458652</v>
      </c>
      <c r="F351" s="4" t="str" cm="1">
        <f t="array" aca="1" ref="F3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51" s="2">
        <f t="shared" ca="1" si="94"/>
        <v>40.006486246750214</v>
      </c>
      <c r="H351" s="47" t="str" cm="1">
        <f t="array" aca="1" ref="H3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52" spans="1:8" x14ac:dyDescent="0.25">
      <c r="A352" s="2">
        <f t="shared" ca="1" si="91"/>
        <v>3.00136418993092</v>
      </c>
      <c r="B352" s="4" cm="1">
        <f t="array" aca="1" ref="B3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352" s="2">
        <f t="shared" ca="1" si="92"/>
        <v>3.0293281255190281</v>
      </c>
      <c r="D352" s="4" t="str" cm="1">
        <f t="array" aca="1" ref="D3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52" s="2">
        <f t="shared" ca="1" si="93"/>
        <v>30.012044224015501</v>
      </c>
      <c r="F352" s="4" t="str" cm="1">
        <f t="array" aca="1" ref="F3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52" s="2">
        <f t="shared" ca="1" si="94"/>
        <v>40.024091853799256</v>
      </c>
      <c r="H352" s="47" t="str" cm="1">
        <f t="array" aca="1" ref="H3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53" spans="1:8" x14ac:dyDescent="0.25">
      <c r="A353" s="2">
        <f t="shared" ca="1" si="91"/>
        <v>3.0046447628830677</v>
      </c>
      <c r="B353" s="4" cm="1">
        <f t="array" aca="1" ref="B3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353" s="2">
        <f t="shared" ca="1" si="92"/>
        <v>3.0008904537764587</v>
      </c>
      <c r="D353" s="4" t="str" cm="1">
        <f t="array" aca="1" ref="D3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53" s="2">
        <f t="shared" ca="1" si="93"/>
        <v>30.001842930614661</v>
      </c>
      <c r="F353" s="4" t="str" cm="1">
        <f t="array" aca="1" ref="F3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53" s="2">
        <f t="shared" ca="1" si="94"/>
        <v>40.015772254497634</v>
      </c>
      <c r="H353" s="47" t="str" cm="1">
        <f t="array" aca="1" ref="H3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54" spans="1:8" x14ac:dyDescent="0.25">
      <c r="A354" s="2">
        <f t="shared" ca="1" si="91"/>
        <v>3.0082698702771538</v>
      </c>
      <c r="B354" s="4" cm="1">
        <f t="array" aca="1" ref="B3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354" s="2">
        <f t="shared" ca="1" si="92"/>
        <v>3.0065885194791586</v>
      </c>
      <c r="D354" s="4" t="str" cm="1">
        <f t="array" aca="1" ref="D3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54" s="2">
        <f t="shared" ca="1" si="93"/>
        <v>30.001079125826461</v>
      </c>
      <c r="F354" s="4" t="str" cm="1">
        <f t="array" aca="1" ref="F3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54" s="2">
        <f t="shared" ca="1" si="94"/>
        <v>40.015863041774487</v>
      </c>
      <c r="H354" s="47" t="str" cm="1">
        <f t="array" aca="1" ref="H3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55" spans="1:8" x14ac:dyDescent="0.25">
      <c r="A355" s="2">
        <f t="shared" ca="1" si="91"/>
        <v>3.0081024197136652</v>
      </c>
      <c r="B355" s="4" cm="1">
        <f t="array" aca="1" ref="B3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355" s="2">
        <f t="shared" ca="1" si="92"/>
        <v>3.0028737376660541</v>
      </c>
      <c r="D355" s="4" t="str" cm="1">
        <f t="array" aca="1" ref="D3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55" s="2">
        <f t="shared" ca="1" si="93"/>
        <v>30.018462618499036</v>
      </c>
      <c r="F355" s="4" t="str" cm="1">
        <f t="array" aca="1" ref="F3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55" s="2">
        <f t="shared" ca="1" si="94"/>
        <v>40.017497683947155</v>
      </c>
      <c r="H355" s="47" t="str" cm="1">
        <f t="array" aca="1" ref="H3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56" spans="1:8" x14ac:dyDescent="0.25">
      <c r="A356" s="2">
        <f t="shared" ca="1" si="91"/>
        <v>3.0005115175695338</v>
      </c>
      <c r="B356" s="4" cm="1">
        <f t="array" aca="1" ref="B3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356" s="2">
        <f t="shared" ca="1" si="92"/>
        <v>3.0072065702687358</v>
      </c>
      <c r="D356" s="4" t="str" cm="1">
        <f t="array" aca="1" ref="D3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56" s="2">
        <f t="shared" ca="1" si="93"/>
        <v>30.013419788250108</v>
      </c>
      <c r="F356" s="4" t="str" cm="1">
        <f t="array" aca="1" ref="F3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56" s="2">
        <f t="shared" ca="1" si="94"/>
        <v>40.027309028445174</v>
      </c>
      <c r="H356" s="47" t="str" cm="1">
        <f t="array" aca="1" ref="H3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57" spans="1:8" x14ac:dyDescent="0.25">
      <c r="A357" s="2">
        <f t="shared" ca="1" si="91"/>
        <v>3.0012025496960444</v>
      </c>
      <c r="B357" s="4" cm="1">
        <f t="array" aca="1" ref="B3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357" s="2">
        <f t="shared" ca="1" si="92"/>
        <v>3.0079183706897457</v>
      </c>
      <c r="D357" s="4" t="str" cm="1">
        <f t="array" aca="1" ref="D3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57" s="2">
        <f t="shared" ca="1" si="93"/>
        <v>30.015711144318278</v>
      </c>
      <c r="F357" s="4" t="str" cm="1">
        <f t="array" aca="1" ref="F3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57" s="2">
        <f t="shared" ca="1" si="94"/>
        <v>40.011594852362606</v>
      </c>
      <c r="H357" s="47" t="str" cm="1">
        <f t="array" aca="1" ref="H3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58" spans="1:8" x14ac:dyDescent="0.25">
      <c r="A358" s="2">
        <f t="shared" ca="1" si="91"/>
        <v>3.0048859343354324</v>
      </c>
      <c r="B358" s="4" cm="1">
        <f t="array" aca="1" ref="B3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358" s="2">
        <f t="shared" ca="1" si="92"/>
        <v>3.0188621889108864</v>
      </c>
      <c r="D358" s="4" t="str" cm="1">
        <f t="array" aca="1" ref="D3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58" s="2">
        <f t="shared" ca="1" si="93"/>
        <v>30.014430107120138</v>
      </c>
      <c r="F358" s="4" t="str" cm="1">
        <f t="array" aca="1" ref="F3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58" s="2">
        <f t="shared" ca="1" si="94"/>
        <v>40.019851107532752</v>
      </c>
      <c r="H358" s="47" t="str" cm="1">
        <f t="array" aca="1" ref="H3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59" spans="1:8" x14ac:dyDescent="0.25">
      <c r="A359" s="2">
        <f t="shared" ca="1" si="91"/>
        <v>3.0009310528594551</v>
      </c>
      <c r="B359" s="4" cm="1">
        <f t="array" aca="1" ref="B3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359" s="2">
        <f t="shared" ca="1" si="92"/>
        <v>3.0211511544768443</v>
      </c>
      <c r="D359" s="4" t="str" cm="1">
        <f t="array" aca="1" ref="D3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59" s="2">
        <f t="shared" ca="1" si="93"/>
        <v>30.024792500913115</v>
      </c>
      <c r="F359" s="4" t="str" cm="1">
        <f t="array" aca="1" ref="F3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59" s="2">
        <f t="shared" ca="1" si="94"/>
        <v>40.024300628332398</v>
      </c>
      <c r="H359" s="47" t="str" cm="1">
        <f t="array" aca="1" ref="H3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60" spans="1:8" x14ac:dyDescent="0.25">
      <c r="A360" s="2">
        <f t="shared" ca="1" si="91"/>
        <v>3.0038753141749535</v>
      </c>
      <c r="B360" s="4" cm="1">
        <f t="array" aca="1" ref="B3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360" s="2">
        <f t="shared" ca="1" si="92"/>
        <v>3.0128693571940262</v>
      </c>
      <c r="D360" s="4" t="str" cm="1">
        <f t="array" aca="1" ref="D3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60" s="2">
        <f t="shared" ca="1" si="93"/>
        <v>30.014737057494994</v>
      </c>
      <c r="F360" s="4" t="str" cm="1">
        <f t="array" aca="1" ref="F3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60" s="2">
        <f t="shared" ca="1" si="94"/>
        <v>40.012562624239138</v>
      </c>
      <c r="H360" s="47" t="str" cm="1">
        <f t="array" aca="1" ref="H3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61" spans="1:8" x14ac:dyDescent="0.25">
      <c r="A361" s="2">
        <f t="shared" ca="1" si="91"/>
        <v>3.002451034816441</v>
      </c>
      <c r="B361" s="4" cm="1">
        <f t="array" aca="1" ref="B3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361" s="2">
        <f t="shared" ca="1" si="92"/>
        <v>3.0189638418000566</v>
      </c>
      <c r="D361" s="4" t="str" cm="1">
        <f t="array" aca="1" ref="D3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61" s="2">
        <f t="shared" ca="1" si="93"/>
        <v>30.004790422334036</v>
      </c>
      <c r="F361" s="4" t="str" cm="1">
        <f t="array" aca="1" ref="F3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61" s="2">
        <f t="shared" ca="1" si="94"/>
        <v>40.000533974157534</v>
      </c>
      <c r="H361" s="47" t="str" cm="1">
        <f t="array" aca="1" ref="H3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62" spans="1:8" x14ac:dyDescent="0.25">
      <c r="A362" s="2">
        <f t="shared" ca="1" si="91"/>
        <v>3.0000160946468268</v>
      </c>
      <c r="B362" s="4" cm="1">
        <f t="array" aca="1" ref="B3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362" s="2">
        <f t="shared" ca="1" si="92"/>
        <v>3.0167209393405936</v>
      </c>
      <c r="D362" s="4" t="str" cm="1">
        <f t="array" aca="1" ref="D3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62" s="2">
        <f t="shared" ca="1" si="93"/>
        <v>30.027953397037436</v>
      </c>
      <c r="F362" s="4" t="str" cm="1">
        <f t="array" aca="1" ref="F3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62" s="2">
        <f t="shared" ca="1" si="94"/>
        <v>40.029356935960756</v>
      </c>
      <c r="H362" s="47" t="str" cm="1">
        <f t="array" aca="1" ref="H3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63" spans="1:8" x14ac:dyDescent="0.25">
      <c r="A363" s="2">
        <f t="shared" ca="1" si="91"/>
        <v>3.007852551649064</v>
      </c>
      <c r="B363" s="4" cm="1">
        <f t="array" aca="1" ref="B3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363" s="2">
        <f t="shared" ca="1" si="92"/>
        <v>3.0124854809217947</v>
      </c>
      <c r="D363" s="4" t="str" cm="1">
        <f t="array" aca="1" ref="D3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63" s="2">
        <f t="shared" ca="1" si="93"/>
        <v>30.021532540352453</v>
      </c>
      <c r="F363" s="4" t="str" cm="1">
        <f t="array" aca="1" ref="F3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63" s="2">
        <f t="shared" ca="1" si="94"/>
        <v>40.014406327314497</v>
      </c>
      <c r="H363" s="47" t="str" cm="1">
        <f t="array" aca="1" ref="H3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64" spans="1:8" x14ac:dyDescent="0.25">
      <c r="A364" s="2">
        <f t="shared" ca="1" si="91"/>
        <v>3.0091783494719455</v>
      </c>
      <c r="B364" s="4" cm="1">
        <f t="array" aca="1" ref="B3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364" s="2">
        <f t="shared" ca="1" si="92"/>
        <v>3.002906468480254</v>
      </c>
      <c r="D364" s="4" t="str" cm="1">
        <f t="array" aca="1" ref="D3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64" s="2">
        <f t="shared" ca="1" si="93"/>
        <v>30.003806220510612</v>
      </c>
      <c r="F364" s="4" t="str" cm="1">
        <f t="array" aca="1" ref="F3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64" s="2">
        <f t="shared" ca="1" si="94"/>
        <v>40.019935796228417</v>
      </c>
      <c r="H364" s="47" t="str" cm="1">
        <f t="array" aca="1" ref="H3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65" spans="1:8" x14ac:dyDescent="0.25">
      <c r="A365" s="2">
        <f t="shared" ca="1" si="91"/>
        <v>3.0090303028752214</v>
      </c>
      <c r="B365" s="4" cm="1">
        <f t="array" aca="1" ref="B3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365" s="2">
        <f t="shared" ca="1" si="92"/>
        <v>3.0174412332339746</v>
      </c>
      <c r="D365" s="4" t="str" cm="1">
        <f t="array" aca="1" ref="D3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65" s="2">
        <f t="shared" ca="1" si="93"/>
        <v>30.004813999436983</v>
      </c>
      <c r="F365" s="4" t="str" cm="1">
        <f t="array" aca="1" ref="F3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65" s="2">
        <f t="shared" ca="1" si="94"/>
        <v>40.003171275835385</v>
      </c>
      <c r="H365" s="47" t="str" cm="1">
        <f t="array" aca="1" ref="H3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66" spans="1:8" x14ac:dyDescent="0.25">
      <c r="A366" s="2">
        <f t="shared" ca="1" si="91"/>
        <v>3.0053411177044898</v>
      </c>
      <c r="B366" s="4" cm="1">
        <f t="array" aca="1" ref="B3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366" s="2">
        <f t="shared" ca="1" si="92"/>
        <v>3.027639368804421</v>
      </c>
      <c r="D366" s="4" t="str" cm="1">
        <f t="array" aca="1" ref="D3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66" s="2">
        <f t="shared" ca="1" si="93"/>
        <v>30.019069906834449</v>
      </c>
      <c r="F366" s="4" t="str" cm="1">
        <f t="array" aca="1" ref="F3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66" s="2">
        <f t="shared" ca="1" si="94"/>
        <v>40.014927588456651</v>
      </c>
      <c r="H366" s="47" t="str" cm="1">
        <f t="array" aca="1" ref="H3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67" spans="1:8" x14ac:dyDescent="0.25">
      <c r="A367" s="2">
        <f t="shared" ca="1" si="91"/>
        <v>3.0023663601021604</v>
      </c>
      <c r="B367" s="4" cm="1">
        <f t="array" aca="1" ref="B3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367" s="2">
        <f t="shared" ca="1" si="92"/>
        <v>3.0164580855104446</v>
      </c>
      <c r="D367" s="4" t="str" cm="1">
        <f t="array" aca="1" ref="D3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67" s="2">
        <f t="shared" ca="1" si="93"/>
        <v>30.018871852213824</v>
      </c>
      <c r="F367" s="4" t="str" cm="1">
        <f t="array" aca="1" ref="F3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67" s="2">
        <f t="shared" ca="1" si="94"/>
        <v>40.025148726632978</v>
      </c>
      <c r="H367" s="47" t="str" cm="1">
        <f t="array" aca="1" ref="H3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68" spans="1:8" x14ac:dyDescent="0.25">
      <c r="A368" s="2">
        <f t="shared" ca="1" si="91"/>
        <v>3.0026514904643111</v>
      </c>
      <c r="B368" s="4" cm="1">
        <f t="array" aca="1" ref="B3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368" s="2">
        <f t="shared" ca="1" si="92"/>
        <v>3.018613445719184</v>
      </c>
      <c r="D368" s="4" t="str" cm="1">
        <f t="array" aca="1" ref="D3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68" s="2">
        <f t="shared" ca="1" si="93"/>
        <v>30.006408173727671</v>
      </c>
      <c r="F368" s="4" t="str" cm="1">
        <f t="array" aca="1" ref="F3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68" s="2">
        <f t="shared" ca="1" si="94"/>
        <v>40.019464362689888</v>
      </c>
      <c r="H368" s="47" t="str" cm="1">
        <f t="array" aca="1" ref="H3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69" spans="1:8" x14ac:dyDescent="0.25">
      <c r="A369" s="2">
        <f t="shared" ca="1" si="91"/>
        <v>3.007650460073263</v>
      </c>
      <c r="B369" s="4" cm="1">
        <f t="array" aca="1" ref="B3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369" s="2">
        <f t="shared" ca="1" si="92"/>
        <v>3.0080022636042028</v>
      </c>
      <c r="D369" s="4" t="str" cm="1">
        <f t="array" aca="1" ref="D3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69" s="2">
        <f t="shared" ca="1" si="93"/>
        <v>30.027259132754342</v>
      </c>
      <c r="F369" s="4" t="str" cm="1">
        <f t="array" aca="1" ref="F3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69" s="2">
        <f t="shared" ca="1" si="94"/>
        <v>40.018173362646706</v>
      </c>
      <c r="H369" s="47" t="str" cm="1">
        <f t="array" aca="1" ref="H3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70" spans="1:8" x14ac:dyDescent="0.25">
      <c r="A370" s="2">
        <f t="shared" ca="1" si="91"/>
        <v>3.0049982456003712</v>
      </c>
      <c r="B370" s="4" cm="1">
        <f t="array" aca="1" ref="B3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370" s="2">
        <f t="shared" ca="1" si="92"/>
        <v>3.0105332271155474</v>
      </c>
      <c r="D370" s="4" t="str" cm="1">
        <f t="array" aca="1" ref="D3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70" s="2">
        <f t="shared" ca="1" si="93"/>
        <v>30.02223540421214</v>
      </c>
      <c r="F370" s="4" t="str" cm="1">
        <f t="array" aca="1" ref="F3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70" s="2">
        <f t="shared" ca="1" si="94"/>
        <v>40.018226897633106</v>
      </c>
      <c r="H370" s="47" t="str" cm="1">
        <f t="array" aca="1" ref="H3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71" spans="1:8" x14ac:dyDescent="0.25">
      <c r="A371" s="2">
        <f t="shared" ca="1" si="91"/>
        <v>3.0074453941805288</v>
      </c>
      <c r="B371" s="4" cm="1">
        <f t="array" aca="1" ref="B3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371" s="2">
        <f t="shared" ca="1" si="92"/>
        <v>3.0250648837203515</v>
      </c>
      <c r="D371" s="4" t="str" cm="1">
        <f t="array" aca="1" ref="D3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71" s="2">
        <f t="shared" ca="1" si="93"/>
        <v>30.027853420311327</v>
      </c>
      <c r="F371" s="4" t="str" cm="1">
        <f t="array" aca="1" ref="F3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71" s="2">
        <f t="shared" ca="1" si="94"/>
        <v>40.006691470465</v>
      </c>
      <c r="H371" s="47" t="str" cm="1">
        <f t="array" aca="1" ref="H3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72" spans="1:8" x14ac:dyDescent="0.25">
      <c r="A372" s="2">
        <f t="shared" ca="1" si="91"/>
        <v>3.0077057429133518</v>
      </c>
      <c r="B372" s="4" cm="1">
        <f t="array" aca="1" ref="B3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372" s="2">
        <f t="shared" ca="1" si="92"/>
        <v>3.0056588053861679</v>
      </c>
      <c r="D372" s="4" t="str" cm="1">
        <f t="array" aca="1" ref="D3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72" s="2">
        <f t="shared" ca="1" si="93"/>
        <v>30.02594179997832</v>
      </c>
      <c r="F372" s="4" t="str" cm="1">
        <f t="array" aca="1" ref="F3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72" s="2">
        <f t="shared" ca="1" si="94"/>
        <v>40.024127902824915</v>
      </c>
      <c r="H372" s="47" t="str" cm="1">
        <f t="array" aca="1" ref="H3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73" spans="1:8" x14ac:dyDescent="0.25">
      <c r="A373" s="2">
        <f t="shared" ca="1" si="91"/>
        <v>3.0082196084965687</v>
      </c>
      <c r="B373" s="4" cm="1">
        <f t="array" aca="1" ref="B3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373" s="2">
        <f t="shared" ca="1" si="92"/>
        <v>3.0009463361916913</v>
      </c>
      <c r="D373" s="4" t="str" cm="1">
        <f t="array" aca="1" ref="D3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73" s="2">
        <f t="shared" ca="1" si="93"/>
        <v>30.026510872081186</v>
      </c>
      <c r="F373" s="4" t="str" cm="1">
        <f t="array" aca="1" ref="F3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73" s="2">
        <f t="shared" ca="1" si="94"/>
        <v>40.017596274552091</v>
      </c>
      <c r="H373" s="47" t="str" cm="1">
        <f t="array" aca="1" ref="H3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74" spans="1:8" x14ac:dyDescent="0.25">
      <c r="A374" s="2">
        <f t="shared" ca="1" si="91"/>
        <v>3.0036158899984269</v>
      </c>
      <c r="B374" s="4" cm="1">
        <f t="array" aca="1" ref="B3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374" s="2">
        <f t="shared" ca="1" si="92"/>
        <v>3.0108546950086783</v>
      </c>
      <c r="D374" s="4" t="str" cm="1">
        <f t="array" aca="1" ref="D3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74" s="2">
        <f t="shared" ca="1" si="93"/>
        <v>30.024206792013562</v>
      </c>
      <c r="F374" s="4" t="str" cm="1">
        <f t="array" aca="1" ref="F3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74" s="2">
        <f t="shared" ca="1" si="94"/>
        <v>40.028940336611605</v>
      </c>
      <c r="H374" s="47" t="str" cm="1">
        <f t="array" aca="1" ref="H3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75" spans="1:8" x14ac:dyDescent="0.25">
      <c r="A375" s="2">
        <f t="shared" ca="1" si="91"/>
        <v>3.0035819407349797</v>
      </c>
      <c r="B375" s="4" cm="1">
        <f t="array" aca="1" ref="B3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375" s="2">
        <f t="shared" ca="1" si="92"/>
        <v>3.0109524898550681</v>
      </c>
      <c r="D375" s="4" t="str" cm="1">
        <f t="array" aca="1" ref="D3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75" s="2">
        <f t="shared" ca="1" si="93"/>
        <v>30.027898794233387</v>
      </c>
      <c r="F375" s="4" t="str" cm="1">
        <f t="array" aca="1" ref="F3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75" s="2">
        <f t="shared" ca="1" si="94"/>
        <v>40.019400522178287</v>
      </c>
      <c r="H375" s="47" t="str" cm="1">
        <f t="array" aca="1" ref="H3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76" spans="1:8" x14ac:dyDescent="0.25">
      <c r="A376" s="2">
        <f t="shared" ca="1" si="91"/>
        <v>3.0084644821568127</v>
      </c>
      <c r="B376" s="4" cm="1">
        <f t="array" aca="1" ref="B3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376" s="2">
        <f t="shared" ca="1" si="92"/>
        <v>3.0157025326880595</v>
      </c>
      <c r="D376" s="4" t="str" cm="1">
        <f t="array" aca="1" ref="D3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76" s="2">
        <f t="shared" ca="1" si="93"/>
        <v>30.012063733294081</v>
      </c>
      <c r="F376" s="4" t="str" cm="1">
        <f t="array" aca="1" ref="F3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76" s="2">
        <f t="shared" ca="1" si="94"/>
        <v>40.01566532878244</v>
      </c>
      <c r="H376" s="47" t="str" cm="1">
        <f t="array" aca="1" ref="H3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77" spans="1:8" x14ac:dyDescent="0.25">
      <c r="A377" s="2">
        <f t="shared" ca="1" si="91"/>
        <v>3.0044615952907381</v>
      </c>
      <c r="B377" s="4" cm="1">
        <f t="array" aca="1" ref="B3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377" s="2">
        <f t="shared" ca="1" si="92"/>
        <v>3.0047855871552818</v>
      </c>
      <c r="D377" s="4" t="str" cm="1">
        <f t="array" aca="1" ref="D3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77" s="2">
        <f t="shared" ca="1" si="93"/>
        <v>30.008137729921248</v>
      </c>
      <c r="F377" s="4" t="str" cm="1">
        <f t="array" aca="1" ref="F3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77" s="2">
        <f t="shared" ca="1" si="94"/>
        <v>40.000865673898836</v>
      </c>
      <c r="H377" s="47" t="str" cm="1">
        <f t="array" aca="1" ref="H3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78" spans="1:8" x14ac:dyDescent="0.25">
      <c r="A378" s="2">
        <f t="shared" ca="1" si="91"/>
        <v>3.0072390979820858</v>
      </c>
      <c r="B378" s="4" cm="1">
        <f t="array" aca="1" ref="B3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378" s="2">
        <f t="shared" ca="1" si="92"/>
        <v>3.0139118892053087</v>
      </c>
      <c r="D378" s="4" t="str" cm="1">
        <f t="array" aca="1" ref="D3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78" s="2">
        <f t="shared" ca="1" si="93"/>
        <v>30.016064799184239</v>
      </c>
      <c r="F378" s="4" t="str" cm="1">
        <f t="array" aca="1" ref="F3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78" s="2">
        <f t="shared" ca="1" si="94"/>
        <v>40.019577224590925</v>
      </c>
      <c r="H378" s="47" t="str" cm="1">
        <f t="array" aca="1" ref="H3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79" spans="1:8" x14ac:dyDescent="0.25">
      <c r="A379" s="2">
        <f t="shared" ca="1" si="91"/>
        <v>3.005077583989606</v>
      </c>
      <c r="B379" s="4" cm="1">
        <f t="array" aca="1" ref="B3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379" s="2">
        <f t="shared" ca="1" si="92"/>
        <v>3.0168171216908184</v>
      </c>
      <c r="D379" s="4" t="str" cm="1">
        <f t="array" aca="1" ref="D3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79" s="2">
        <f t="shared" ca="1" si="93"/>
        <v>30.025743748025224</v>
      </c>
      <c r="F379" s="4" t="str" cm="1">
        <f t="array" aca="1" ref="F3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79" s="2">
        <f t="shared" ca="1" si="94"/>
        <v>40.001548177709289</v>
      </c>
      <c r="H379" s="47" t="str" cm="1">
        <f t="array" aca="1" ref="H3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80" spans="1:8" x14ac:dyDescent="0.25">
      <c r="A380" s="2">
        <f t="shared" ca="1" si="91"/>
        <v>3.0056532753425707</v>
      </c>
      <c r="B380" s="4" cm="1">
        <f t="array" aca="1" ref="B3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380" s="2">
        <f t="shared" ca="1" si="92"/>
        <v>3.0164186887416977</v>
      </c>
      <c r="D380" s="4" t="str" cm="1">
        <f t="array" aca="1" ref="D3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80" s="2">
        <f t="shared" ca="1" si="93"/>
        <v>30.021843902402352</v>
      </c>
      <c r="F380" s="4" t="str" cm="1">
        <f t="array" aca="1" ref="F3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80" s="2">
        <f t="shared" ca="1" si="94"/>
        <v>40.003780577475972</v>
      </c>
      <c r="H380" s="47" t="str" cm="1">
        <f t="array" aca="1" ref="H3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81" spans="1:8" x14ac:dyDescent="0.25">
      <c r="A381" s="2">
        <f t="shared" ca="1" si="91"/>
        <v>3.0024800822190398</v>
      </c>
      <c r="B381" s="4" cm="1">
        <f t="array" aca="1" ref="B3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381" s="2">
        <f t="shared" ca="1" si="92"/>
        <v>3.0208987215301955</v>
      </c>
      <c r="D381" s="4" t="str" cm="1">
        <f t="array" aca="1" ref="D3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81" s="2">
        <f t="shared" ca="1" si="93"/>
        <v>30.009026050757694</v>
      </c>
      <c r="F381" s="4" t="str" cm="1">
        <f t="array" aca="1" ref="F3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81" s="2">
        <f t="shared" ca="1" si="94"/>
        <v>40.002270430852981</v>
      </c>
      <c r="H381" s="47" t="str" cm="1">
        <f t="array" aca="1" ref="H3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82" spans="1:8" x14ac:dyDescent="0.25">
      <c r="A382" s="2">
        <f t="shared" ca="1" si="91"/>
        <v>3.0056666096852527</v>
      </c>
      <c r="B382" s="4" cm="1">
        <f t="array" aca="1" ref="B3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382" s="2">
        <f t="shared" ca="1" si="92"/>
        <v>3.0010917817889049</v>
      </c>
      <c r="D382" s="4" t="str" cm="1">
        <f t="array" aca="1" ref="D3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82" s="2">
        <f t="shared" ca="1" si="93"/>
        <v>30.015245985367528</v>
      </c>
      <c r="F382" s="4" t="str" cm="1">
        <f t="array" aca="1" ref="F3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82" s="2">
        <f t="shared" ca="1" si="94"/>
        <v>40.018581323490722</v>
      </c>
      <c r="H382" s="47" t="str" cm="1">
        <f t="array" aca="1" ref="H3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83" spans="1:8" x14ac:dyDescent="0.25">
      <c r="A383" s="2">
        <f t="shared" ca="1" si="91"/>
        <v>3.0040619689020458</v>
      </c>
      <c r="B383" s="4" cm="1">
        <f t="array" aca="1" ref="B3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383" s="2">
        <f t="shared" ca="1" si="92"/>
        <v>3.0002667845913478</v>
      </c>
      <c r="D383" s="4" t="str" cm="1">
        <f t="array" aca="1" ref="D3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83" s="2">
        <f t="shared" ca="1" si="93"/>
        <v>30.024829394675944</v>
      </c>
      <c r="F383" s="4" t="str" cm="1">
        <f t="array" aca="1" ref="F3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83" s="2">
        <f t="shared" ca="1" si="94"/>
        <v>40.005603490871849</v>
      </c>
      <c r="H383" s="47" t="str" cm="1">
        <f t="array" aca="1" ref="H3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84" spans="1:8" x14ac:dyDescent="0.25">
      <c r="A384" s="2">
        <f t="shared" ca="1" si="91"/>
        <v>3.0069064189040207</v>
      </c>
      <c r="B384" s="4" cm="1">
        <f t="array" aca="1" ref="B3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384" s="2">
        <f t="shared" ca="1" si="92"/>
        <v>3.0209934877611868</v>
      </c>
      <c r="D384" s="4" t="str" cm="1">
        <f t="array" aca="1" ref="D3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84" s="2">
        <f t="shared" ca="1" si="93"/>
        <v>30.004728241451243</v>
      </c>
      <c r="F384" s="4" t="str" cm="1">
        <f t="array" aca="1" ref="F3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84" s="2">
        <f t="shared" ca="1" si="94"/>
        <v>40.019076449803137</v>
      </c>
      <c r="H384" s="47" t="str" cm="1">
        <f t="array" aca="1" ref="H3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85" spans="1:8" x14ac:dyDescent="0.25">
      <c r="A385" s="2">
        <f t="shared" ca="1" si="91"/>
        <v>3.0082302424370004</v>
      </c>
      <c r="B385" s="4" cm="1">
        <f t="array" aca="1" ref="B3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385" s="2">
        <f t="shared" ca="1" si="92"/>
        <v>3.0001827738619453</v>
      </c>
      <c r="D385" s="4" t="str" cm="1">
        <f t="array" aca="1" ref="D3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85" s="2">
        <f t="shared" ca="1" si="93"/>
        <v>30.01610184387529</v>
      </c>
      <c r="F385" s="4" t="str" cm="1">
        <f t="array" aca="1" ref="F3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85" s="2">
        <f t="shared" ca="1" si="94"/>
        <v>40.011739773284631</v>
      </c>
      <c r="H385" s="47" t="str" cm="1">
        <f t="array" aca="1" ref="H3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86" spans="1:8" x14ac:dyDescent="0.25">
      <c r="A386" s="2">
        <f t="shared" ref="A386:A449" ca="1" si="95">3+RAND()*0.01</f>
        <v>3.0093939926984508</v>
      </c>
      <c r="B386" s="4" cm="1">
        <f t="array" aca="1" ref="B3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386" s="2">
        <f t="shared" ref="C386:C449" ca="1" si="96">3+RAND()*0.03</f>
        <v>3.0152516701543446</v>
      </c>
      <c r="D386" s="4" t="str" cm="1">
        <f t="array" aca="1" ref="D3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86" s="2">
        <f t="shared" ref="E386:E449" ca="1" si="97">30+RAND()*0.03</f>
        <v>30.000109135176775</v>
      </c>
      <c r="F386" s="4" t="str" cm="1">
        <f t="array" aca="1" ref="F3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86" s="2">
        <f t="shared" ref="G386:G449" ca="1" si="98">40+RAND()*0.03</f>
        <v>40.013595276048839</v>
      </c>
      <c r="H386" s="47" t="str" cm="1">
        <f t="array" aca="1" ref="H3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87" spans="1:8" x14ac:dyDescent="0.25">
      <c r="A387" s="2">
        <f t="shared" ca="1" si="95"/>
        <v>3.0080602184405256</v>
      </c>
      <c r="B387" s="4" cm="1">
        <f t="array" aca="1" ref="B3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387" s="2">
        <f t="shared" ca="1" si="96"/>
        <v>3.0257347744369949</v>
      </c>
      <c r="D387" s="4" t="str" cm="1">
        <f t="array" aca="1" ref="D3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87" s="2">
        <f t="shared" ca="1" si="97"/>
        <v>30.005406457744595</v>
      </c>
      <c r="F387" s="4" t="str" cm="1">
        <f t="array" aca="1" ref="F3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87" s="2">
        <f t="shared" ca="1" si="98"/>
        <v>40.005091016087825</v>
      </c>
      <c r="H387" s="47" t="str" cm="1">
        <f t="array" aca="1" ref="H3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88" spans="1:8" x14ac:dyDescent="0.25">
      <c r="A388" s="2">
        <f t="shared" ca="1" si="95"/>
        <v>3.0085799827341773</v>
      </c>
      <c r="B388" s="4" cm="1">
        <f t="array" aca="1" ref="B3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388" s="2">
        <f t="shared" ca="1" si="96"/>
        <v>3.0251408229566974</v>
      </c>
      <c r="D388" s="4" t="str" cm="1">
        <f t="array" aca="1" ref="D3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88" s="2">
        <f t="shared" ca="1" si="97"/>
        <v>30.024012972014781</v>
      </c>
      <c r="F388" s="4" t="str" cm="1">
        <f t="array" aca="1" ref="F3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88" s="2">
        <f t="shared" ca="1" si="98"/>
        <v>40.021403357945069</v>
      </c>
      <c r="H388" s="47" t="str" cm="1">
        <f t="array" aca="1" ref="H3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89" spans="1:8" x14ac:dyDescent="0.25">
      <c r="A389" s="2">
        <f t="shared" ca="1" si="95"/>
        <v>3.0034930675890736</v>
      </c>
      <c r="B389" s="4" cm="1">
        <f t="array" aca="1" ref="B3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389" s="2">
        <f t="shared" ca="1" si="96"/>
        <v>3.0249481821767779</v>
      </c>
      <c r="D389" s="4" t="str" cm="1">
        <f t="array" aca="1" ref="D3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89" s="2">
        <f t="shared" ca="1" si="97"/>
        <v>30.026630504479964</v>
      </c>
      <c r="F389" s="4" t="str" cm="1">
        <f t="array" aca="1" ref="F3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89" s="2">
        <f t="shared" ca="1" si="98"/>
        <v>40.02526204358302</v>
      </c>
      <c r="H389" s="47" t="str" cm="1">
        <f t="array" aca="1" ref="H3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90" spans="1:8" x14ac:dyDescent="0.25">
      <c r="A390" s="2">
        <f t="shared" ca="1" si="95"/>
        <v>3.0021730533656794</v>
      </c>
      <c r="B390" s="4" cm="1">
        <f t="array" aca="1" ref="B3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390" s="2">
        <f t="shared" ca="1" si="96"/>
        <v>3.0215831191493248</v>
      </c>
      <c r="D390" s="4" t="str" cm="1">
        <f t="array" aca="1" ref="D3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90" s="2">
        <f t="shared" ca="1" si="97"/>
        <v>30.02270161411381</v>
      </c>
      <c r="F390" s="4" t="str" cm="1">
        <f t="array" aca="1" ref="F3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90" s="2">
        <f t="shared" ca="1" si="98"/>
        <v>40.025945067373044</v>
      </c>
      <c r="H390" s="47" t="str" cm="1">
        <f t="array" aca="1" ref="H3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91" spans="1:8" x14ac:dyDescent="0.25">
      <c r="A391" s="2">
        <f t="shared" ca="1" si="95"/>
        <v>3.002311693073096</v>
      </c>
      <c r="B391" s="4" cm="1">
        <f t="array" aca="1" ref="B3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391" s="2">
        <f t="shared" ca="1" si="96"/>
        <v>3.0191914484803322</v>
      </c>
      <c r="D391" s="4" t="str" cm="1">
        <f t="array" aca="1" ref="D3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91" s="2">
        <f t="shared" ca="1" si="97"/>
        <v>30.02339808602704</v>
      </c>
      <c r="F391" s="4" t="str" cm="1">
        <f t="array" aca="1" ref="F3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91" s="2">
        <f t="shared" ca="1" si="98"/>
        <v>40.028402195639373</v>
      </c>
      <c r="H391" s="47" t="str" cm="1">
        <f t="array" aca="1" ref="H3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92" spans="1:8" x14ac:dyDescent="0.25">
      <c r="A392" s="2">
        <f t="shared" ca="1" si="95"/>
        <v>3.0001325790766837</v>
      </c>
      <c r="B392" s="4" cm="1">
        <f t="array" aca="1" ref="B3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392" s="2">
        <f t="shared" ca="1" si="96"/>
        <v>3.027786526208009</v>
      </c>
      <c r="D392" s="4" t="str" cm="1">
        <f t="array" aca="1" ref="D3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92" s="2">
        <f t="shared" ca="1" si="97"/>
        <v>30.009134134404803</v>
      </c>
      <c r="F392" s="4" t="str" cm="1">
        <f t="array" aca="1" ref="F3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92" s="2">
        <f t="shared" ca="1" si="98"/>
        <v>40.009266166195431</v>
      </c>
      <c r="H392" s="47" t="str" cm="1">
        <f t="array" aca="1" ref="H3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393" spans="1:8" x14ac:dyDescent="0.25">
      <c r="A393" s="2">
        <f t="shared" ca="1" si="95"/>
        <v>3.0093881059632617</v>
      </c>
      <c r="B393" s="4" cm="1">
        <f t="array" aca="1" ref="B3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393" s="2">
        <f t="shared" ca="1" si="96"/>
        <v>3.0156077474790646</v>
      </c>
      <c r="D393" s="4" t="str" cm="1">
        <f t="array" aca="1" ref="D3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93" s="2">
        <f t="shared" ca="1" si="97"/>
        <v>30.015107701409871</v>
      </c>
      <c r="F393" s="4" t="str" cm="1">
        <f t="array" aca="1" ref="F3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393" s="2">
        <f t="shared" ca="1" si="98"/>
        <v>40.014290827450218</v>
      </c>
      <c r="H393" s="47" t="str" cm="1">
        <f t="array" aca="1" ref="H3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94" spans="1:8" x14ac:dyDescent="0.25">
      <c r="A394" s="2">
        <f t="shared" ca="1" si="95"/>
        <v>3.0066417676472748</v>
      </c>
      <c r="B394" s="4" cm="1">
        <f t="array" aca="1" ref="B3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394" s="2">
        <f t="shared" ca="1" si="96"/>
        <v>3.0003211271911523</v>
      </c>
      <c r="D394" s="4" t="str" cm="1">
        <f t="array" aca="1" ref="D3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94" s="2">
        <f t="shared" ca="1" si="97"/>
        <v>30.00183388007985</v>
      </c>
      <c r="F394" s="4" t="str" cm="1">
        <f t="array" aca="1" ref="F3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94" s="2">
        <f t="shared" ca="1" si="98"/>
        <v>40.018277863260714</v>
      </c>
      <c r="H394" s="47" t="str" cm="1">
        <f t="array" aca="1" ref="H3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95" spans="1:8" x14ac:dyDescent="0.25">
      <c r="A395" s="2">
        <f t="shared" ca="1" si="95"/>
        <v>3.0097850063341123</v>
      </c>
      <c r="B395" s="4" cm="1">
        <f t="array" aca="1" ref="B3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395" s="2">
        <f t="shared" ca="1" si="96"/>
        <v>3.0247392501889134</v>
      </c>
      <c r="D395" s="4" t="str" cm="1">
        <f t="array" aca="1" ref="D3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395" s="2">
        <f t="shared" ca="1" si="97"/>
        <v>30.003339000540628</v>
      </c>
      <c r="F395" s="4" t="str" cm="1">
        <f t="array" aca="1" ref="F3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95" s="2">
        <f t="shared" ca="1" si="98"/>
        <v>40.013855176087532</v>
      </c>
      <c r="H395" s="47" t="str" cm="1">
        <f t="array" aca="1" ref="H3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96" spans="1:8" x14ac:dyDescent="0.25">
      <c r="A396" s="2">
        <f t="shared" ca="1" si="95"/>
        <v>3.0004344968691266</v>
      </c>
      <c r="B396" s="4" cm="1">
        <f t="array" aca="1" ref="B3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396" s="2">
        <f t="shared" ca="1" si="96"/>
        <v>3.0193808043572403</v>
      </c>
      <c r="D396" s="4" t="str" cm="1">
        <f t="array" aca="1" ref="D3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96" s="2">
        <f t="shared" ca="1" si="97"/>
        <v>30.022945201270282</v>
      </c>
      <c r="F396" s="4" t="str" cm="1">
        <f t="array" aca="1" ref="F3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96" s="2">
        <f t="shared" ca="1" si="98"/>
        <v>40.026715696216428</v>
      </c>
      <c r="H396" s="47" t="str" cm="1">
        <f t="array" aca="1" ref="H3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397" spans="1:8" x14ac:dyDescent="0.25">
      <c r="A397" s="2">
        <f t="shared" ca="1" si="95"/>
        <v>3.0086325867981567</v>
      </c>
      <c r="B397" s="4" cm="1">
        <f t="array" aca="1" ref="B3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397" s="2">
        <f t="shared" ca="1" si="96"/>
        <v>3.0123727617701475</v>
      </c>
      <c r="D397" s="4" t="str" cm="1">
        <f t="array" aca="1" ref="D3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97" s="2">
        <f t="shared" ca="1" si="97"/>
        <v>30.020260608456006</v>
      </c>
      <c r="F397" s="4" t="str" cm="1">
        <f t="array" aca="1" ref="F3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97" s="2">
        <f t="shared" ca="1" si="98"/>
        <v>40.016724977879413</v>
      </c>
      <c r="H397" s="47" t="str" cm="1">
        <f t="array" aca="1" ref="H3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98" spans="1:8" x14ac:dyDescent="0.25">
      <c r="A398" s="2">
        <f t="shared" ca="1" si="95"/>
        <v>3.0059679767717657</v>
      </c>
      <c r="B398" s="4" cm="1">
        <f t="array" aca="1" ref="B3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398" s="2">
        <f t="shared" ca="1" si="96"/>
        <v>3.0078510112700121</v>
      </c>
      <c r="D398" s="4" t="str" cm="1">
        <f t="array" aca="1" ref="D3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398" s="2">
        <f t="shared" ca="1" si="97"/>
        <v>30.002529188408896</v>
      </c>
      <c r="F398" s="4" t="str" cm="1">
        <f t="array" aca="1" ref="F3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398" s="2">
        <f t="shared" ca="1" si="98"/>
        <v>40.016562827091583</v>
      </c>
      <c r="H398" s="47" t="str" cm="1">
        <f t="array" aca="1" ref="H3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399" spans="1:8" x14ac:dyDescent="0.25">
      <c r="A399" s="2">
        <f t="shared" ca="1" si="95"/>
        <v>3.0071629765070393</v>
      </c>
      <c r="B399" s="4" cm="1">
        <f t="array" aca="1" ref="B3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399" s="2">
        <f t="shared" ca="1" si="96"/>
        <v>3.0124194178191797</v>
      </c>
      <c r="D399" s="4" t="str" cm="1">
        <f t="array" aca="1" ref="D3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399" s="2">
        <f t="shared" ca="1" si="97"/>
        <v>30.025497625913609</v>
      </c>
      <c r="F399" s="4" t="str" cm="1">
        <f t="array" aca="1" ref="F3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399" s="2">
        <f t="shared" ca="1" si="98"/>
        <v>40.017001481236541</v>
      </c>
      <c r="H399" s="47" t="str" cm="1">
        <f t="array" aca="1" ref="H3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00" spans="1:8" x14ac:dyDescent="0.25">
      <c r="A400" s="2">
        <f t="shared" ca="1" si="95"/>
        <v>3.0049113851911109</v>
      </c>
      <c r="B400" s="4" cm="1">
        <f t="array" aca="1" ref="B4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400" s="2">
        <f t="shared" ca="1" si="96"/>
        <v>3.0002624226722925</v>
      </c>
      <c r="D400" s="4" t="str" cm="1">
        <f t="array" aca="1" ref="D4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00" s="2">
        <f t="shared" ca="1" si="97"/>
        <v>30.020255931577211</v>
      </c>
      <c r="F400" s="4" t="str" cm="1">
        <f t="array" aca="1" ref="F4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00" s="2">
        <f t="shared" ca="1" si="98"/>
        <v>40.027183688591506</v>
      </c>
      <c r="H400" s="47" t="str" cm="1">
        <f t="array" aca="1" ref="H4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01" spans="1:8" x14ac:dyDescent="0.25">
      <c r="A401" s="2">
        <f t="shared" ca="1" si="95"/>
        <v>3.00258091704471</v>
      </c>
      <c r="B401" s="4" cm="1">
        <f t="array" aca="1" ref="B4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401" s="2">
        <f t="shared" ca="1" si="96"/>
        <v>3.0054909987768865</v>
      </c>
      <c r="D401" s="4" t="str" cm="1">
        <f t="array" aca="1" ref="D4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01" s="2">
        <f t="shared" ca="1" si="97"/>
        <v>30.018899195855514</v>
      </c>
      <c r="F401" s="4" t="str" cm="1">
        <f t="array" aca="1" ref="F4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01" s="2">
        <f t="shared" ca="1" si="98"/>
        <v>40.004894855273456</v>
      </c>
      <c r="H401" s="47" t="str" cm="1">
        <f t="array" aca="1" ref="H4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02" spans="1:8" x14ac:dyDescent="0.25">
      <c r="A402" s="2">
        <f t="shared" ca="1" si="95"/>
        <v>3.0072959755297801</v>
      </c>
      <c r="B402" s="4" cm="1">
        <f t="array" aca="1" ref="B4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402" s="2">
        <f t="shared" ca="1" si="96"/>
        <v>3.0054396503303558</v>
      </c>
      <c r="D402" s="4" t="str" cm="1">
        <f t="array" aca="1" ref="D4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02" s="2">
        <f t="shared" ca="1" si="97"/>
        <v>30.005962645874231</v>
      </c>
      <c r="F402" s="4" t="str" cm="1">
        <f t="array" aca="1" ref="F4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02" s="2">
        <f t="shared" ca="1" si="98"/>
        <v>40.026896683974414</v>
      </c>
      <c r="H402" s="47" t="str" cm="1">
        <f t="array" aca="1" ref="H4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03" spans="1:8" x14ac:dyDescent="0.25">
      <c r="A403" s="2">
        <f t="shared" ca="1" si="95"/>
        <v>3.0056733646753568</v>
      </c>
      <c r="B403" s="4" cm="1">
        <f t="array" aca="1" ref="B4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403" s="2">
        <f t="shared" ca="1" si="96"/>
        <v>3.0117362451894776</v>
      </c>
      <c r="D403" s="4" t="str" cm="1">
        <f t="array" aca="1" ref="D4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03" s="2">
        <f t="shared" ca="1" si="97"/>
        <v>30.016177769494682</v>
      </c>
      <c r="F403" s="4" t="str" cm="1">
        <f t="array" aca="1" ref="F4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03" s="2">
        <f t="shared" ca="1" si="98"/>
        <v>40.006690196821246</v>
      </c>
      <c r="H403" s="47" t="str" cm="1">
        <f t="array" aca="1" ref="H4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04" spans="1:8" x14ac:dyDescent="0.25">
      <c r="A404" s="2">
        <f t="shared" ca="1" si="95"/>
        <v>3.0088081369008499</v>
      </c>
      <c r="B404" s="4" cm="1">
        <f t="array" aca="1" ref="B4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404" s="2">
        <f t="shared" ca="1" si="96"/>
        <v>3.0048454517443126</v>
      </c>
      <c r="D404" s="4" t="str" cm="1">
        <f t="array" aca="1" ref="D4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04" s="2">
        <f t="shared" ca="1" si="97"/>
        <v>30.005384664492531</v>
      </c>
      <c r="F404" s="4" t="str" cm="1">
        <f t="array" aca="1" ref="F4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04" s="2">
        <f t="shared" ca="1" si="98"/>
        <v>40.000288953667891</v>
      </c>
      <c r="H404" s="47" t="str" cm="1">
        <f t="array" aca="1" ref="H4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05" spans="1:8" x14ac:dyDescent="0.25">
      <c r="A405" s="2">
        <f t="shared" ca="1" si="95"/>
        <v>3.0036626329593759</v>
      </c>
      <c r="B405" s="4" cm="1">
        <f t="array" aca="1" ref="B4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405" s="2">
        <f t="shared" ca="1" si="96"/>
        <v>3.0139089451596508</v>
      </c>
      <c r="D405" s="4" t="str" cm="1">
        <f t="array" aca="1" ref="D4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05" s="2">
        <f t="shared" ca="1" si="97"/>
        <v>30.013746201922054</v>
      </c>
      <c r="F405" s="4" t="str" cm="1">
        <f t="array" aca="1" ref="F4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05" s="2">
        <f t="shared" ca="1" si="98"/>
        <v>40.000807805584138</v>
      </c>
      <c r="H405" s="47" t="str" cm="1">
        <f t="array" aca="1" ref="H4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06" spans="1:8" x14ac:dyDescent="0.25">
      <c r="A406" s="2">
        <f t="shared" ca="1" si="95"/>
        <v>3.0078245981980816</v>
      </c>
      <c r="B406" s="4" cm="1">
        <f t="array" aca="1" ref="B4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406" s="2">
        <f t="shared" ca="1" si="96"/>
        <v>3.017087619595316</v>
      </c>
      <c r="D406" s="4" t="str" cm="1">
        <f t="array" aca="1" ref="D4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06" s="2">
        <f t="shared" ca="1" si="97"/>
        <v>30.002491497385964</v>
      </c>
      <c r="F406" s="4" t="str" cm="1">
        <f t="array" aca="1" ref="F4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06" s="2">
        <f t="shared" ca="1" si="98"/>
        <v>40.023947400939051</v>
      </c>
      <c r="H406" s="47" t="str" cm="1">
        <f t="array" aca="1" ref="H4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07" spans="1:8" x14ac:dyDescent="0.25">
      <c r="A407" s="2">
        <f t="shared" ca="1" si="95"/>
        <v>3.0025455996214365</v>
      </c>
      <c r="B407" s="4" cm="1">
        <f t="array" aca="1" ref="B4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407" s="2">
        <f t="shared" ca="1" si="96"/>
        <v>3.0199408314633747</v>
      </c>
      <c r="D407" s="4" t="str" cm="1">
        <f t="array" aca="1" ref="D4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07" s="2">
        <f t="shared" ca="1" si="97"/>
        <v>30.028577212212738</v>
      </c>
      <c r="F407" s="4" t="str" cm="1">
        <f t="array" aca="1" ref="F4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07" s="2">
        <f t="shared" ca="1" si="98"/>
        <v>40.018468598904114</v>
      </c>
      <c r="H407" s="47" t="str" cm="1">
        <f t="array" aca="1" ref="H4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08" spans="1:8" x14ac:dyDescent="0.25">
      <c r="A408" s="2">
        <f t="shared" ca="1" si="95"/>
        <v>3.0035105013827379</v>
      </c>
      <c r="B408" s="4" cm="1">
        <f t="array" aca="1" ref="B4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408" s="2">
        <f t="shared" ca="1" si="96"/>
        <v>3.002893772582429</v>
      </c>
      <c r="D408" s="4" t="str" cm="1">
        <f t="array" aca="1" ref="D4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08" s="2">
        <f t="shared" ca="1" si="97"/>
        <v>30.01070206593814</v>
      </c>
      <c r="F408" s="4" t="str" cm="1">
        <f t="array" aca="1" ref="F4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08" s="2">
        <f t="shared" ca="1" si="98"/>
        <v>40.00232590416595</v>
      </c>
      <c r="H408" s="47" t="str" cm="1">
        <f t="array" aca="1" ref="H4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09" spans="1:8" x14ac:dyDescent="0.25">
      <c r="A409" s="2">
        <f t="shared" ca="1" si="95"/>
        <v>3.0063317130559284</v>
      </c>
      <c r="B409" s="4" cm="1">
        <f t="array" aca="1" ref="B4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409" s="2">
        <f t="shared" ca="1" si="96"/>
        <v>3.0178903835991582</v>
      </c>
      <c r="D409" s="4" t="str" cm="1">
        <f t="array" aca="1" ref="D4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09" s="2">
        <f t="shared" ca="1" si="97"/>
        <v>30.001475528788344</v>
      </c>
      <c r="F409" s="4" t="str" cm="1">
        <f t="array" aca="1" ref="F4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09" s="2">
        <f t="shared" ca="1" si="98"/>
        <v>40.01207317852375</v>
      </c>
      <c r="H409" s="47" t="str" cm="1">
        <f t="array" aca="1" ref="H4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10" spans="1:8" x14ac:dyDescent="0.25">
      <c r="A410" s="2">
        <f t="shared" ca="1" si="95"/>
        <v>3.0061438015925095</v>
      </c>
      <c r="B410" s="4" cm="1">
        <f t="array" aca="1" ref="B4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410" s="2">
        <f t="shared" ca="1" si="96"/>
        <v>3.0253265176576023</v>
      </c>
      <c r="D410" s="4" t="str" cm="1">
        <f t="array" aca="1" ref="D4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10" s="2">
        <f t="shared" ca="1" si="97"/>
        <v>30.022471826257352</v>
      </c>
      <c r="F410" s="4" t="str" cm="1">
        <f t="array" aca="1" ref="F4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10" s="2">
        <f t="shared" ca="1" si="98"/>
        <v>40.024331003317982</v>
      </c>
      <c r="H410" s="47" t="str" cm="1">
        <f t="array" aca="1" ref="H4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11" spans="1:8" x14ac:dyDescent="0.25">
      <c r="A411" s="2">
        <f t="shared" ca="1" si="95"/>
        <v>3.005422060462605</v>
      </c>
      <c r="B411" s="4" cm="1">
        <f t="array" aca="1" ref="B4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411" s="2">
        <f t="shared" ca="1" si="96"/>
        <v>3.0108364982662361</v>
      </c>
      <c r="D411" s="4" t="str" cm="1">
        <f t="array" aca="1" ref="D4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11" s="2">
        <f t="shared" ca="1" si="97"/>
        <v>30.016949432645088</v>
      </c>
      <c r="F411" s="4" t="str" cm="1">
        <f t="array" aca="1" ref="F4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11" s="2">
        <f t="shared" ca="1" si="98"/>
        <v>40.026031007196984</v>
      </c>
      <c r="H411" s="47" t="str" cm="1">
        <f t="array" aca="1" ref="H4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12" spans="1:8" x14ac:dyDescent="0.25">
      <c r="A412" s="2">
        <f t="shared" ca="1" si="95"/>
        <v>3.0094386669683177</v>
      </c>
      <c r="B412" s="4" cm="1">
        <f t="array" aca="1" ref="B4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412" s="2">
        <f t="shared" ca="1" si="96"/>
        <v>3.0266305029448999</v>
      </c>
      <c r="D412" s="4" t="str" cm="1">
        <f t="array" aca="1" ref="D4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12" s="2">
        <f t="shared" ca="1" si="97"/>
        <v>30.021207611738198</v>
      </c>
      <c r="F412" s="4" t="str" cm="1">
        <f t="array" aca="1" ref="F4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12" s="2">
        <f t="shared" ca="1" si="98"/>
        <v>40.012837031388209</v>
      </c>
      <c r="H412" s="47" t="str" cm="1">
        <f t="array" aca="1" ref="H4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13" spans="1:8" x14ac:dyDescent="0.25">
      <c r="A413" s="2">
        <f t="shared" ca="1" si="95"/>
        <v>3.0093405052329745</v>
      </c>
      <c r="B413" s="4" cm="1">
        <f t="array" aca="1" ref="B4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413" s="2">
        <f t="shared" ca="1" si="96"/>
        <v>3.011074538641378</v>
      </c>
      <c r="D413" s="4" t="str" cm="1">
        <f t="array" aca="1" ref="D4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13" s="2">
        <f t="shared" ca="1" si="97"/>
        <v>30.015024952432686</v>
      </c>
      <c r="F413" s="4" t="str" cm="1">
        <f t="array" aca="1" ref="F4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13" s="2">
        <f t="shared" ca="1" si="98"/>
        <v>40.020554001469478</v>
      </c>
      <c r="H413" s="47" t="str" cm="1">
        <f t="array" aca="1" ref="H4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14" spans="1:8" x14ac:dyDescent="0.25">
      <c r="A414" s="2">
        <f t="shared" ca="1" si="95"/>
        <v>3.0025873593942527</v>
      </c>
      <c r="B414" s="4" cm="1">
        <f t="array" aca="1" ref="B4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414" s="2">
        <f t="shared" ca="1" si="96"/>
        <v>3.0287690634920308</v>
      </c>
      <c r="D414" s="4" t="str" cm="1">
        <f t="array" aca="1" ref="D4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14" s="2">
        <f t="shared" ca="1" si="97"/>
        <v>30.001770505737884</v>
      </c>
      <c r="F414" s="4" t="str" cm="1">
        <f t="array" aca="1" ref="F4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14" s="2">
        <f t="shared" ca="1" si="98"/>
        <v>40.018469976208934</v>
      </c>
      <c r="H414" s="47" t="str" cm="1">
        <f t="array" aca="1" ref="H4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15" spans="1:8" x14ac:dyDescent="0.25">
      <c r="A415" s="2">
        <f t="shared" ca="1" si="95"/>
        <v>3.0014683947173468</v>
      </c>
      <c r="B415" s="4" cm="1">
        <f t="array" aca="1" ref="B4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415" s="2">
        <f t="shared" ca="1" si="96"/>
        <v>3.0229770688832609</v>
      </c>
      <c r="D415" s="4" t="str" cm="1">
        <f t="array" aca="1" ref="D4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15" s="2">
        <f t="shared" ca="1" si="97"/>
        <v>30.013600137164516</v>
      </c>
      <c r="F415" s="4" t="str" cm="1">
        <f t="array" aca="1" ref="F4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15" s="2">
        <f t="shared" ca="1" si="98"/>
        <v>40.00556328876371</v>
      </c>
      <c r="H415" s="47" t="str" cm="1">
        <f t="array" aca="1" ref="H4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16" spans="1:8" x14ac:dyDescent="0.25">
      <c r="A416" s="2">
        <f t="shared" ca="1" si="95"/>
        <v>3.0058640096148226</v>
      </c>
      <c r="B416" s="4" cm="1">
        <f t="array" aca="1" ref="B4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416" s="2">
        <f t="shared" ca="1" si="96"/>
        <v>3.0258286040007576</v>
      </c>
      <c r="D416" s="4" t="str" cm="1">
        <f t="array" aca="1" ref="D4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16" s="2">
        <f t="shared" ca="1" si="97"/>
        <v>30.012598102505336</v>
      </c>
      <c r="F416" s="4" t="str" cm="1">
        <f t="array" aca="1" ref="F4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16" s="2">
        <f t="shared" ca="1" si="98"/>
        <v>40.010132794858322</v>
      </c>
      <c r="H416" s="47" t="str" cm="1">
        <f t="array" aca="1" ref="H4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17" spans="1:8" x14ac:dyDescent="0.25">
      <c r="A417" s="2">
        <f t="shared" ca="1" si="95"/>
        <v>3.0044229642474498</v>
      </c>
      <c r="B417" s="4" cm="1">
        <f t="array" aca="1" ref="B4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417" s="2">
        <f t="shared" ca="1" si="96"/>
        <v>3.0211402419900608</v>
      </c>
      <c r="D417" s="4" t="str" cm="1">
        <f t="array" aca="1" ref="D4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17" s="2">
        <f t="shared" ca="1" si="97"/>
        <v>30.011731599519969</v>
      </c>
      <c r="F417" s="4" t="str" cm="1">
        <f t="array" aca="1" ref="F4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17" s="2">
        <f t="shared" ca="1" si="98"/>
        <v>40.003866728642116</v>
      </c>
      <c r="H417" s="47" t="str" cm="1">
        <f t="array" aca="1" ref="H4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18" spans="1:8" x14ac:dyDescent="0.25">
      <c r="A418" s="2">
        <f t="shared" ca="1" si="95"/>
        <v>3.0052472578146459</v>
      </c>
      <c r="B418" s="4" cm="1">
        <f t="array" aca="1" ref="B4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418" s="2">
        <f t="shared" ca="1" si="96"/>
        <v>3.0166397067135198</v>
      </c>
      <c r="D418" s="4" t="str" cm="1">
        <f t="array" aca="1" ref="D4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18" s="2">
        <f t="shared" ca="1" si="97"/>
        <v>30.001856880896611</v>
      </c>
      <c r="F418" s="4" t="str" cm="1">
        <f t="array" aca="1" ref="F4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18" s="2">
        <f t="shared" ca="1" si="98"/>
        <v>40.005084991477531</v>
      </c>
      <c r="H418" s="47" t="str" cm="1">
        <f t="array" aca="1" ref="H4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19" spans="1:8" x14ac:dyDescent="0.25">
      <c r="A419" s="2">
        <f t="shared" ca="1" si="95"/>
        <v>3.0054898726729991</v>
      </c>
      <c r="B419" s="4" cm="1">
        <f t="array" aca="1" ref="B4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419" s="2">
        <f t="shared" ca="1" si="96"/>
        <v>3.0230649999241583</v>
      </c>
      <c r="D419" s="4" t="str" cm="1">
        <f t="array" aca="1" ref="D4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19" s="2">
        <f t="shared" ca="1" si="97"/>
        <v>30.013700398649345</v>
      </c>
      <c r="F419" s="4" t="str" cm="1">
        <f t="array" aca="1" ref="F4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19" s="2">
        <f t="shared" ca="1" si="98"/>
        <v>40.004721019456234</v>
      </c>
      <c r="H419" s="47" t="str" cm="1">
        <f t="array" aca="1" ref="H4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20" spans="1:8" x14ac:dyDescent="0.25">
      <c r="A420" s="2">
        <f t="shared" ca="1" si="95"/>
        <v>3.0019991229193677</v>
      </c>
      <c r="B420" s="4" cm="1">
        <f t="array" aca="1" ref="B4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420" s="2">
        <f t="shared" ca="1" si="96"/>
        <v>3.0149028122055959</v>
      </c>
      <c r="D420" s="4" t="str" cm="1">
        <f t="array" aca="1" ref="D4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20" s="2">
        <f t="shared" ca="1" si="97"/>
        <v>30.007061487019858</v>
      </c>
      <c r="F420" s="4" t="str" cm="1">
        <f t="array" aca="1" ref="F4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20" s="2">
        <f t="shared" ca="1" si="98"/>
        <v>40.02430838233601</v>
      </c>
      <c r="H420" s="47" t="str" cm="1">
        <f t="array" aca="1" ref="H4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21" spans="1:8" x14ac:dyDescent="0.25">
      <c r="A421" s="2">
        <f t="shared" ca="1" si="95"/>
        <v>3.0071318746790774</v>
      </c>
      <c r="B421" s="4" cm="1">
        <f t="array" aca="1" ref="B4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421" s="2">
        <f t="shared" ca="1" si="96"/>
        <v>3.018125744613672</v>
      </c>
      <c r="D421" s="4" t="str" cm="1">
        <f t="array" aca="1" ref="D4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21" s="2">
        <f t="shared" ca="1" si="97"/>
        <v>30.026991274840181</v>
      </c>
      <c r="F421" s="4" t="str" cm="1">
        <f t="array" aca="1" ref="F4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21" s="2">
        <f t="shared" ca="1" si="98"/>
        <v>40.005352159575857</v>
      </c>
      <c r="H421" s="47" t="str" cm="1">
        <f t="array" aca="1" ref="H4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22" spans="1:8" x14ac:dyDescent="0.25">
      <c r="A422" s="2">
        <f t="shared" ca="1" si="95"/>
        <v>3.0098320681570705</v>
      </c>
      <c r="B422" s="4" cm="1">
        <f t="array" aca="1" ref="B4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422" s="2">
        <f t="shared" ca="1" si="96"/>
        <v>3.0198144363207544</v>
      </c>
      <c r="D422" s="4" t="str" cm="1">
        <f t="array" aca="1" ref="D4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22" s="2">
        <f t="shared" ca="1" si="97"/>
        <v>30.009536377592678</v>
      </c>
      <c r="F422" s="4" t="str" cm="1">
        <f t="array" aca="1" ref="F4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22" s="2">
        <f t="shared" ca="1" si="98"/>
        <v>40.020516262945819</v>
      </c>
      <c r="H422" s="47" t="str" cm="1">
        <f t="array" aca="1" ref="H4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23" spans="1:8" x14ac:dyDescent="0.25">
      <c r="A423" s="2">
        <f t="shared" ca="1" si="95"/>
        <v>3.0069536515697717</v>
      </c>
      <c r="B423" s="4" cm="1">
        <f t="array" aca="1" ref="B4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423" s="2">
        <f t="shared" ca="1" si="96"/>
        <v>3.0157002138973761</v>
      </c>
      <c r="D423" s="4" t="str" cm="1">
        <f t="array" aca="1" ref="D4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23" s="2">
        <f t="shared" ca="1" si="97"/>
        <v>30.004448593958699</v>
      </c>
      <c r="F423" s="4" t="str" cm="1">
        <f t="array" aca="1" ref="F4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23" s="2">
        <f t="shared" ca="1" si="98"/>
        <v>40.002632030381768</v>
      </c>
      <c r="H423" s="47" t="str" cm="1">
        <f t="array" aca="1" ref="H4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24" spans="1:8" x14ac:dyDescent="0.25">
      <c r="A424" s="2">
        <f t="shared" ca="1" si="95"/>
        <v>3.0097901509521368</v>
      </c>
      <c r="B424" s="4" cm="1">
        <f t="array" aca="1" ref="B4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424" s="2">
        <f t="shared" ca="1" si="96"/>
        <v>3.0069552807917579</v>
      </c>
      <c r="D424" s="4" t="str" cm="1">
        <f t="array" aca="1" ref="D4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24" s="2">
        <f t="shared" ca="1" si="97"/>
        <v>30.003798729225085</v>
      </c>
      <c r="F424" s="4" t="str" cm="1">
        <f t="array" aca="1" ref="F4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24" s="2">
        <f t="shared" ca="1" si="98"/>
        <v>40.001947752677388</v>
      </c>
      <c r="H424" s="47" t="str" cm="1">
        <f t="array" aca="1" ref="H4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25" spans="1:8" x14ac:dyDescent="0.25">
      <c r="A425" s="2">
        <f t="shared" ca="1" si="95"/>
        <v>3.0069844521734455</v>
      </c>
      <c r="B425" s="4" cm="1">
        <f t="array" aca="1" ref="B4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425" s="2">
        <f t="shared" ca="1" si="96"/>
        <v>3.0199229549621158</v>
      </c>
      <c r="D425" s="4" t="str" cm="1">
        <f t="array" aca="1" ref="D4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25" s="2">
        <f t="shared" ca="1" si="97"/>
        <v>30.025030717760405</v>
      </c>
      <c r="F425" s="4" t="str" cm="1">
        <f t="array" aca="1" ref="F4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25" s="2">
        <f t="shared" ca="1" si="98"/>
        <v>40.007963125106713</v>
      </c>
      <c r="H425" s="47" t="str" cm="1">
        <f t="array" aca="1" ref="H4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26" spans="1:8" x14ac:dyDescent="0.25">
      <c r="A426" s="2">
        <f t="shared" ca="1" si="95"/>
        <v>3.0062715983147332</v>
      </c>
      <c r="B426" s="4" cm="1">
        <f t="array" aca="1" ref="B4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426" s="2">
        <f t="shared" ca="1" si="96"/>
        <v>3.0136410454699352</v>
      </c>
      <c r="D426" s="4" t="str" cm="1">
        <f t="array" aca="1" ref="D4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26" s="2">
        <f t="shared" ca="1" si="97"/>
        <v>30.002754067523632</v>
      </c>
      <c r="F426" s="4" t="str" cm="1">
        <f t="array" aca="1" ref="F4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26" s="2">
        <f t="shared" ca="1" si="98"/>
        <v>40.023758732983289</v>
      </c>
      <c r="H426" s="47" t="str" cm="1">
        <f t="array" aca="1" ref="H4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27" spans="1:8" x14ac:dyDescent="0.25">
      <c r="A427" s="2">
        <f t="shared" ca="1" si="95"/>
        <v>3.000856490906473</v>
      </c>
      <c r="B427" s="4" cm="1">
        <f t="array" aca="1" ref="B4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427" s="2">
        <f t="shared" ca="1" si="96"/>
        <v>3.0108669415109808</v>
      </c>
      <c r="D427" s="4" t="str" cm="1">
        <f t="array" aca="1" ref="D4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27" s="2">
        <f t="shared" ca="1" si="97"/>
        <v>30.019422421564045</v>
      </c>
      <c r="F427" s="4" t="str" cm="1">
        <f t="array" aca="1" ref="F4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27" s="2">
        <f t="shared" ca="1" si="98"/>
        <v>40.023776590761948</v>
      </c>
      <c r="H427" s="47" t="str" cm="1">
        <f t="array" aca="1" ref="H4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28" spans="1:8" x14ac:dyDescent="0.25">
      <c r="A428" s="2">
        <f t="shared" ca="1" si="95"/>
        <v>3.0074437620044754</v>
      </c>
      <c r="B428" s="4" cm="1">
        <f t="array" aca="1" ref="B4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428" s="2">
        <f t="shared" ca="1" si="96"/>
        <v>3.0160088092186199</v>
      </c>
      <c r="D428" s="4" t="str" cm="1">
        <f t="array" aca="1" ref="D4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28" s="2">
        <f t="shared" ca="1" si="97"/>
        <v>30.027480800474105</v>
      </c>
      <c r="F428" s="4" t="str" cm="1">
        <f t="array" aca="1" ref="F4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28" s="2">
        <f t="shared" ca="1" si="98"/>
        <v>40.02377190489544</v>
      </c>
      <c r="H428" s="47" t="str" cm="1">
        <f t="array" aca="1" ref="H4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29" spans="1:8" x14ac:dyDescent="0.25">
      <c r="A429" s="2">
        <f t="shared" ca="1" si="95"/>
        <v>3.0029528357292414</v>
      </c>
      <c r="B429" s="4" cm="1">
        <f t="array" aca="1" ref="B4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429" s="2">
        <f t="shared" ca="1" si="96"/>
        <v>3.0250250428432945</v>
      </c>
      <c r="D429" s="4" t="str" cm="1">
        <f t="array" aca="1" ref="D4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29" s="2">
        <f t="shared" ca="1" si="97"/>
        <v>30.022629735033398</v>
      </c>
      <c r="F429" s="4" t="str" cm="1">
        <f t="array" aca="1" ref="F4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29" s="2">
        <f t="shared" ca="1" si="98"/>
        <v>40.000414573572712</v>
      </c>
      <c r="H429" s="47" t="str" cm="1">
        <f t="array" aca="1" ref="H4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30" spans="1:8" x14ac:dyDescent="0.25">
      <c r="A430" s="2">
        <f t="shared" ca="1" si="95"/>
        <v>3.0085856651594032</v>
      </c>
      <c r="B430" s="4" cm="1">
        <f t="array" aca="1" ref="B4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430" s="2">
        <f t="shared" ca="1" si="96"/>
        <v>3.0246401582475904</v>
      </c>
      <c r="D430" s="4" t="str" cm="1">
        <f t="array" aca="1" ref="D4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30" s="2">
        <f t="shared" ca="1" si="97"/>
        <v>30.007279088219583</v>
      </c>
      <c r="F430" s="4" t="str" cm="1">
        <f t="array" aca="1" ref="F4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30" s="2">
        <f t="shared" ca="1" si="98"/>
        <v>40.024578855856355</v>
      </c>
      <c r="H430" s="47" t="str" cm="1">
        <f t="array" aca="1" ref="H4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31" spans="1:8" x14ac:dyDescent="0.25">
      <c r="A431" s="2">
        <f t="shared" ca="1" si="95"/>
        <v>3.0055192362051146</v>
      </c>
      <c r="B431" s="4" cm="1">
        <f t="array" aca="1" ref="B4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431" s="2">
        <f t="shared" ca="1" si="96"/>
        <v>3.0234453361881797</v>
      </c>
      <c r="D431" s="4" t="str" cm="1">
        <f t="array" aca="1" ref="D4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31" s="2">
        <f t="shared" ca="1" si="97"/>
        <v>30.000225304448293</v>
      </c>
      <c r="F431" s="4" t="str" cm="1">
        <f t="array" aca="1" ref="F4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31" s="2">
        <f t="shared" ca="1" si="98"/>
        <v>40.029846042742712</v>
      </c>
      <c r="H431" s="47" t="str" cm="1">
        <f t="array" aca="1" ref="H4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32" spans="1:8" x14ac:dyDescent="0.25">
      <c r="A432" s="2">
        <f t="shared" ca="1" si="95"/>
        <v>3.0093634889225349</v>
      </c>
      <c r="B432" s="4" cm="1">
        <f t="array" aca="1" ref="B4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432" s="2">
        <f t="shared" ca="1" si="96"/>
        <v>3.0190293470248322</v>
      </c>
      <c r="D432" s="4" t="str" cm="1">
        <f t="array" aca="1" ref="D4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32" s="2">
        <f t="shared" ca="1" si="97"/>
        <v>30.011586235567247</v>
      </c>
      <c r="F432" s="4" t="str" cm="1">
        <f t="array" aca="1" ref="F4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32" s="2">
        <f t="shared" ca="1" si="98"/>
        <v>40.017154390723277</v>
      </c>
      <c r="H432" s="47" t="str" cm="1">
        <f t="array" aca="1" ref="H4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33" spans="1:8" x14ac:dyDescent="0.25">
      <c r="A433" s="2">
        <f t="shared" ca="1" si="95"/>
        <v>3.0034087777624623</v>
      </c>
      <c r="B433" s="4" cm="1">
        <f t="array" aca="1" ref="B4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433" s="2">
        <f t="shared" ca="1" si="96"/>
        <v>3.0004968100002491</v>
      </c>
      <c r="D433" s="4" t="str" cm="1">
        <f t="array" aca="1" ref="D4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33" s="2">
        <f t="shared" ca="1" si="97"/>
        <v>30.025613277413459</v>
      </c>
      <c r="F433" s="4" t="str" cm="1">
        <f t="array" aca="1" ref="F4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33" s="2">
        <f t="shared" ca="1" si="98"/>
        <v>40.010745695121635</v>
      </c>
      <c r="H433" s="47" t="str" cm="1">
        <f t="array" aca="1" ref="H4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34" spans="1:8" x14ac:dyDescent="0.25">
      <c r="A434" s="2">
        <f t="shared" ca="1" si="95"/>
        <v>3.0076517231910582</v>
      </c>
      <c r="B434" s="4" cm="1">
        <f t="array" aca="1" ref="B4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434" s="2">
        <f t="shared" ca="1" si="96"/>
        <v>3.0194834075495063</v>
      </c>
      <c r="D434" s="4" t="str" cm="1">
        <f t="array" aca="1" ref="D4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34" s="2">
        <f t="shared" ca="1" si="97"/>
        <v>30.01969235039931</v>
      </c>
      <c r="F434" s="4" t="str" cm="1">
        <f t="array" aca="1" ref="F4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34" s="2">
        <f t="shared" ca="1" si="98"/>
        <v>40.01238266750903</v>
      </c>
      <c r="H434" s="47" t="str" cm="1">
        <f t="array" aca="1" ref="H4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35" spans="1:8" x14ac:dyDescent="0.25">
      <c r="A435" s="2">
        <f t="shared" ca="1" si="95"/>
        <v>3.0044566679770046</v>
      </c>
      <c r="B435" s="4" cm="1">
        <f t="array" aca="1" ref="B4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435" s="2">
        <f t="shared" ca="1" si="96"/>
        <v>3.0171866531974492</v>
      </c>
      <c r="D435" s="4" t="str" cm="1">
        <f t="array" aca="1" ref="D4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35" s="2">
        <f t="shared" ca="1" si="97"/>
        <v>30.011806646739654</v>
      </c>
      <c r="F435" s="4" t="str" cm="1">
        <f t="array" aca="1" ref="F4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35" s="2">
        <f t="shared" ca="1" si="98"/>
        <v>40.015526689337349</v>
      </c>
      <c r="H435" s="47" t="str" cm="1">
        <f t="array" aca="1" ref="H4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36" spans="1:8" x14ac:dyDescent="0.25">
      <c r="A436" s="2">
        <f t="shared" ca="1" si="95"/>
        <v>3.009985349815858</v>
      </c>
      <c r="B436" s="4" cm="1">
        <f t="array" aca="1" ref="B4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436" s="2">
        <f t="shared" ca="1" si="96"/>
        <v>3.0271336252029855</v>
      </c>
      <c r="D436" s="4" t="str" cm="1">
        <f t="array" aca="1" ref="D4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36" s="2">
        <f t="shared" ca="1" si="97"/>
        <v>30.022974540853426</v>
      </c>
      <c r="F436" s="4" t="str" cm="1">
        <f t="array" aca="1" ref="F4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36" s="2">
        <f t="shared" ca="1" si="98"/>
        <v>40.018466111536164</v>
      </c>
      <c r="H436" s="47" t="str" cm="1">
        <f t="array" aca="1" ref="H4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37" spans="1:8" x14ac:dyDescent="0.25">
      <c r="A437" s="2">
        <f t="shared" ca="1" si="95"/>
        <v>3.0081082565789825</v>
      </c>
      <c r="B437" s="4" cm="1">
        <f t="array" aca="1" ref="B4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437" s="2">
        <f t="shared" ca="1" si="96"/>
        <v>3.005184437979838</v>
      </c>
      <c r="D437" s="4" t="str" cm="1">
        <f t="array" aca="1" ref="D4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37" s="2">
        <f t="shared" ca="1" si="97"/>
        <v>30.021908979563285</v>
      </c>
      <c r="F437" s="4" t="str" cm="1">
        <f t="array" aca="1" ref="F4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37" s="2">
        <f t="shared" ca="1" si="98"/>
        <v>40.005688050742656</v>
      </c>
      <c r="H437" s="47" t="str" cm="1">
        <f t="array" aca="1" ref="H4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38" spans="1:8" x14ac:dyDescent="0.25">
      <c r="A438" s="2">
        <f t="shared" ca="1" si="95"/>
        <v>3.0099053582056485</v>
      </c>
      <c r="B438" s="4" cm="1">
        <f t="array" aca="1" ref="B4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438" s="2">
        <f t="shared" ca="1" si="96"/>
        <v>3.0155114110447756</v>
      </c>
      <c r="D438" s="4" t="str" cm="1">
        <f t="array" aca="1" ref="D4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38" s="2">
        <f t="shared" ca="1" si="97"/>
        <v>30.029278851443514</v>
      </c>
      <c r="F438" s="4" t="str" cm="1">
        <f t="array" aca="1" ref="F4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38" s="2">
        <f t="shared" ca="1" si="98"/>
        <v>40.006714228482892</v>
      </c>
      <c r="H438" s="47" t="str" cm="1">
        <f t="array" aca="1" ref="H4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39" spans="1:8" x14ac:dyDescent="0.25">
      <c r="A439" s="2">
        <f t="shared" ca="1" si="95"/>
        <v>3.0004305146315322</v>
      </c>
      <c r="B439" s="4" cm="1">
        <f t="array" aca="1" ref="B4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439" s="2">
        <f t="shared" ca="1" si="96"/>
        <v>3.0177562532588231</v>
      </c>
      <c r="D439" s="4" t="str" cm="1">
        <f t="array" aca="1" ref="D4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39" s="2">
        <f t="shared" ca="1" si="97"/>
        <v>30.011832374618535</v>
      </c>
      <c r="F439" s="4" t="str" cm="1">
        <f t="array" aca="1" ref="F4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39" s="2">
        <f t="shared" ca="1" si="98"/>
        <v>40.008195008818767</v>
      </c>
      <c r="H439" s="47" t="str" cm="1">
        <f t="array" aca="1" ref="H4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40" spans="1:8" x14ac:dyDescent="0.25">
      <c r="A440" s="2">
        <f t="shared" ca="1" si="95"/>
        <v>3.0001399927925734</v>
      </c>
      <c r="B440" s="4" cm="1">
        <f t="array" aca="1" ref="B4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440" s="2">
        <f t="shared" ca="1" si="96"/>
        <v>3.020145092646815</v>
      </c>
      <c r="D440" s="4" t="str" cm="1">
        <f t="array" aca="1" ref="D4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40" s="2">
        <f t="shared" ca="1" si="97"/>
        <v>30.008012064642173</v>
      </c>
      <c r="F440" s="4" t="str" cm="1">
        <f t="array" aca="1" ref="F4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40" s="2">
        <f t="shared" ca="1" si="98"/>
        <v>40.02265643624294</v>
      </c>
      <c r="H440" s="47" t="str" cm="1">
        <f t="array" aca="1" ref="H4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41" spans="1:8" x14ac:dyDescent="0.25">
      <c r="A441" s="2">
        <f t="shared" ca="1" si="95"/>
        <v>3.0029329458385901</v>
      </c>
      <c r="B441" s="4" cm="1">
        <f t="array" aca="1" ref="B4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441" s="2">
        <f t="shared" ca="1" si="96"/>
        <v>3.0194075997425025</v>
      </c>
      <c r="D441" s="4" t="str" cm="1">
        <f t="array" aca="1" ref="D4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41" s="2">
        <f t="shared" ca="1" si="97"/>
        <v>30.011902940608987</v>
      </c>
      <c r="F441" s="4" t="str" cm="1">
        <f t="array" aca="1" ref="F4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41" s="2">
        <f t="shared" ca="1" si="98"/>
        <v>40.011154697501667</v>
      </c>
      <c r="H441" s="47" t="str" cm="1">
        <f t="array" aca="1" ref="H4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42" spans="1:8" x14ac:dyDescent="0.25">
      <c r="A442" s="2">
        <f t="shared" ca="1" si="95"/>
        <v>3.0003487712970029</v>
      </c>
      <c r="B442" s="4" cm="1">
        <f t="array" aca="1" ref="B4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442" s="2">
        <f t="shared" ca="1" si="96"/>
        <v>3.0121969785025335</v>
      </c>
      <c r="D442" s="4" t="str" cm="1">
        <f t="array" aca="1" ref="D4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42" s="2">
        <f t="shared" ca="1" si="97"/>
        <v>30.020669604130482</v>
      </c>
      <c r="F442" s="4" t="str" cm="1">
        <f t="array" aca="1" ref="F4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42" s="2">
        <f t="shared" ca="1" si="98"/>
        <v>40.011197806334849</v>
      </c>
      <c r="H442" s="47" t="str" cm="1">
        <f t="array" aca="1" ref="H4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43" spans="1:8" x14ac:dyDescent="0.25">
      <c r="A443" s="2">
        <f t="shared" ca="1" si="95"/>
        <v>3.0048667313513091</v>
      </c>
      <c r="B443" s="4" cm="1">
        <f t="array" aca="1" ref="B4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443" s="2">
        <f t="shared" ca="1" si="96"/>
        <v>3.0194440879201867</v>
      </c>
      <c r="D443" s="4" t="str" cm="1">
        <f t="array" aca="1" ref="D4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43" s="2">
        <f t="shared" ca="1" si="97"/>
        <v>30.006759375375331</v>
      </c>
      <c r="F443" s="4" t="str" cm="1">
        <f t="array" aca="1" ref="F4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43" s="2">
        <f t="shared" ca="1" si="98"/>
        <v>40.028180057636519</v>
      </c>
      <c r="H443" s="47" t="str" cm="1">
        <f t="array" aca="1" ref="H4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44" spans="1:8" x14ac:dyDescent="0.25">
      <c r="A444" s="2">
        <f t="shared" ca="1" si="95"/>
        <v>3.0070969960791598</v>
      </c>
      <c r="B444" s="4" cm="1">
        <f t="array" aca="1" ref="B4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444" s="2">
        <f t="shared" ca="1" si="96"/>
        <v>3.0088227203085554</v>
      </c>
      <c r="D444" s="4" t="str" cm="1">
        <f t="array" aca="1" ref="D4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44" s="2">
        <f t="shared" ca="1" si="97"/>
        <v>30.018809655942778</v>
      </c>
      <c r="F444" s="4" t="str" cm="1">
        <f t="array" aca="1" ref="F4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44" s="2">
        <f t="shared" ca="1" si="98"/>
        <v>40.022712987064587</v>
      </c>
      <c r="H444" s="47" t="str" cm="1">
        <f t="array" aca="1" ref="H4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45" spans="1:8" x14ac:dyDescent="0.25">
      <c r="A445" s="2">
        <f t="shared" ca="1" si="95"/>
        <v>3.0009181569015477</v>
      </c>
      <c r="B445" s="4" cm="1">
        <f t="array" aca="1" ref="B4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445" s="2">
        <f t="shared" ca="1" si="96"/>
        <v>3.0207292173794613</v>
      </c>
      <c r="D445" s="4" t="str" cm="1">
        <f t="array" aca="1" ref="D4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45" s="2">
        <f t="shared" ca="1" si="97"/>
        <v>30.02064988791755</v>
      </c>
      <c r="F445" s="4" t="str" cm="1">
        <f t="array" aca="1" ref="F4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45" s="2">
        <f t="shared" ca="1" si="98"/>
        <v>40.026868662483345</v>
      </c>
      <c r="H445" s="47" t="str" cm="1">
        <f t="array" aca="1" ref="H4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46" spans="1:8" x14ac:dyDescent="0.25">
      <c r="A446" s="2">
        <f t="shared" ca="1" si="95"/>
        <v>3.0030407742134311</v>
      </c>
      <c r="B446" s="4" cm="1">
        <f t="array" aca="1" ref="B4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446" s="2">
        <f t="shared" ca="1" si="96"/>
        <v>3.025541865725442</v>
      </c>
      <c r="D446" s="4" t="str" cm="1">
        <f t="array" aca="1" ref="D4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46" s="2">
        <f t="shared" ca="1" si="97"/>
        <v>30.018889997743521</v>
      </c>
      <c r="F446" s="4" t="str" cm="1">
        <f t="array" aca="1" ref="F4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46" s="2">
        <f t="shared" ca="1" si="98"/>
        <v>40.009014821272267</v>
      </c>
      <c r="H446" s="47" t="str" cm="1">
        <f t="array" aca="1" ref="H4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47" spans="1:8" x14ac:dyDescent="0.25">
      <c r="A447" s="2">
        <f t="shared" ca="1" si="95"/>
        <v>3.0015152826636604</v>
      </c>
      <c r="B447" s="4" cm="1">
        <f t="array" aca="1" ref="B4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447" s="2">
        <f t="shared" ca="1" si="96"/>
        <v>3.0108796869240453</v>
      </c>
      <c r="D447" s="4" t="str" cm="1">
        <f t="array" aca="1" ref="D4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47" s="2">
        <f t="shared" ca="1" si="97"/>
        <v>30.029884050022634</v>
      </c>
      <c r="F447" s="4" t="str" cm="1">
        <f t="array" aca="1" ref="F4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47" s="2">
        <f t="shared" ca="1" si="98"/>
        <v>40.021561645774348</v>
      </c>
      <c r="H447" s="47" t="str" cm="1">
        <f t="array" aca="1" ref="H4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48" spans="1:8" x14ac:dyDescent="0.25">
      <c r="A448" s="2">
        <f t="shared" ca="1" si="95"/>
        <v>3.0036573453346125</v>
      </c>
      <c r="B448" s="4" cm="1">
        <f t="array" aca="1" ref="B4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448" s="2">
        <f t="shared" ca="1" si="96"/>
        <v>3.0043600544766167</v>
      </c>
      <c r="D448" s="4" t="str" cm="1">
        <f t="array" aca="1" ref="D4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48" s="2">
        <f t="shared" ca="1" si="97"/>
        <v>30.008838347735903</v>
      </c>
      <c r="F448" s="4" t="str" cm="1">
        <f t="array" aca="1" ref="F4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48" s="2">
        <f t="shared" ca="1" si="98"/>
        <v>40.02273452375843</v>
      </c>
      <c r="H448" s="47" t="str" cm="1">
        <f t="array" aca="1" ref="H4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49" spans="1:8" x14ac:dyDescent="0.25">
      <c r="A449" s="2">
        <f t="shared" ca="1" si="95"/>
        <v>3.0033888986973394</v>
      </c>
      <c r="B449" s="4" cm="1">
        <f t="array" aca="1" ref="B4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449" s="2">
        <f t="shared" ca="1" si="96"/>
        <v>3.0001631079497812</v>
      </c>
      <c r="D449" s="4" t="str" cm="1">
        <f t="array" aca="1" ref="D4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49" s="2">
        <f t="shared" ca="1" si="97"/>
        <v>30.019859167017163</v>
      </c>
      <c r="F449" s="4" t="str" cm="1">
        <f t="array" aca="1" ref="F4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49" s="2">
        <f t="shared" ca="1" si="98"/>
        <v>40.019562580241853</v>
      </c>
      <c r="H449" s="47" t="str" cm="1">
        <f t="array" aca="1" ref="H4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50" spans="1:8" x14ac:dyDescent="0.25">
      <c r="A450" s="2">
        <f t="shared" ref="A450:A513" ca="1" si="99">3+RAND()*0.01</f>
        <v>3.0082501431907702</v>
      </c>
      <c r="B450" s="4" cm="1">
        <f t="array" aca="1" ref="B4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450" s="2">
        <f t="shared" ref="C450:C513" ca="1" si="100">3+RAND()*0.03</f>
        <v>3.0257611630800727</v>
      </c>
      <c r="D450" s="4" t="str" cm="1">
        <f t="array" aca="1" ref="D4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50" s="2">
        <f t="shared" ref="E450:E513" ca="1" si="101">30+RAND()*0.03</f>
        <v>30.009753800788399</v>
      </c>
      <c r="F450" s="4" t="str" cm="1">
        <f t="array" aca="1" ref="F4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50" s="2">
        <f t="shared" ref="G450:G513" ca="1" si="102">40+RAND()*0.03</f>
        <v>40.024346725676537</v>
      </c>
      <c r="H450" s="47" t="str" cm="1">
        <f t="array" aca="1" ref="H4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51" spans="1:8" x14ac:dyDescent="0.25">
      <c r="A451" s="2">
        <f t="shared" ca="1" si="99"/>
        <v>3.006375342706201</v>
      </c>
      <c r="B451" s="4" cm="1">
        <f t="array" aca="1" ref="B4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451" s="2">
        <f t="shared" ca="1" si="100"/>
        <v>3.0078881566779692</v>
      </c>
      <c r="D451" s="4" t="str" cm="1">
        <f t="array" aca="1" ref="D4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51" s="2">
        <f t="shared" ca="1" si="101"/>
        <v>30.018710737044586</v>
      </c>
      <c r="F451" s="4" t="str" cm="1">
        <f t="array" aca="1" ref="F4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51" s="2">
        <f t="shared" ca="1" si="102"/>
        <v>40.028970538221877</v>
      </c>
      <c r="H451" s="47" t="str" cm="1">
        <f t="array" aca="1" ref="H4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52" spans="1:8" x14ac:dyDescent="0.25">
      <c r="A452" s="2">
        <f t="shared" ca="1" si="99"/>
        <v>3.0097494630560844</v>
      </c>
      <c r="B452" s="4" cm="1">
        <f t="array" aca="1" ref="B4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452" s="2">
        <f t="shared" ca="1" si="100"/>
        <v>3.0149048481049889</v>
      </c>
      <c r="D452" s="4" t="str" cm="1">
        <f t="array" aca="1" ref="D4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52" s="2">
        <f t="shared" ca="1" si="101"/>
        <v>30.023945290773383</v>
      </c>
      <c r="F452" s="4" t="str" cm="1">
        <f t="array" aca="1" ref="F4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52" s="2">
        <f t="shared" ca="1" si="102"/>
        <v>40.006311112695911</v>
      </c>
      <c r="H452" s="47" t="str" cm="1">
        <f t="array" aca="1" ref="H4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53" spans="1:8" x14ac:dyDescent="0.25">
      <c r="A453" s="2">
        <f t="shared" ca="1" si="99"/>
        <v>3.0063577297879278</v>
      </c>
      <c r="B453" s="4" cm="1">
        <f t="array" aca="1" ref="B4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453" s="2">
        <f t="shared" ca="1" si="100"/>
        <v>3.0124364154278371</v>
      </c>
      <c r="D453" s="4" t="str" cm="1">
        <f t="array" aca="1" ref="D4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53" s="2">
        <f t="shared" ca="1" si="101"/>
        <v>30.00271736209541</v>
      </c>
      <c r="F453" s="4" t="str" cm="1">
        <f t="array" aca="1" ref="F4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53" s="2">
        <f t="shared" ca="1" si="102"/>
        <v>40.007462829374496</v>
      </c>
      <c r="H453" s="47" t="str" cm="1">
        <f t="array" aca="1" ref="H4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54" spans="1:8" x14ac:dyDescent="0.25">
      <c r="A454" s="2">
        <f t="shared" ca="1" si="99"/>
        <v>3.0090129401927377</v>
      </c>
      <c r="B454" s="4" cm="1">
        <f t="array" aca="1" ref="B4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454" s="2">
        <f t="shared" ca="1" si="100"/>
        <v>3.0271910105882087</v>
      </c>
      <c r="D454" s="4" t="str" cm="1">
        <f t="array" aca="1" ref="D4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54" s="2">
        <f t="shared" ca="1" si="101"/>
        <v>30.005611995512186</v>
      </c>
      <c r="F454" s="4" t="str" cm="1">
        <f t="array" aca="1" ref="F4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54" s="2">
        <f t="shared" ca="1" si="102"/>
        <v>40.023072645742616</v>
      </c>
      <c r="H454" s="47" t="str" cm="1">
        <f t="array" aca="1" ref="H4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55" spans="1:8" x14ac:dyDescent="0.25">
      <c r="A455" s="2">
        <f t="shared" ca="1" si="99"/>
        <v>3.0012961422881865</v>
      </c>
      <c r="B455" s="4" cm="1">
        <f t="array" aca="1" ref="B4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455" s="2">
        <f t="shared" ca="1" si="100"/>
        <v>3.0070070782171574</v>
      </c>
      <c r="D455" s="4" t="str" cm="1">
        <f t="array" aca="1" ref="D4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55" s="2">
        <f t="shared" ca="1" si="101"/>
        <v>30.001202197905453</v>
      </c>
      <c r="F455" s="4" t="str" cm="1">
        <f t="array" aca="1" ref="F4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55" s="2">
        <f t="shared" ca="1" si="102"/>
        <v>40.019732146315256</v>
      </c>
      <c r="H455" s="47" t="str" cm="1">
        <f t="array" aca="1" ref="H4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56" spans="1:8" x14ac:dyDescent="0.25">
      <c r="A456" s="2">
        <f t="shared" ca="1" si="99"/>
        <v>3.0032430253867348</v>
      </c>
      <c r="B456" s="4" cm="1">
        <f t="array" aca="1" ref="B4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456" s="2">
        <f t="shared" ca="1" si="100"/>
        <v>3.0105288656651781</v>
      </c>
      <c r="D456" s="4" t="str" cm="1">
        <f t="array" aca="1" ref="D4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56" s="2">
        <f t="shared" ca="1" si="101"/>
        <v>30.00735324215163</v>
      </c>
      <c r="F456" s="4" t="str" cm="1">
        <f t="array" aca="1" ref="F4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56" s="2">
        <f t="shared" ca="1" si="102"/>
        <v>40.027441503474293</v>
      </c>
      <c r="H456" s="47" t="str" cm="1">
        <f t="array" aca="1" ref="H4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57" spans="1:8" x14ac:dyDescent="0.25">
      <c r="A457" s="2">
        <f t="shared" ca="1" si="99"/>
        <v>3.0058551433101939</v>
      </c>
      <c r="B457" s="4" cm="1">
        <f t="array" aca="1" ref="B4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457" s="2">
        <f t="shared" ca="1" si="100"/>
        <v>3.0005539619978245</v>
      </c>
      <c r="D457" s="4" t="str" cm="1">
        <f t="array" aca="1" ref="D4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57" s="2">
        <f t="shared" ca="1" si="101"/>
        <v>30.022203099498693</v>
      </c>
      <c r="F457" s="4" t="str" cm="1">
        <f t="array" aca="1" ref="F4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57" s="2">
        <f t="shared" ca="1" si="102"/>
        <v>40.014531725913862</v>
      </c>
      <c r="H457" s="47" t="str" cm="1">
        <f t="array" aca="1" ref="H4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58" spans="1:8" x14ac:dyDescent="0.25">
      <c r="A458" s="2">
        <f t="shared" ca="1" si="99"/>
        <v>3.0093584392229009</v>
      </c>
      <c r="B458" s="4" cm="1">
        <f t="array" aca="1" ref="B4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458" s="2">
        <f t="shared" ca="1" si="100"/>
        <v>3.0183291303981226</v>
      </c>
      <c r="D458" s="4" t="str" cm="1">
        <f t="array" aca="1" ref="D4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58" s="2">
        <f t="shared" ca="1" si="101"/>
        <v>30.025852941938201</v>
      </c>
      <c r="F458" s="4" t="str" cm="1">
        <f t="array" aca="1" ref="F4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58" s="2">
        <f t="shared" ca="1" si="102"/>
        <v>40.000559080881445</v>
      </c>
      <c r="H458" s="47" t="str" cm="1">
        <f t="array" aca="1" ref="H4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59" spans="1:8" x14ac:dyDescent="0.25">
      <c r="A459" s="2">
        <f t="shared" ca="1" si="99"/>
        <v>3.0043635360359331</v>
      </c>
      <c r="B459" s="4" cm="1">
        <f t="array" aca="1" ref="B4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459" s="2">
        <f t="shared" ca="1" si="100"/>
        <v>3.0084694498929663</v>
      </c>
      <c r="D459" s="4" t="str" cm="1">
        <f t="array" aca="1" ref="D4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59" s="2">
        <f t="shared" ca="1" si="101"/>
        <v>30.018835793239017</v>
      </c>
      <c r="F459" s="4" t="str" cm="1">
        <f t="array" aca="1" ref="F4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59" s="2">
        <f t="shared" ca="1" si="102"/>
        <v>40.026548279152713</v>
      </c>
      <c r="H459" s="47" t="str" cm="1">
        <f t="array" aca="1" ref="H4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60" spans="1:8" x14ac:dyDescent="0.25">
      <c r="A460" s="2">
        <f t="shared" ca="1" si="99"/>
        <v>3.0077944253300641</v>
      </c>
      <c r="B460" s="4" cm="1">
        <f t="array" aca="1" ref="B4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460" s="2">
        <f t="shared" ca="1" si="100"/>
        <v>3.0242721084018771</v>
      </c>
      <c r="D460" s="4" t="str" cm="1">
        <f t="array" aca="1" ref="D4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60" s="2">
        <f t="shared" ca="1" si="101"/>
        <v>30.026071860613076</v>
      </c>
      <c r="F460" s="4" t="str" cm="1">
        <f t="array" aca="1" ref="F4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60" s="2">
        <f t="shared" ca="1" si="102"/>
        <v>40.000716223220401</v>
      </c>
      <c r="H460" s="47" t="str" cm="1">
        <f t="array" aca="1" ref="H4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61" spans="1:8" x14ac:dyDescent="0.25">
      <c r="A461" s="2">
        <f t="shared" ca="1" si="99"/>
        <v>3.0034764131008242</v>
      </c>
      <c r="B461" s="4" cm="1">
        <f t="array" aca="1" ref="B4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461" s="2">
        <f t="shared" ca="1" si="100"/>
        <v>3.023965150128948</v>
      </c>
      <c r="D461" s="4" t="str" cm="1">
        <f t="array" aca="1" ref="D4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61" s="2">
        <f t="shared" ca="1" si="101"/>
        <v>30.001252354770216</v>
      </c>
      <c r="F461" s="4" t="str" cm="1">
        <f t="array" aca="1" ref="F4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61" s="2">
        <f t="shared" ca="1" si="102"/>
        <v>40.014233433160975</v>
      </c>
      <c r="H461" s="47" t="str" cm="1">
        <f t="array" aca="1" ref="H4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62" spans="1:8" x14ac:dyDescent="0.25">
      <c r="A462" s="2">
        <f t="shared" ca="1" si="99"/>
        <v>3.0011725134936</v>
      </c>
      <c r="B462" s="4" cm="1">
        <f t="array" aca="1" ref="B4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462" s="2">
        <f t="shared" ca="1" si="100"/>
        <v>3.0247250342623455</v>
      </c>
      <c r="D462" s="4" t="str" cm="1">
        <f t="array" aca="1" ref="D4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62" s="2">
        <f t="shared" ca="1" si="101"/>
        <v>30.014716915694095</v>
      </c>
      <c r="F462" s="4" t="str" cm="1">
        <f t="array" aca="1" ref="F4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62" s="2">
        <f t="shared" ca="1" si="102"/>
        <v>40.010191629772194</v>
      </c>
      <c r="H462" s="47" t="str" cm="1">
        <f t="array" aca="1" ref="H4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63" spans="1:8" x14ac:dyDescent="0.25">
      <c r="A463" s="2">
        <f t="shared" ca="1" si="99"/>
        <v>3.0068977457430157</v>
      </c>
      <c r="B463" s="4" cm="1">
        <f t="array" aca="1" ref="B4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463" s="2">
        <f t="shared" ca="1" si="100"/>
        <v>3.0249668415633875</v>
      </c>
      <c r="D463" s="4" t="str" cm="1">
        <f t="array" aca="1" ref="D4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63" s="2">
        <f t="shared" ca="1" si="101"/>
        <v>30.006008780342889</v>
      </c>
      <c r="F463" s="4" t="str" cm="1">
        <f t="array" aca="1" ref="F4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63" s="2">
        <f t="shared" ca="1" si="102"/>
        <v>40.00598635639907</v>
      </c>
      <c r="H463" s="47" t="str" cm="1">
        <f t="array" aca="1" ref="H4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64" spans="1:8" x14ac:dyDescent="0.25">
      <c r="A464" s="2">
        <f t="shared" ca="1" si="99"/>
        <v>3.0033929913063466</v>
      </c>
      <c r="B464" s="4" cm="1">
        <f t="array" aca="1" ref="B4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464" s="2">
        <f t="shared" ca="1" si="100"/>
        <v>3.005272198491963</v>
      </c>
      <c r="D464" s="4" t="str" cm="1">
        <f t="array" aca="1" ref="D4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64" s="2">
        <f t="shared" ca="1" si="101"/>
        <v>30.00454420102113</v>
      </c>
      <c r="F464" s="4" t="str" cm="1">
        <f t="array" aca="1" ref="F4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64" s="2">
        <f t="shared" ca="1" si="102"/>
        <v>40.029715549382622</v>
      </c>
      <c r="H464" s="47" t="str" cm="1">
        <f t="array" aca="1" ref="H4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65" spans="1:8" x14ac:dyDescent="0.25">
      <c r="A465" s="2">
        <f t="shared" ca="1" si="99"/>
        <v>3.000605732008375</v>
      </c>
      <c r="B465" s="4" cm="1">
        <f t="array" aca="1" ref="B4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465" s="2">
        <f t="shared" ca="1" si="100"/>
        <v>3.0039869625714721</v>
      </c>
      <c r="D465" s="4" t="str" cm="1">
        <f t="array" aca="1" ref="D4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65" s="2">
        <f t="shared" ca="1" si="101"/>
        <v>30.023951445563419</v>
      </c>
      <c r="F465" s="4" t="str" cm="1">
        <f t="array" aca="1" ref="F4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65" s="2">
        <f t="shared" ca="1" si="102"/>
        <v>40.003012655223458</v>
      </c>
      <c r="H465" s="47" t="str" cm="1">
        <f t="array" aca="1" ref="H4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66" spans="1:8" x14ac:dyDescent="0.25">
      <c r="A466" s="2">
        <f t="shared" ca="1" si="99"/>
        <v>3.0026401904280928</v>
      </c>
      <c r="B466" s="4" cm="1">
        <f t="array" aca="1" ref="B4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466" s="2">
        <f t="shared" ca="1" si="100"/>
        <v>3.0230037981940621</v>
      </c>
      <c r="D466" s="4" t="str" cm="1">
        <f t="array" aca="1" ref="D4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66" s="2">
        <f t="shared" ca="1" si="101"/>
        <v>30.008328245889629</v>
      </c>
      <c r="F466" s="4" t="str" cm="1">
        <f t="array" aca="1" ref="F4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66" s="2">
        <f t="shared" ca="1" si="102"/>
        <v>40.026777483840156</v>
      </c>
      <c r="H466" s="47" t="str" cm="1">
        <f t="array" aca="1" ref="H4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67" spans="1:8" x14ac:dyDescent="0.25">
      <c r="A467" s="2">
        <f t="shared" ca="1" si="99"/>
        <v>3.0091944181879473</v>
      </c>
      <c r="B467" s="4" cm="1">
        <f t="array" aca="1" ref="B4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467" s="2">
        <f t="shared" ca="1" si="100"/>
        <v>3.0117384964379421</v>
      </c>
      <c r="D467" s="4" t="str" cm="1">
        <f t="array" aca="1" ref="D4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67" s="2">
        <f t="shared" ca="1" si="101"/>
        <v>30.012813082826003</v>
      </c>
      <c r="F467" s="4" t="str" cm="1">
        <f t="array" aca="1" ref="F4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67" s="2">
        <f t="shared" ca="1" si="102"/>
        <v>40.024568408313478</v>
      </c>
      <c r="H467" s="47" t="str" cm="1">
        <f t="array" aca="1" ref="H4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68" spans="1:8" x14ac:dyDescent="0.25">
      <c r="A468" s="2">
        <f t="shared" ca="1" si="99"/>
        <v>3.0095144629017643</v>
      </c>
      <c r="B468" s="4" cm="1">
        <f t="array" aca="1" ref="B4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468" s="2">
        <f t="shared" ca="1" si="100"/>
        <v>3.0296568744333841</v>
      </c>
      <c r="D468" s="4" t="str" cm="1">
        <f t="array" aca="1" ref="D4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68" s="2">
        <f t="shared" ca="1" si="101"/>
        <v>30.003859929507755</v>
      </c>
      <c r="F468" s="4" t="str" cm="1">
        <f t="array" aca="1" ref="F4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68" s="2">
        <f t="shared" ca="1" si="102"/>
        <v>40.018154660664784</v>
      </c>
      <c r="H468" s="47" t="str" cm="1">
        <f t="array" aca="1" ref="H4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69" spans="1:8" x14ac:dyDescent="0.25">
      <c r="A469" s="2">
        <f t="shared" ca="1" si="99"/>
        <v>3.0088036022583733</v>
      </c>
      <c r="B469" s="4" cm="1">
        <f t="array" aca="1" ref="B4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469" s="2">
        <f t="shared" ca="1" si="100"/>
        <v>3.0044953287422493</v>
      </c>
      <c r="D469" s="4" t="str" cm="1">
        <f t="array" aca="1" ref="D4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69" s="2">
        <f t="shared" ca="1" si="101"/>
        <v>30.025452225471685</v>
      </c>
      <c r="F469" s="4" t="str" cm="1">
        <f t="array" aca="1" ref="F4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69" s="2">
        <f t="shared" ca="1" si="102"/>
        <v>40.002414719331618</v>
      </c>
      <c r="H469" s="47" t="str" cm="1">
        <f t="array" aca="1" ref="H4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70" spans="1:8" x14ac:dyDescent="0.25">
      <c r="A470" s="2">
        <f t="shared" ca="1" si="99"/>
        <v>3.0018691847150807</v>
      </c>
      <c r="B470" s="4" cm="1">
        <f t="array" aca="1" ref="B4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470" s="2">
        <f t="shared" ca="1" si="100"/>
        <v>3.0088708503848252</v>
      </c>
      <c r="D470" s="4" t="str" cm="1">
        <f t="array" aca="1" ref="D4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70" s="2">
        <f t="shared" ca="1" si="101"/>
        <v>30.011326740223485</v>
      </c>
      <c r="F470" s="4" t="str" cm="1">
        <f t="array" aca="1" ref="F4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70" s="2">
        <f t="shared" ca="1" si="102"/>
        <v>40.020437954903834</v>
      </c>
      <c r="H470" s="47" t="str" cm="1">
        <f t="array" aca="1" ref="H4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71" spans="1:8" x14ac:dyDescent="0.25">
      <c r="A471" s="2">
        <f t="shared" ca="1" si="99"/>
        <v>3.0048468205283703</v>
      </c>
      <c r="B471" s="4" cm="1">
        <f t="array" aca="1" ref="B4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471" s="2">
        <f t="shared" ca="1" si="100"/>
        <v>3.0138004722394069</v>
      </c>
      <c r="D471" s="4" t="str" cm="1">
        <f t="array" aca="1" ref="D4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71" s="2">
        <f t="shared" ca="1" si="101"/>
        <v>30.017200169097581</v>
      </c>
      <c r="F471" s="4" t="str" cm="1">
        <f t="array" aca="1" ref="F4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71" s="2">
        <f t="shared" ca="1" si="102"/>
        <v>40.000994586472494</v>
      </c>
      <c r="H471" s="47" t="str" cm="1">
        <f t="array" aca="1" ref="H4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72" spans="1:8" x14ac:dyDescent="0.25">
      <c r="A472" s="2">
        <f t="shared" ca="1" si="99"/>
        <v>3.0000170729442468</v>
      </c>
      <c r="B472" s="4" cm="1">
        <f t="array" aca="1" ref="B4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472" s="2">
        <f t="shared" ca="1" si="100"/>
        <v>3.0155176223598574</v>
      </c>
      <c r="D472" s="4" t="str" cm="1">
        <f t="array" aca="1" ref="D4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72" s="2">
        <f t="shared" ca="1" si="101"/>
        <v>30.010048749568202</v>
      </c>
      <c r="F472" s="4" t="str" cm="1">
        <f t="array" aca="1" ref="F4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72" s="2">
        <f t="shared" ca="1" si="102"/>
        <v>40.019573281095887</v>
      </c>
      <c r="H472" s="47" t="str" cm="1">
        <f t="array" aca="1" ref="H4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73" spans="1:8" x14ac:dyDescent="0.25">
      <c r="A473" s="2">
        <f t="shared" ca="1" si="99"/>
        <v>3.0024643874810604</v>
      </c>
      <c r="B473" s="4" cm="1">
        <f t="array" aca="1" ref="B4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473" s="2">
        <f t="shared" ca="1" si="100"/>
        <v>3.0119230642672234</v>
      </c>
      <c r="D473" s="4" t="str" cm="1">
        <f t="array" aca="1" ref="D4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73" s="2">
        <f t="shared" ca="1" si="101"/>
        <v>30.010946363451335</v>
      </c>
      <c r="F473" s="4" t="str" cm="1">
        <f t="array" aca="1" ref="F4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73" s="2">
        <f t="shared" ca="1" si="102"/>
        <v>40.018243644796989</v>
      </c>
      <c r="H473" s="47" t="str" cm="1">
        <f t="array" aca="1" ref="H4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74" spans="1:8" x14ac:dyDescent="0.25">
      <c r="A474" s="2">
        <f t="shared" ca="1" si="99"/>
        <v>3.0021356046074432</v>
      </c>
      <c r="B474" s="4" cm="1">
        <f t="array" aca="1" ref="B4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474" s="2">
        <f t="shared" ca="1" si="100"/>
        <v>3.011598479471397</v>
      </c>
      <c r="D474" s="4" t="str" cm="1">
        <f t="array" aca="1" ref="D4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74" s="2">
        <f t="shared" ca="1" si="101"/>
        <v>30.000561262502451</v>
      </c>
      <c r="F474" s="4" t="str" cm="1">
        <f t="array" aca="1" ref="F4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74" s="2">
        <f t="shared" ca="1" si="102"/>
        <v>40.006653494546065</v>
      </c>
      <c r="H474" s="47" t="str" cm="1">
        <f t="array" aca="1" ref="H4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75" spans="1:8" x14ac:dyDescent="0.25">
      <c r="A475" s="2">
        <f t="shared" ca="1" si="99"/>
        <v>3.0016973114675123</v>
      </c>
      <c r="B475" s="4" cm="1">
        <f t="array" aca="1" ref="B4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475" s="2">
        <f t="shared" ca="1" si="100"/>
        <v>3.0146086034837012</v>
      </c>
      <c r="D475" s="4" t="str" cm="1">
        <f t="array" aca="1" ref="D4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75" s="2">
        <f t="shared" ca="1" si="101"/>
        <v>30.017544983829982</v>
      </c>
      <c r="F475" s="4" t="str" cm="1">
        <f t="array" aca="1" ref="F4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75" s="2">
        <f t="shared" ca="1" si="102"/>
        <v>40.028382349006314</v>
      </c>
      <c r="H475" s="47" t="str" cm="1">
        <f t="array" aca="1" ref="H4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76" spans="1:8" x14ac:dyDescent="0.25">
      <c r="A476" s="2">
        <f t="shared" ca="1" si="99"/>
        <v>3.0049126669464292</v>
      </c>
      <c r="B476" s="4" cm="1">
        <f t="array" aca="1" ref="B4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476" s="2">
        <f t="shared" ca="1" si="100"/>
        <v>3.0160252002571619</v>
      </c>
      <c r="D476" s="4" t="str" cm="1">
        <f t="array" aca="1" ref="D4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76" s="2">
        <f t="shared" ca="1" si="101"/>
        <v>30.005748353962101</v>
      </c>
      <c r="F476" s="4" t="str" cm="1">
        <f t="array" aca="1" ref="F4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76" s="2">
        <f t="shared" ca="1" si="102"/>
        <v>40.01224371164566</v>
      </c>
      <c r="H476" s="47" t="str" cm="1">
        <f t="array" aca="1" ref="H4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77" spans="1:8" x14ac:dyDescent="0.25">
      <c r="A477" s="2">
        <f t="shared" ca="1" si="99"/>
        <v>3.0046971296250473</v>
      </c>
      <c r="B477" s="4" cm="1">
        <f t="array" aca="1" ref="B4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477" s="2">
        <f t="shared" ca="1" si="100"/>
        <v>3.0291249590921803</v>
      </c>
      <c r="D477" s="4" t="str" cm="1">
        <f t="array" aca="1" ref="D4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77" s="2">
        <f t="shared" ca="1" si="101"/>
        <v>30.028362783754268</v>
      </c>
      <c r="F477" s="4" t="str" cm="1">
        <f t="array" aca="1" ref="F4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77" s="2">
        <f t="shared" ca="1" si="102"/>
        <v>40.006805917776902</v>
      </c>
      <c r="H477" s="47" t="str" cm="1">
        <f t="array" aca="1" ref="H4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78" spans="1:8" x14ac:dyDescent="0.25">
      <c r="A478" s="2">
        <f t="shared" ca="1" si="99"/>
        <v>3.0036911532439166</v>
      </c>
      <c r="B478" s="4" cm="1">
        <f t="array" aca="1" ref="B4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478" s="2">
        <f t="shared" ca="1" si="100"/>
        <v>3.0005278585056936</v>
      </c>
      <c r="D478" s="4" t="str" cm="1">
        <f t="array" aca="1" ref="D4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78" s="2">
        <f t="shared" ca="1" si="101"/>
        <v>30.00830119510503</v>
      </c>
      <c r="F478" s="4" t="str" cm="1">
        <f t="array" aca="1" ref="F4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78" s="2">
        <f t="shared" ca="1" si="102"/>
        <v>40.007551128761385</v>
      </c>
      <c r="H478" s="47" t="str" cm="1">
        <f t="array" aca="1" ref="H4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79" spans="1:8" x14ac:dyDescent="0.25">
      <c r="A479" s="2">
        <f t="shared" ca="1" si="99"/>
        <v>3.0048849475707029</v>
      </c>
      <c r="B479" s="4" cm="1">
        <f t="array" aca="1" ref="B4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479" s="2">
        <f t="shared" ca="1" si="100"/>
        <v>3.0191415010342451</v>
      </c>
      <c r="D479" s="4" t="str" cm="1">
        <f t="array" aca="1" ref="D4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79" s="2">
        <f t="shared" ca="1" si="101"/>
        <v>30.025759038143722</v>
      </c>
      <c r="F479" s="4" t="str" cm="1">
        <f t="array" aca="1" ref="F4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79" s="2">
        <f t="shared" ca="1" si="102"/>
        <v>40.003262017983431</v>
      </c>
      <c r="H479" s="47" t="str" cm="1">
        <f t="array" aca="1" ref="H4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80" spans="1:8" x14ac:dyDescent="0.25">
      <c r="A480" s="2">
        <f t="shared" ca="1" si="99"/>
        <v>3.0087661545864908</v>
      </c>
      <c r="B480" s="4" cm="1">
        <f t="array" aca="1" ref="B4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480" s="2">
        <f t="shared" ca="1" si="100"/>
        <v>3.0263948316263951</v>
      </c>
      <c r="D480" s="4" t="str" cm="1">
        <f t="array" aca="1" ref="D4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80" s="2">
        <f t="shared" ca="1" si="101"/>
        <v>30.023619654596946</v>
      </c>
      <c r="F480" s="4" t="str" cm="1">
        <f t="array" aca="1" ref="F4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80" s="2">
        <f t="shared" ca="1" si="102"/>
        <v>40.021533981201934</v>
      </c>
      <c r="H480" s="47" t="str" cm="1">
        <f t="array" aca="1" ref="H4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81" spans="1:8" x14ac:dyDescent="0.25">
      <c r="A481" s="2">
        <f t="shared" ca="1" si="99"/>
        <v>3.0077422732841699</v>
      </c>
      <c r="B481" s="4" cm="1">
        <f t="array" aca="1" ref="B4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481" s="2">
        <f t="shared" ca="1" si="100"/>
        <v>3.0169388371821713</v>
      </c>
      <c r="D481" s="4" t="str" cm="1">
        <f t="array" aca="1" ref="D4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81" s="2">
        <f t="shared" ca="1" si="101"/>
        <v>30.004136858045506</v>
      </c>
      <c r="F481" s="4" t="str" cm="1">
        <f t="array" aca="1" ref="F4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81" s="2">
        <f t="shared" ca="1" si="102"/>
        <v>40.004007434754726</v>
      </c>
      <c r="H481" s="47" t="str" cm="1">
        <f t="array" aca="1" ref="H4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82" spans="1:8" x14ac:dyDescent="0.25">
      <c r="A482" s="2">
        <f t="shared" ca="1" si="99"/>
        <v>3.0085064902277963</v>
      </c>
      <c r="B482" s="4" cm="1">
        <f t="array" aca="1" ref="B4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482" s="2">
        <f t="shared" ca="1" si="100"/>
        <v>3.0159809545484673</v>
      </c>
      <c r="D482" s="4" t="str" cm="1">
        <f t="array" aca="1" ref="D4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82" s="2">
        <f t="shared" ca="1" si="101"/>
        <v>30.0017679274765</v>
      </c>
      <c r="F482" s="4" t="str" cm="1">
        <f t="array" aca="1" ref="F4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82" s="2">
        <f t="shared" ca="1" si="102"/>
        <v>40.022967470549744</v>
      </c>
      <c r="H482" s="47" t="str" cm="1">
        <f t="array" aca="1" ref="H4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83" spans="1:8" x14ac:dyDescent="0.25">
      <c r="A483" s="2">
        <f t="shared" ca="1" si="99"/>
        <v>3.0011599815838852</v>
      </c>
      <c r="B483" s="4" cm="1">
        <f t="array" aca="1" ref="B4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483" s="2">
        <f t="shared" ca="1" si="100"/>
        <v>3.0163329497933771</v>
      </c>
      <c r="D483" s="4" t="str" cm="1">
        <f t="array" aca="1" ref="D4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83" s="2">
        <f t="shared" ca="1" si="101"/>
        <v>30.00614630797493</v>
      </c>
      <c r="F483" s="4" t="str" cm="1">
        <f t="array" aca="1" ref="F4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83" s="2">
        <f t="shared" ca="1" si="102"/>
        <v>40.025508595135108</v>
      </c>
      <c r="H483" s="47" t="str" cm="1">
        <f t="array" aca="1" ref="H4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84" spans="1:8" x14ac:dyDescent="0.25">
      <c r="A484" s="2">
        <f t="shared" ca="1" si="99"/>
        <v>3.0014797761789915</v>
      </c>
      <c r="B484" s="4" cm="1">
        <f t="array" aca="1" ref="B4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484" s="2">
        <f t="shared" ca="1" si="100"/>
        <v>3.0006361928449836</v>
      </c>
      <c r="D484" s="4" t="str" cm="1">
        <f t="array" aca="1" ref="D4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84" s="2">
        <f t="shared" ca="1" si="101"/>
        <v>30.009165342185891</v>
      </c>
      <c r="F484" s="4" t="str" cm="1">
        <f t="array" aca="1" ref="F4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84" s="2">
        <f t="shared" ca="1" si="102"/>
        <v>40.02987072380035</v>
      </c>
      <c r="H484" s="47" t="str" cm="1">
        <f t="array" aca="1" ref="H4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85" spans="1:8" x14ac:dyDescent="0.25">
      <c r="A485" s="2">
        <f t="shared" ca="1" si="99"/>
        <v>3.0034054928881813</v>
      </c>
      <c r="B485" s="4" cm="1">
        <f t="array" aca="1" ref="B4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485" s="2">
        <f t="shared" ca="1" si="100"/>
        <v>3.0034733406884779</v>
      </c>
      <c r="D485" s="4" t="str" cm="1">
        <f t="array" aca="1" ref="D4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85" s="2">
        <f t="shared" ca="1" si="101"/>
        <v>30.010037715472905</v>
      </c>
      <c r="F485" s="4" t="str" cm="1">
        <f t="array" aca="1" ref="F4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85" s="2">
        <f t="shared" ca="1" si="102"/>
        <v>40.028289251321517</v>
      </c>
      <c r="H485" s="47" t="str" cm="1">
        <f t="array" aca="1" ref="H4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86" spans="1:8" x14ac:dyDescent="0.25">
      <c r="A486" s="2">
        <f t="shared" ca="1" si="99"/>
        <v>3.0072452234900768</v>
      </c>
      <c r="B486" s="4" cm="1">
        <f t="array" aca="1" ref="B4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486" s="2">
        <f t="shared" ca="1" si="100"/>
        <v>3.0027018955998734</v>
      </c>
      <c r="D486" s="4" t="str" cm="1">
        <f t="array" aca="1" ref="D4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86" s="2">
        <f t="shared" ca="1" si="101"/>
        <v>30.011579153728153</v>
      </c>
      <c r="F486" s="4" t="str" cm="1">
        <f t="array" aca="1" ref="F4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86" s="2">
        <f t="shared" ca="1" si="102"/>
        <v>40.028775000284668</v>
      </c>
      <c r="H486" s="47" t="str" cm="1">
        <f t="array" aca="1" ref="H4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87" spans="1:8" x14ac:dyDescent="0.25">
      <c r="A487" s="2">
        <f t="shared" ca="1" si="99"/>
        <v>3.0091454961511608</v>
      </c>
      <c r="B487" s="4" cm="1">
        <f t="array" aca="1" ref="B4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487" s="2">
        <f t="shared" ca="1" si="100"/>
        <v>3.0015726782452736</v>
      </c>
      <c r="D487" s="4" t="str" cm="1">
        <f t="array" aca="1" ref="D4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87" s="2">
        <f t="shared" ca="1" si="101"/>
        <v>30.005197182101785</v>
      </c>
      <c r="F487" s="4" t="str" cm="1">
        <f t="array" aca="1" ref="F4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87" s="2">
        <f t="shared" ca="1" si="102"/>
        <v>40.016736264294302</v>
      </c>
      <c r="H487" s="47" t="str" cm="1">
        <f t="array" aca="1" ref="H4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88" spans="1:8" x14ac:dyDescent="0.25">
      <c r="A488" s="2">
        <f t="shared" ca="1" si="99"/>
        <v>3.0008540786475812</v>
      </c>
      <c r="B488" s="4" cm="1">
        <f t="array" aca="1" ref="B4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488" s="2">
        <f t="shared" ca="1" si="100"/>
        <v>3.0043709197629891</v>
      </c>
      <c r="D488" s="4" t="str" cm="1">
        <f t="array" aca="1" ref="D4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88" s="2">
        <f t="shared" ca="1" si="101"/>
        <v>30.005451494736995</v>
      </c>
      <c r="F488" s="4" t="str" cm="1">
        <f t="array" aca="1" ref="F4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88" s="2">
        <f t="shared" ca="1" si="102"/>
        <v>40.007215546021406</v>
      </c>
      <c r="H488" s="47" t="str" cm="1">
        <f t="array" aca="1" ref="H4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89" spans="1:8" x14ac:dyDescent="0.25">
      <c r="A489" s="2">
        <f t="shared" ca="1" si="99"/>
        <v>3.0004946757862285</v>
      </c>
      <c r="B489" s="4" cm="1">
        <f t="array" aca="1" ref="B4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489" s="2">
        <f t="shared" ca="1" si="100"/>
        <v>3.0243382422091742</v>
      </c>
      <c r="D489" s="4" t="str" cm="1">
        <f t="array" aca="1" ref="D4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89" s="2">
        <f t="shared" ca="1" si="101"/>
        <v>30.022299345104102</v>
      </c>
      <c r="F489" s="4" t="str" cm="1">
        <f t="array" aca="1" ref="F4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89" s="2">
        <f t="shared" ca="1" si="102"/>
        <v>40.00062049993528</v>
      </c>
      <c r="H489" s="47" t="str" cm="1">
        <f t="array" aca="1" ref="H4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90" spans="1:8" x14ac:dyDescent="0.25">
      <c r="A490" s="2">
        <f t="shared" ca="1" si="99"/>
        <v>3.003805514341189</v>
      </c>
      <c r="B490" s="4" cm="1">
        <f t="array" aca="1" ref="B4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490" s="2">
        <f t="shared" ca="1" si="100"/>
        <v>3.0165575625148695</v>
      </c>
      <c r="D490" s="4" t="str" cm="1">
        <f t="array" aca="1" ref="D4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90" s="2">
        <f t="shared" ca="1" si="101"/>
        <v>30.011350111572515</v>
      </c>
      <c r="F490" s="4" t="str" cm="1">
        <f t="array" aca="1" ref="F4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90" s="2">
        <f t="shared" ca="1" si="102"/>
        <v>40.027883219445634</v>
      </c>
      <c r="H490" s="47" t="str" cm="1">
        <f t="array" aca="1" ref="H4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91" spans="1:8" x14ac:dyDescent="0.25">
      <c r="A491" s="2">
        <f t="shared" ca="1" si="99"/>
        <v>3.0039623011776238</v>
      </c>
      <c r="B491" s="4" cm="1">
        <f t="array" aca="1" ref="B4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491" s="2">
        <f t="shared" ca="1" si="100"/>
        <v>3.0251142228747185</v>
      </c>
      <c r="D491" s="4" t="str" cm="1">
        <f t="array" aca="1" ref="D4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91" s="2">
        <f t="shared" ca="1" si="101"/>
        <v>30.027255599799933</v>
      </c>
      <c r="F491" s="4" t="str" cm="1">
        <f t="array" aca="1" ref="F4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91" s="2">
        <f t="shared" ca="1" si="102"/>
        <v>40.02956281883894</v>
      </c>
      <c r="H491" s="47" t="str" cm="1">
        <f t="array" aca="1" ref="H4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92" spans="1:8" x14ac:dyDescent="0.25">
      <c r="A492" s="2">
        <f t="shared" ca="1" si="99"/>
        <v>3.0067838225285115</v>
      </c>
      <c r="B492" s="4" cm="1">
        <f t="array" aca="1" ref="B4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492" s="2">
        <f t="shared" ca="1" si="100"/>
        <v>3.0240108916834667</v>
      </c>
      <c r="D492" s="4" t="str" cm="1">
        <f t="array" aca="1" ref="D4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92" s="2">
        <f t="shared" ca="1" si="101"/>
        <v>30.00587736669506</v>
      </c>
      <c r="F492" s="4" t="str" cm="1">
        <f t="array" aca="1" ref="F4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92" s="2">
        <f t="shared" ca="1" si="102"/>
        <v>40.019790655146849</v>
      </c>
      <c r="H492" s="47" t="str" cm="1">
        <f t="array" aca="1" ref="H4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93" spans="1:8" x14ac:dyDescent="0.25">
      <c r="A493" s="2">
        <f t="shared" ca="1" si="99"/>
        <v>3.0093940550119624</v>
      </c>
      <c r="B493" s="4" cm="1">
        <f t="array" aca="1" ref="B4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493" s="2">
        <f t="shared" ca="1" si="100"/>
        <v>3.0092027695949159</v>
      </c>
      <c r="D493" s="4" t="str" cm="1">
        <f t="array" aca="1" ref="D4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93" s="2">
        <f t="shared" ca="1" si="101"/>
        <v>30.005455734067919</v>
      </c>
      <c r="F493" s="4" t="str" cm="1">
        <f t="array" aca="1" ref="F4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93" s="2">
        <f t="shared" ca="1" si="102"/>
        <v>40.025107130153195</v>
      </c>
      <c r="H493" s="47" t="str" cm="1">
        <f t="array" aca="1" ref="H4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94" spans="1:8" x14ac:dyDescent="0.25">
      <c r="A494" s="2">
        <f t="shared" ca="1" si="99"/>
        <v>3.0034279392173509</v>
      </c>
      <c r="B494" s="4" cm="1">
        <f t="array" aca="1" ref="B4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494" s="2">
        <f t="shared" ca="1" si="100"/>
        <v>3.0173160303904738</v>
      </c>
      <c r="D494" s="4" t="str" cm="1">
        <f t="array" aca="1" ref="D4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94" s="2">
        <f t="shared" ca="1" si="101"/>
        <v>30.013570592577388</v>
      </c>
      <c r="F494" s="4" t="str" cm="1">
        <f t="array" aca="1" ref="F4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94" s="2">
        <f t="shared" ca="1" si="102"/>
        <v>40.004419139479829</v>
      </c>
      <c r="H494" s="47" t="str" cm="1">
        <f t="array" aca="1" ref="H4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95" spans="1:8" x14ac:dyDescent="0.25">
      <c r="A495" s="2">
        <f t="shared" ca="1" si="99"/>
        <v>3.0066250000845125</v>
      </c>
      <c r="B495" s="4" cm="1">
        <f t="array" aca="1" ref="B4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495" s="2">
        <f t="shared" ca="1" si="100"/>
        <v>3.0174156875939104</v>
      </c>
      <c r="D495" s="4" t="str" cm="1">
        <f t="array" aca="1" ref="D4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95" s="2">
        <f t="shared" ca="1" si="101"/>
        <v>30.029873012835413</v>
      </c>
      <c r="F495" s="4" t="str" cm="1">
        <f t="array" aca="1" ref="F4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495" s="2">
        <f t="shared" ca="1" si="102"/>
        <v>40.013102312935914</v>
      </c>
      <c r="H495" s="47" t="str" cm="1">
        <f t="array" aca="1" ref="H4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496" spans="1:8" x14ac:dyDescent="0.25">
      <c r="A496" s="2">
        <f t="shared" ca="1" si="99"/>
        <v>3.0032463062693551</v>
      </c>
      <c r="B496" s="4" cm="1">
        <f t="array" aca="1" ref="B4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496" s="2">
        <f t="shared" ca="1" si="100"/>
        <v>3.0036486110819092</v>
      </c>
      <c r="D496" s="4" t="str" cm="1">
        <f t="array" aca="1" ref="D4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96" s="2">
        <f t="shared" ca="1" si="101"/>
        <v>30.014021379664488</v>
      </c>
      <c r="F496" s="4" t="str" cm="1">
        <f t="array" aca="1" ref="F4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96" s="2">
        <f t="shared" ca="1" si="102"/>
        <v>40.022144033297728</v>
      </c>
      <c r="H496" s="47" t="str" cm="1">
        <f t="array" aca="1" ref="H4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497" spans="1:8" x14ac:dyDescent="0.25">
      <c r="A497" s="2">
        <f t="shared" ca="1" si="99"/>
        <v>3.0031890284459513</v>
      </c>
      <c r="B497" s="4" cm="1">
        <f t="array" aca="1" ref="B4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497" s="2">
        <f t="shared" ca="1" si="100"/>
        <v>3.0275015739561075</v>
      </c>
      <c r="D497" s="4" t="str" cm="1">
        <f t="array" aca="1" ref="D4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497" s="2">
        <f t="shared" ca="1" si="101"/>
        <v>30.015258857248462</v>
      </c>
      <c r="F497" s="4" t="str" cm="1">
        <f t="array" aca="1" ref="F4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97" s="2">
        <f t="shared" ca="1" si="102"/>
        <v>40.003083721334221</v>
      </c>
      <c r="H497" s="47" t="str" cm="1">
        <f t="array" aca="1" ref="H4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98" spans="1:8" x14ac:dyDescent="0.25">
      <c r="A498" s="2">
        <f t="shared" ca="1" si="99"/>
        <v>3.0008421539329846</v>
      </c>
      <c r="B498" s="4" cm="1">
        <f t="array" aca="1" ref="B4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498" s="2">
        <f t="shared" ca="1" si="100"/>
        <v>3.016288716257844</v>
      </c>
      <c r="D498" s="4" t="str" cm="1">
        <f t="array" aca="1" ref="D4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498" s="2">
        <f t="shared" ca="1" si="101"/>
        <v>30.016529534137245</v>
      </c>
      <c r="F498" s="4" t="str" cm="1">
        <f t="array" aca="1" ref="F4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498" s="2">
        <f t="shared" ca="1" si="102"/>
        <v>40.007138363743756</v>
      </c>
      <c r="H498" s="47" t="str" cm="1">
        <f t="array" aca="1" ref="H4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499" spans="1:8" x14ac:dyDescent="0.25">
      <c r="A499" s="2">
        <f t="shared" ca="1" si="99"/>
        <v>3.0057301517721422</v>
      </c>
      <c r="B499" s="4" cm="1">
        <f t="array" aca="1" ref="B4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499" s="2">
        <f t="shared" ca="1" si="100"/>
        <v>3.0025078426764007</v>
      </c>
      <c r="D499" s="4" t="str" cm="1">
        <f t="array" aca="1" ref="D4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499" s="2">
        <f t="shared" ca="1" si="101"/>
        <v>30.008751257798878</v>
      </c>
      <c r="F499" s="4" t="str" cm="1">
        <f t="array" aca="1" ref="F4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499" s="2">
        <f t="shared" ca="1" si="102"/>
        <v>40.019888232556532</v>
      </c>
      <c r="H499" s="47" t="str" cm="1">
        <f t="array" aca="1" ref="H4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00" spans="1:8" x14ac:dyDescent="0.25">
      <c r="A500" s="2">
        <f t="shared" ca="1" si="99"/>
        <v>3.0067290251468926</v>
      </c>
      <c r="B500" s="4" cm="1">
        <f t="array" aca="1" ref="B5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500" s="2">
        <f t="shared" ca="1" si="100"/>
        <v>3.0267867928687773</v>
      </c>
      <c r="D500" s="4" t="str" cm="1">
        <f t="array" aca="1" ref="D5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00" s="2">
        <f t="shared" ca="1" si="101"/>
        <v>30.007679119393988</v>
      </c>
      <c r="F500" s="4" t="str" cm="1">
        <f t="array" aca="1" ref="F5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00" s="2">
        <f t="shared" ca="1" si="102"/>
        <v>40.009943476151953</v>
      </c>
      <c r="H500" s="47" t="str" cm="1">
        <f t="array" aca="1" ref="H5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01" spans="1:8" x14ac:dyDescent="0.25">
      <c r="A501" s="2">
        <f t="shared" ca="1" si="99"/>
        <v>3.0059423676007464</v>
      </c>
      <c r="B501" s="4" cm="1">
        <f t="array" aca="1" ref="B5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501" s="2">
        <f t="shared" ca="1" si="100"/>
        <v>3.0123816613624581</v>
      </c>
      <c r="D501" s="4" t="str" cm="1">
        <f t="array" aca="1" ref="D5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01" s="2">
        <f t="shared" ca="1" si="101"/>
        <v>30.025279338519645</v>
      </c>
      <c r="F501" s="4" t="str" cm="1">
        <f t="array" aca="1" ref="F5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01" s="2">
        <f t="shared" ca="1" si="102"/>
        <v>40.026799078501895</v>
      </c>
      <c r="H501" s="47" t="str" cm="1">
        <f t="array" aca="1" ref="H5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02" spans="1:8" x14ac:dyDescent="0.25">
      <c r="A502" s="2">
        <f t="shared" ca="1" si="99"/>
        <v>3.0053594708039872</v>
      </c>
      <c r="B502" s="4" cm="1">
        <f t="array" aca="1" ref="B5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502" s="2">
        <f t="shared" ca="1" si="100"/>
        <v>3.0197343208080438</v>
      </c>
      <c r="D502" s="4" t="str" cm="1">
        <f t="array" aca="1" ref="D5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02" s="2">
        <f t="shared" ca="1" si="101"/>
        <v>30.015677998154448</v>
      </c>
      <c r="F502" s="4" t="str" cm="1">
        <f t="array" aca="1" ref="F5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02" s="2">
        <f t="shared" ca="1" si="102"/>
        <v>40.010126114156243</v>
      </c>
      <c r="H502" s="47" t="str" cm="1">
        <f t="array" aca="1" ref="H5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03" spans="1:8" x14ac:dyDescent="0.25">
      <c r="A503" s="2">
        <f t="shared" ca="1" si="99"/>
        <v>3.0090432275070245</v>
      </c>
      <c r="B503" s="4" cm="1">
        <f t="array" aca="1" ref="B5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503" s="2">
        <f t="shared" ca="1" si="100"/>
        <v>3.0010959565354027</v>
      </c>
      <c r="D503" s="4" t="str" cm="1">
        <f t="array" aca="1" ref="D5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03" s="2">
        <f t="shared" ca="1" si="101"/>
        <v>30.015513335001099</v>
      </c>
      <c r="F503" s="4" t="str" cm="1">
        <f t="array" aca="1" ref="F5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03" s="2">
        <f t="shared" ca="1" si="102"/>
        <v>40.015191744968945</v>
      </c>
      <c r="H503" s="47" t="str" cm="1">
        <f t="array" aca="1" ref="H5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04" spans="1:8" x14ac:dyDescent="0.25">
      <c r="A504" s="2">
        <f t="shared" ca="1" si="99"/>
        <v>3.0061024717147271</v>
      </c>
      <c r="B504" s="4" cm="1">
        <f t="array" aca="1" ref="B5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504" s="2">
        <f t="shared" ca="1" si="100"/>
        <v>3.0118072019282671</v>
      </c>
      <c r="D504" s="4" t="str" cm="1">
        <f t="array" aca="1" ref="D5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04" s="2">
        <f t="shared" ca="1" si="101"/>
        <v>30.006641746386748</v>
      </c>
      <c r="F504" s="4" t="str" cm="1">
        <f t="array" aca="1" ref="F5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04" s="2">
        <f t="shared" ca="1" si="102"/>
        <v>40.018910843719055</v>
      </c>
      <c r="H504" s="47" t="str" cm="1">
        <f t="array" aca="1" ref="H5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05" spans="1:8" x14ac:dyDescent="0.25">
      <c r="A505" s="2">
        <f t="shared" ca="1" si="99"/>
        <v>3.0099299061009681</v>
      </c>
      <c r="B505" s="4" cm="1">
        <f t="array" aca="1" ref="B5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505" s="2">
        <f t="shared" ca="1" si="100"/>
        <v>3.0102366672408301</v>
      </c>
      <c r="D505" s="4" t="str" cm="1">
        <f t="array" aca="1" ref="D5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05" s="2">
        <f t="shared" ca="1" si="101"/>
        <v>30.023382379139036</v>
      </c>
      <c r="F505" s="4" t="str" cm="1">
        <f t="array" aca="1" ref="F5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05" s="2">
        <f t="shared" ca="1" si="102"/>
        <v>40.018691542259177</v>
      </c>
      <c r="H505" s="47" t="str" cm="1">
        <f t="array" aca="1" ref="H5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06" spans="1:8" x14ac:dyDescent="0.25">
      <c r="A506" s="2">
        <f t="shared" ca="1" si="99"/>
        <v>3.0068442661138506</v>
      </c>
      <c r="B506" s="4" cm="1">
        <f t="array" aca="1" ref="B5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506" s="2">
        <f t="shared" ca="1" si="100"/>
        <v>3.0297952685460738</v>
      </c>
      <c r="D506" s="4" t="str" cm="1">
        <f t="array" aca="1" ref="D5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06" s="2">
        <f t="shared" ca="1" si="101"/>
        <v>30.028670015904677</v>
      </c>
      <c r="F506" s="4" t="str" cm="1">
        <f t="array" aca="1" ref="F5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06" s="2">
        <f t="shared" ca="1" si="102"/>
        <v>40.02473908985813</v>
      </c>
      <c r="H506" s="47" t="str" cm="1">
        <f t="array" aca="1" ref="H5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07" spans="1:8" x14ac:dyDescent="0.25">
      <c r="A507" s="2">
        <f t="shared" ca="1" si="99"/>
        <v>3.0047406347627734</v>
      </c>
      <c r="B507" s="4" cm="1">
        <f t="array" aca="1" ref="B5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507" s="2">
        <f t="shared" ca="1" si="100"/>
        <v>3.0279749777031761</v>
      </c>
      <c r="D507" s="4" t="str" cm="1">
        <f t="array" aca="1" ref="D5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07" s="2">
        <f t="shared" ca="1" si="101"/>
        <v>30.028724281409417</v>
      </c>
      <c r="F507" s="4" t="str" cm="1">
        <f t="array" aca="1" ref="F5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07" s="2">
        <f t="shared" ca="1" si="102"/>
        <v>40.010671130338757</v>
      </c>
      <c r="H507" s="47" t="str" cm="1">
        <f t="array" aca="1" ref="H5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08" spans="1:8" x14ac:dyDescent="0.25">
      <c r="A508" s="2">
        <f t="shared" ca="1" si="99"/>
        <v>3.0024919140677748</v>
      </c>
      <c r="B508" s="4" cm="1">
        <f t="array" aca="1" ref="B5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508" s="2">
        <f t="shared" ca="1" si="100"/>
        <v>3.0241766345365617</v>
      </c>
      <c r="D508" s="4" t="str" cm="1">
        <f t="array" aca="1" ref="D5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08" s="2">
        <f t="shared" ca="1" si="101"/>
        <v>30.024044607965724</v>
      </c>
      <c r="F508" s="4" t="str" cm="1">
        <f t="array" aca="1" ref="F5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08" s="2">
        <f t="shared" ca="1" si="102"/>
        <v>40.00681145916429</v>
      </c>
      <c r="H508" s="47" t="str" cm="1">
        <f t="array" aca="1" ref="H5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09" spans="1:8" x14ac:dyDescent="0.25">
      <c r="A509" s="2">
        <f t="shared" ca="1" si="99"/>
        <v>3.0045156589820294</v>
      </c>
      <c r="B509" s="4" cm="1">
        <f t="array" aca="1" ref="B5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509" s="2">
        <f t="shared" ca="1" si="100"/>
        <v>3.0099999586980242</v>
      </c>
      <c r="D509" s="4" t="str" cm="1">
        <f t="array" aca="1" ref="D5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09" s="2">
        <f t="shared" ca="1" si="101"/>
        <v>30.014927897619057</v>
      </c>
      <c r="F509" s="4" t="str" cm="1">
        <f t="array" aca="1" ref="F5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09" s="2">
        <f t="shared" ca="1" si="102"/>
        <v>40.023736551327083</v>
      </c>
      <c r="H509" s="47" t="str" cm="1">
        <f t="array" aca="1" ref="H5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10" spans="1:8" x14ac:dyDescent="0.25">
      <c r="A510" s="2">
        <f t="shared" ca="1" si="99"/>
        <v>3.0003994872629605</v>
      </c>
      <c r="B510" s="4" cm="1">
        <f t="array" aca="1" ref="B5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510" s="2">
        <f t="shared" ca="1" si="100"/>
        <v>3.0258381272951995</v>
      </c>
      <c r="D510" s="4" t="str" cm="1">
        <f t="array" aca="1" ref="D5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10" s="2">
        <f t="shared" ca="1" si="101"/>
        <v>30.002382762949892</v>
      </c>
      <c r="F510" s="4" t="str" cm="1">
        <f t="array" aca="1" ref="F5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10" s="2">
        <f t="shared" ca="1" si="102"/>
        <v>40.019804030476138</v>
      </c>
      <c r="H510" s="47" t="str" cm="1">
        <f t="array" aca="1" ref="H5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11" spans="1:8" x14ac:dyDescent="0.25">
      <c r="A511" s="2">
        <f t="shared" ca="1" si="99"/>
        <v>3.0052079109225116</v>
      </c>
      <c r="B511" s="4" cm="1">
        <f t="array" aca="1" ref="B5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511" s="2">
        <f t="shared" ca="1" si="100"/>
        <v>3.0003095649129494</v>
      </c>
      <c r="D511" s="4" t="str" cm="1">
        <f t="array" aca="1" ref="D5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11" s="2">
        <f t="shared" ca="1" si="101"/>
        <v>30.024850431953883</v>
      </c>
      <c r="F511" s="4" t="str" cm="1">
        <f t="array" aca="1" ref="F5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11" s="2">
        <f t="shared" ca="1" si="102"/>
        <v>40.028608144731983</v>
      </c>
      <c r="H511" s="47" t="str" cm="1">
        <f t="array" aca="1" ref="H5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12" spans="1:8" x14ac:dyDescent="0.25">
      <c r="A512" s="2">
        <f t="shared" ca="1" si="99"/>
        <v>3.0061049313193284</v>
      </c>
      <c r="B512" s="4" cm="1">
        <f t="array" aca="1" ref="B5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512" s="2">
        <f t="shared" ca="1" si="100"/>
        <v>3.0040751235054293</v>
      </c>
      <c r="D512" s="4" t="str" cm="1">
        <f t="array" aca="1" ref="D5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12" s="2">
        <f t="shared" ca="1" si="101"/>
        <v>30.013149853710452</v>
      </c>
      <c r="F512" s="4" t="str" cm="1">
        <f t="array" aca="1" ref="F5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12" s="2">
        <f t="shared" ca="1" si="102"/>
        <v>40.023487011990433</v>
      </c>
      <c r="H512" s="47" t="str" cm="1">
        <f t="array" aca="1" ref="H5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13" spans="1:8" x14ac:dyDescent="0.25">
      <c r="A513" s="2">
        <f t="shared" ca="1" si="99"/>
        <v>3.0095967721027459</v>
      </c>
      <c r="B513" s="4" cm="1">
        <f t="array" aca="1" ref="B5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513" s="2">
        <f t="shared" ca="1" si="100"/>
        <v>3.0269648113820149</v>
      </c>
      <c r="D513" s="4" t="str" cm="1">
        <f t="array" aca="1" ref="D5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13" s="2">
        <f t="shared" ca="1" si="101"/>
        <v>30.001506914763265</v>
      </c>
      <c r="F513" s="4" t="str" cm="1">
        <f t="array" aca="1" ref="F5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13" s="2">
        <f t="shared" ca="1" si="102"/>
        <v>40.0245354684304</v>
      </c>
      <c r="H513" s="47" t="str" cm="1">
        <f t="array" aca="1" ref="H5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14" spans="1:8" x14ac:dyDescent="0.25">
      <c r="A514" s="2">
        <f t="shared" ref="A514:A577" ca="1" si="103">3+RAND()*0.01</f>
        <v>3.0060321919566637</v>
      </c>
      <c r="B514" s="4" cm="1">
        <f t="array" aca="1" ref="B5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514" s="2">
        <f t="shared" ref="C514:C577" ca="1" si="104">3+RAND()*0.03</f>
        <v>3.0008619431974521</v>
      </c>
      <c r="D514" s="4" t="str" cm="1">
        <f t="array" aca="1" ref="D5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14" s="2">
        <f t="shared" ref="E514:E577" ca="1" si="105">30+RAND()*0.03</f>
        <v>30.024974988461331</v>
      </c>
      <c r="F514" s="4" t="str" cm="1">
        <f t="array" aca="1" ref="F5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14" s="2">
        <f t="shared" ref="G514:G577" ca="1" si="106">40+RAND()*0.03</f>
        <v>40.021653847339572</v>
      </c>
      <c r="H514" s="47" t="str" cm="1">
        <f t="array" aca="1" ref="H5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15" spans="1:8" x14ac:dyDescent="0.25">
      <c r="A515" s="2">
        <f t="shared" ca="1" si="103"/>
        <v>3.0041865527702036</v>
      </c>
      <c r="B515" s="4" cm="1">
        <f t="array" aca="1" ref="B5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515" s="2">
        <f t="shared" ca="1" si="104"/>
        <v>3.0195686563094113</v>
      </c>
      <c r="D515" s="4" t="str" cm="1">
        <f t="array" aca="1" ref="D5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15" s="2">
        <f t="shared" ca="1" si="105"/>
        <v>30.011709353626767</v>
      </c>
      <c r="F515" s="4" t="str" cm="1">
        <f t="array" aca="1" ref="F5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15" s="2">
        <f t="shared" ca="1" si="106"/>
        <v>40.023730385551943</v>
      </c>
      <c r="H515" s="47" t="str" cm="1">
        <f t="array" aca="1" ref="H5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16" spans="1:8" x14ac:dyDescent="0.25">
      <c r="A516" s="2">
        <f t="shared" ca="1" si="103"/>
        <v>3.0015810195736501</v>
      </c>
      <c r="B516" s="4" cm="1">
        <f t="array" aca="1" ref="B5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516" s="2">
        <f t="shared" ca="1" si="104"/>
        <v>3.0122989335487844</v>
      </c>
      <c r="D516" s="4" t="str" cm="1">
        <f t="array" aca="1" ref="D5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16" s="2">
        <f t="shared" ca="1" si="105"/>
        <v>30.021493754504817</v>
      </c>
      <c r="F516" s="4" t="str" cm="1">
        <f t="array" aca="1" ref="F5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16" s="2">
        <f t="shared" ca="1" si="106"/>
        <v>40.001555092319393</v>
      </c>
      <c r="H516" s="47" t="str" cm="1">
        <f t="array" aca="1" ref="H5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17" spans="1:8" x14ac:dyDescent="0.25">
      <c r="A517" s="2">
        <f t="shared" ca="1" si="103"/>
        <v>3.007976705075289</v>
      </c>
      <c r="B517" s="4" cm="1">
        <f t="array" aca="1" ref="B5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517" s="2">
        <f t="shared" ca="1" si="104"/>
        <v>3.0078901367066408</v>
      </c>
      <c r="D517" s="4" t="str" cm="1">
        <f t="array" aca="1" ref="D5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17" s="2">
        <f t="shared" ca="1" si="105"/>
        <v>30.017730558390983</v>
      </c>
      <c r="F517" s="4" t="str" cm="1">
        <f t="array" aca="1" ref="F5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17" s="2">
        <f t="shared" ca="1" si="106"/>
        <v>40.02022580474857</v>
      </c>
      <c r="H517" s="47" t="str" cm="1">
        <f t="array" aca="1" ref="H5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18" spans="1:8" x14ac:dyDescent="0.25">
      <c r="A518" s="2">
        <f t="shared" ca="1" si="103"/>
        <v>3.0052353743867046</v>
      </c>
      <c r="B518" s="4" cm="1">
        <f t="array" aca="1" ref="B5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518" s="2">
        <f t="shared" ca="1" si="104"/>
        <v>3.0040966504440081</v>
      </c>
      <c r="D518" s="4" t="str" cm="1">
        <f t="array" aca="1" ref="D5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18" s="2">
        <f t="shared" ca="1" si="105"/>
        <v>30.016608394670349</v>
      </c>
      <c r="F518" s="4" t="str" cm="1">
        <f t="array" aca="1" ref="F5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18" s="2">
        <f t="shared" ca="1" si="106"/>
        <v>40.013116359237266</v>
      </c>
      <c r="H518" s="47" t="str" cm="1">
        <f t="array" aca="1" ref="H5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19" spans="1:8" x14ac:dyDescent="0.25">
      <c r="A519" s="2">
        <f t="shared" ca="1" si="103"/>
        <v>3.006262757225814</v>
      </c>
      <c r="B519" s="4" cm="1">
        <f t="array" aca="1" ref="B5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519" s="2">
        <f t="shared" ca="1" si="104"/>
        <v>3.0158909588587628</v>
      </c>
      <c r="D519" s="4" t="str" cm="1">
        <f t="array" aca="1" ref="D5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19" s="2">
        <f t="shared" ca="1" si="105"/>
        <v>30.007233439212332</v>
      </c>
      <c r="F519" s="4" t="str" cm="1">
        <f t="array" aca="1" ref="F5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19" s="2">
        <f t="shared" ca="1" si="106"/>
        <v>40.023592173163784</v>
      </c>
      <c r="H519" s="47" t="str" cm="1">
        <f t="array" aca="1" ref="H5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20" spans="1:8" x14ac:dyDescent="0.25">
      <c r="A520" s="2">
        <f t="shared" ca="1" si="103"/>
        <v>3.0022258675531961</v>
      </c>
      <c r="B520" s="4" cm="1">
        <f t="array" aca="1" ref="B5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520" s="2">
        <f t="shared" ca="1" si="104"/>
        <v>3.009206190865672</v>
      </c>
      <c r="D520" s="4" t="str" cm="1">
        <f t="array" aca="1" ref="D5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20" s="2">
        <f t="shared" ca="1" si="105"/>
        <v>30.022355545410043</v>
      </c>
      <c r="F520" s="4" t="str" cm="1">
        <f t="array" aca="1" ref="F5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20" s="2">
        <f t="shared" ca="1" si="106"/>
        <v>40.011862093764719</v>
      </c>
      <c r="H520" s="47" t="str" cm="1">
        <f t="array" aca="1" ref="H5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21" spans="1:8" x14ac:dyDescent="0.25">
      <c r="A521" s="2">
        <f t="shared" ca="1" si="103"/>
        <v>3.0041858847805702</v>
      </c>
      <c r="B521" s="4" cm="1">
        <f t="array" aca="1" ref="B5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521" s="2">
        <f t="shared" ca="1" si="104"/>
        <v>3.0270521849044005</v>
      </c>
      <c r="D521" s="4" t="str" cm="1">
        <f t="array" aca="1" ref="D5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21" s="2">
        <f t="shared" ca="1" si="105"/>
        <v>30.020762895264617</v>
      </c>
      <c r="F521" s="4" t="str" cm="1">
        <f t="array" aca="1" ref="F5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21" s="2">
        <f t="shared" ca="1" si="106"/>
        <v>40.007641439457522</v>
      </c>
      <c r="H521" s="47" t="str" cm="1">
        <f t="array" aca="1" ref="H5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22" spans="1:8" x14ac:dyDescent="0.25">
      <c r="A522" s="2">
        <f t="shared" ca="1" si="103"/>
        <v>3.002933587680845</v>
      </c>
      <c r="B522" s="4" cm="1">
        <f t="array" aca="1" ref="B5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522" s="2">
        <f t="shared" ca="1" si="104"/>
        <v>3.0204044329248614</v>
      </c>
      <c r="D522" s="4" t="str" cm="1">
        <f t="array" aca="1" ref="D5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22" s="2">
        <f t="shared" ca="1" si="105"/>
        <v>30.008919646927421</v>
      </c>
      <c r="F522" s="4" t="str" cm="1">
        <f t="array" aca="1" ref="F5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22" s="2">
        <f t="shared" ca="1" si="106"/>
        <v>40.008973416788315</v>
      </c>
      <c r="H522" s="47" t="str" cm="1">
        <f t="array" aca="1" ref="H5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23" spans="1:8" x14ac:dyDescent="0.25">
      <c r="A523" s="2">
        <f t="shared" ca="1" si="103"/>
        <v>3.0039045958080557</v>
      </c>
      <c r="B523" s="4" cm="1">
        <f t="array" aca="1" ref="B5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523" s="2">
        <f t="shared" ca="1" si="104"/>
        <v>3.0148880462190637</v>
      </c>
      <c r="D523" s="4" t="str" cm="1">
        <f t="array" aca="1" ref="D5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23" s="2">
        <f t="shared" ca="1" si="105"/>
        <v>30.017290160094525</v>
      </c>
      <c r="F523" s="4" t="str" cm="1">
        <f t="array" aca="1" ref="F5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23" s="2">
        <f t="shared" ca="1" si="106"/>
        <v>40.027563657427017</v>
      </c>
      <c r="H523" s="47" t="str" cm="1">
        <f t="array" aca="1" ref="H5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24" spans="1:8" x14ac:dyDescent="0.25">
      <c r="A524" s="2">
        <f t="shared" ca="1" si="103"/>
        <v>3.007707565796979</v>
      </c>
      <c r="B524" s="4" cm="1">
        <f t="array" aca="1" ref="B5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524" s="2">
        <f t="shared" ca="1" si="104"/>
        <v>3.0255950053277352</v>
      </c>
      <c r="D524" s="4" t="str" cm="1">
        <f t="array" aca="1" ref="D5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24" s="2">
        <f t="shared" ca="1" si="105"/>
        <v>30.001800641162152</v>
      </c>
      <c r="F524" s="4" t="str" cm="1">
        <f t="array" aca="1" ref="F5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24" s="2">
        <f t="shared" ca="1" si="106"/>
        <v>40.015700339068339</v>
      </c>
      <c r="H524" s="47" t="str" cm="1">
        <f t="array" aca="1" ref="H5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25" spans="1:8" x14ac:dyDescent="0.25">
      <c r="A525" s="2">
        <f t="shared" ca="1" si="103"/>
        <v>3.0094371640290549</v>
      </c>
      <c r="B525" s="4" cm="1">
        <f t="array" aca="1" ref="B5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525" s="2">
        <f t="shared" ca="1" si="104"/>
        <v>3.021351738759722</v>
      </c>
      <c r="D525" s="4" t="str" cm="1">
        <f t="array" aca="1" ref="D5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25" s="2">
        <f t="shared" ca="1" si="105"/>
        <v>30.003487691223249</v>
      </c>
      <c r="F525" s="4" t="str" cm="1">
        <f t="array" aca="1" ref="F5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25" s="2">
        <f t="shared" ca="1" si="106"/>
        <v>40.005514046344743</v>
      </c>
      <c r="H525" s="47" t="str" cm="1">
        <f t="array" aca="1" ref="H5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26" spans="1:8" x14ac:dyDescent="0.25">
      <c r="A526" s="2">
        <f t="shared" ca="1" si="103"/>
        <v>3.0022540494698289</v>
      </c>
      <c r="B526" s="4" cm="1">
        <f t="array" aca="1" ref="B5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526" s="2">
        <f t="shared" ca="1" si="104"/>
        <v>3.0103555669842974</v>
      </c>
      <c r="D526" s="4" t="str" cm="1">
        <f t="array" aca="1" ref="D5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26" s="2">
        <f t="shared" ca="1" si="105"/>
        <v>30.029287306489085</v>
      </c>
      <c r="F526" s="4" t="str" cm="1">
        <f t="array" aca="1" ref="F5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26" s="2">
        <f t="shared" ca="1" si="106"/>
        <v>40.002298930638382</v>
      </c>
      <c r="H526" s="47" t="str" cm="1">
        <f t="array" aca="1" ref="H5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27" spans="1:8" x14ac:dyDescent="0.25">
      <c r="A527" s="2">
        <f t="shared" ca="1" si="103"/>
        <v>3.0092316182897547</v>
      </c>
      <c r="B527" s="4" cm="1">
        <f t="array" aca="1" ref="B5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527" s="2">
        <f t="shared" ca="1" si="104"/>
        <v>3.0284129173760741</v>
      </c>
      <c r="D527" s="4" t="str" cm="1">
        <f t="array" aca="1" ref="D5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27" s="2">
        <f t="shared" ca="1" si="105"/>
        <v>30.01414402281598</v>
      </c>
      <c r="F527" s="4" t="str" cm="1">
        <f t="array" aca="1" ref="F5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27" s="2">
        <f t="shared" ca="1" si="106"/>
        <v>40.017396197574904</v>
      </c>
      <c r="H527" s="47" t="str" cm="1">
        <f t="array" aca="1" ref="H5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28" spans="1:8" x14ac:dyDescent="0.25">
      <c r="A528" s="2">
        <f t="shared" ca="1" si="103"/>
        <v>3.0066101510559116</v>
      </c>
      <c r="B528" s="4" cm="1">
        <f t="array" aca="1" ref="B5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528" s="2">
        <f t="shared" ca="1" si="104"/>
        <v>3.0014952788169609</v>
      </c>
      <c r="D528" s="4" t="str" cm="1">
        <f t="array" aca="1" ref="D5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28" s="2">
        <f t="shared" ca="1" si="105"/>
        <v>30.029753154806311</v>
      </c>
      <c r="F528" s="4" t="str" cm="1">
        <f t="array" aca="1" ref="F5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28" s="2">
        <f t="shared" ca="1" si="106"/>
        <v>40.004764386443767</v>
      </c>
      <c r="H528" s="47" t="str" cm="1">
        <f t="array" aca="1" ref="H5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29" spans="1:8" x14ac:dyDescent="0.25">
      <c r="A529" s="2">
        <f t="shared" ca="1" si="103"/>
        <v>3.0086725089338233</v>
      </c>
      <c r="B529" s="4" cm="1">
        <f t="array" aca="1" ref="B5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529" s="2">
        <f t="shared" ca="1" si="104"/>
        <v>3.015431265727381</v>
      </c>
      <c r="D529" s="4" t="str" cm="1">
        <f t="array" aca="1" ref="D5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29" s="2">
        <f t="shared" ca="1" si="105"/>
        <v>30.024132516569363</v>
      </c>
      <c r="F529" s="4" t="str" cm="1">
        <f t="array" aca="1" ref="F5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29" s="2">
        <f t="shared" ca="1" si="106"/>
        <v>40.029384755055091</v>
      </c>
      <c r="H529" s="47" t="str" cm="1">
        <f t="array" aca="1" ref="H5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30" spans="1:8" x14ac:dyDescent="0.25">
      <c r="A530" s="2">
        <f t="shared" ca="1" si="103"/>
        <v>3.0060871432917371</v>
      </c>
      <c r="B530" s="4" cm="1">
        <f t="array" aca="1" ref="B5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530" s="2">
        <f t="shared" ca="1" si="104"/>
        <v>3.0233331198224116</v>
      </c>
      <c r="D530" s="4" t="str" cm="1">
        <f t="array" aca="1" ref="D5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30" s="2">
        <f t="shared" ca="1" si="105"/>
        <v>30.010877324049861</v>
      </c>
      <c r="F530" s="4" t="str" cm="1">
        <f t="array" aca="1" ref="F5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30" s="2">
        <f t="shared" ca="1" si="106"/>
        <v>40.015966038901958</v>
      </c>
      <c r="H530" s="47" t="str" cm="1">
        <f t="array" aca="1" ref="H5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31" spans="1:8" x14ac:dyDescent="0.25">
      <c r="A531" s="2">
        <f t="shared" ca="1" si="103"/>
        <v>3.0008209418924738</v>
      </c>
      <c r="B531" s="4" cm="1">
        <f t="array" aca="1" ref="B5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531" s="2">
        <f t="shared" ca="1" si="104"/>
        <v>3.022489326390644</v>
      </c>
      <c r="D531" s="4" t="str" cm="1">
        <f t="array" aca="1" ref="D5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31" s="2">
        <f t="shared" ca="1" si="105"/>
        <v>30.01690953628551</v>
      </c>
      <c r="F531" s="4" t="str" cm="1">
        <f t="array" aca="1" ref="F5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31" s="2">
        <f t="shared" ca="1" si="106"/>
        <v>40.016615088295168</v>
      </c>
      <c r="H531" s="47" t="str" cm="1">
        <f t="array" aca="1" ref="H5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32" spans="1:8" x14ac:dyDescent="0.25">
      <c r="A532" s="2">
        <f t="shared" ca="1" si="103"/>
        <v>3.0066340487403895</v>
      </c>
      <c r="B532" s="4" cm="1">
        <f t="array" aca="1" ref="B5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532" s="2">
        <f t="shared" ca="1" si="104"/>
        <v>3.0159683300964026</v>
      </c>
      <c r="D532" s="4" t="str" cm="1">
        <f t="array" aca="1" ref="D5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32" s="2">
        <f t="shared" ca="1" si="105"/>
        <v>30.013327100873269</v>
      </c>
      <c r="F532" s="4" t="str" cm="1">
        <f t="array" aca="1" ref="F5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32" s="2">
        <f t="shared" ca="1" si="106"/>
        <v>40.025988071949968</v>
      </c>
      <c r="H532" s="47" t="str" cm="1">
        <f t="array" aca="1" ref="H5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33" spans="1:8" x14ac:dyDescent="0.25">
      <c r="A533" s="2">
        <f t="shared" ca="1" si="103"/>
        <v>3.0004022006293156</v>
      </c>
      <c r="B533" s="4" cm="1">
        <f t="array" aca="1" ref="B5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533" s="2">
        <f t="shared" ca="1" si="104"/>
        <v>3.0024293506737019</v>
      </c>
      <c r="D533" s="4" t="str" cm="1">
        <f t="array" aca="1" ref="D5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33" s="2">
        <f t="shared" ca="1" si="105"/>
        <v>30.029882639817586</v>
      </c>
      <c r="F533" s="4" t="str" cm="1">
        <f t="array" aca="1" ref="F5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33" s="2">
        <f t="shared" ca="1" si="106"/>
        <v>40.01855204326305</v>
      </c>
      <c r="H533" s="47" t="str" cm="1">
        <f t="array" aca="1" ref="H5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34" spans="1:8" x14ac:dyDescent="0.25">
      <c r="A534" s="2">
        <f t="shared" ca="1" si="103"/>
        <v>3.0075824790045065</v>
      </c>
      <c r="B534" s="4" cm="1">
        <f t="array" aca="1" ref="B5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534" s="2">
        <f t="shared" ca="1" si="104"/>
        <v>3.0204072460745008</v>
      </c>
      <c r="D534" s="4" t="str" cm="1">
        <f t="array" aca="1" ref="D5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34" s="2">
        <f t="shared" ca="1" si="105"/>
        <v>30.013471451460909</v>
      </c>
      <c r="F534" s="4" t="str" cm="1">
        <f t="array" aca="1" ref="F5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34" s="2">
        <f t="shared" ca="1" si="106"/>
        <v>40.00001628885024</v>
      </c>
      <c r="H534" s="47" t="str" cm="1">
        <f t="array" aca="1" ref="H5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35" spans="1:8" x14ac:dyDescent="0.25">
      <c r="A535" s="2">
        <f t="shared" ca="1" si="103"/>
        <v>3.0000959440878434</v>
      </c>
      <c r="B535" s="4" cm="1">
        <f t="array" aca="1" ref="B5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535" s="2">
        <f t="shared" ca="1" si="104"/>
        <v>3.0260737342509443</v>
      </c>
      <c r="D535" s="4" t="str" cm="1">
        <f t="array" aca="1" ref="D5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35" s="2">
        <f t="shared" ca="1" si="105"/>
        <v>30.026497064121344</v>
      </c>
      <c r="F535" s="4" t="str" cm="1">
        <f t="array" aca="1" ref="F5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35" s="2">
        <f t="shared" ca="1" si="106"/>
        <v>40.014690263932025</v>
      </c>
      <c r="H535" s="47" t="str" cm="1">
        <f t="array" aca="1" ref="H5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36" spans="1:8" x14ac:dyDescent="0.25">
      <c r="A536" s="2">
        <f t="shared" ca="1" si="103"/>
        <v>3.0050910515902141</v>
      </c>
      <c r="B536" s="4" cm="1">
        <f t="array" aca="1" ref="B5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536" s="2">
        <f t="shared" ca="1" si="104"/>
        <v>3.0178234541326709</v>
      </c>
      <c r="D536" s="4" t="str" cm="1">
        <f t="array" aca="1" ref="D5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36" s="2">
        <f t="shared" ca="1" si="105"/>
        <v>30.018209666525934</v>
      </c>
      <c r="F536" s="4" t="str" cm="1">
        <f t="array" aca="1" ref="F5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36" s="2">
        <f t="shared" ca="1" si="106"/>
        <v>40.015476344651979</v>
      </c>
      <c r="H536" s="47" t="str" cm="1">
        <f t="array" aca="1" ref="H5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37" spans="1:8" x14ac:dyDescent="0.25">
      <c r="A537" s="2">
        <f t="shared" ca="1" si="103"/>
        <v>3.0077574564211975</v>
      </c>
      <c r="B537" s="4" cm="1">
        <f t="array" aca="1" ref="B5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537" s="2">
        <f t="shared" ca="1" si="104"/>
        <v>3.0233158193270002</v>
      </c>
      <c r="D537" s="4" t="str" cm="1">
        <f t="array" aca="1" ref="D5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37" s="2">
        <f t="shared" ca="1" si="105"/>
        <v>30.003159608826437</v>
      </c>
      <c r="F537" s="4" t="str" cm="1">
        <f t="array" aca="1" ref="F5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37" s="2">
        <f t="shared" ca="1" si="106"/>
        <v>40.008656340256422</v>
      </c>
      <c r="H537" s="47" t="str" cm="1">
        <f t="array" aca="1" ref="H5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38" spans="1:8" x14ac:dyDescent="0.25">
      <c r="A538" s="2">
        <f t="shared" ca="1" si="103"/>
        <v>3.0058519092320606</v>
      </c>
      <c r="B538" s="4" cm="1">
        <f t="array" aca="1" ref="B5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538" s="2">
        <f t="shared" ca="1" si="104"/>
        <v>3.026737349624864</v>
      </c>
      <c r="D538" s="4" t="str" cm="1">
        <f t="array" aca="1" ref="D5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38" s="2">
        <f t="shared" ca="1" si="105"/>
        <v>30.01859526016673</v>
      </c>
      <c r="F538" s="4" t="str" cm="1">
        <f t="array" aca="1" ref="F5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38" s="2">
        <f t="shared" ca="1" si="106"/>
        <v>40.015699157576606</v>
      </c>
      <c r="H538" s="47" t="str" cm="1">
        <f t="array" aca="1" ref="H5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39" spans="1:8" x14ac:dyDescent="0.25">
      <c r="A539" s="2">
        <f t="shared" ca="1" si="103"/>
        <v>3.0073863569646826</v>
      </c>
      <c r="B539" s="4" cm="1">
        <f t="array" aca="1" ref="B5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539" s="2">
        <f t="shared" ca="1" si="104"/>
        <v>3.0017498252367405</v>
      </c>
      <c r="D539" s="4" t="str" cm="1">
        <f t="array" aca="1" ref="D5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39" s="2">
        <f t="shared" ca="1" si="105"/>
        <v>30.01759946732906</v>
      </c>
      <c r="F539" s="4" t="str" cm="1">
        <f t="array" aca="1" ref="F5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39" s="2">
        <f t="shared" ca="1" si="106"/>
        <v>40.008615338382207</v>
      </c>
      <c r="H539" s="47" t="str" cm="1">
        <f t="array" aca="1" ref="H5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40" spans="1:8" x14ac:dyDescent="0.25">
      <c r="A540" s="2">
        <f t="shared" ca="1" si="103"/>
        <v>3.0005405051187384</v>
      </c>
      <c r="B540" s="4" cm="1">
        <f t="array" aca="1" ref="B5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540" s="2">
        <f t="shared" ca="1" si="104"/>
        <v>3.003939189906391</v>
      </c>
      <c r="D540" s="4" t="str" cm="1">
        <f t="array" aca="1" ref="D5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40" s="2">
        <f t="shared" ca="1" si="105"/>
        <v>30.012490013268522</v>
      </c>
      <c r="F540" s="4" t="str" cm="1">
        <f t="array" aca="1" ref="F5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40" s="2">
        <f t="shared" ca="1" si="106"/>
        <v>40.014795101243514</v>
      </c>
      <c r="H540" s="47" t="str" cm="1">
        <f t="array" aca="1" ref="H5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41" spans="1:8" x14ac:dyDescent="0.25">
      <c r="A541" s="2">
        <f t="shared" ca="1" si="103"/>
        <v>3.0011996771469591</v>
      </c>
      <c r="B541" s="4" cm="1">
        <f t="array" aca="1" ref="B5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541" s="2">
        <f t="shared" ca="1" si="104"/>
        <v>3.0101441322433296</v>
      </c>
      <c r="D541" s="4" t="str" cm="1">
        <f t="array" aca="1" ref="D5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41" s="2">
        <f t="shared" ca="1" si="105"/>
        <v>30.023957756289398</v>
      </c>
      <c r="F541" s="4" t="str" cm="1">
        <f t="array" aca="1" ref="F5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41" s="2">
        <f t="shared" ca="1" si="106"/>
        <v>40.02421235205945</v>
      </c>
      <c r="H541" s="47" t="str" cm="1">
        <f t="array" aca="1" ref="H5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42" spans="1:8" x14ac:dyDescent="0.25">
      <c r="A542" s="2">
        <f t="shared" ca="1" si="103"/>
        <v>3.0054941979319998</v>
      </c>
      <c r="B542" s="4" cm="1">
        <f t="array" aca="1" ref="B5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542" s="2">
        <f t="shared" ca="1" si="104"/>
        <v>3.0014651403579786</v>
      </c>
      <c r="D542" s="4" t="str" cm="1">
        <f t="array" aca="1" ref="D5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42" s="2">
        <f t="shared" ca="1" si="105"/>
        <v>30.010404414522988</v>
      </c>
      <c r="F542" s="4" t="str" cm="1">
        <f t="array" aca="1" ref="F5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42" s="2">
        <f t="shared" ca="1" si="106"/>
        <v>40.029939414473084</v>
      </c>
      <c r="H542" s="47" t="str" cm="1">
        <f t="array" aca="1" ref="H5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43" spans="1:8" x14ac:dyDescent="0.25">
      <c r="A543" s="2">
        <f t="shared" ca="1" si="103"/>
        <v>3.0099051276663742</v>
      </c>
      <c r="B543" s="4" cm="1">
        <f t="array" aca="1" ref="B5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543" s="2">
        <f t="shared" ca="1" si="104"/>
        <v>3.0015641239785538</v>
      </c>
      <c r="D543" s="4" t="str" cm="1">
        <f t="array" aca="1" ref="D5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43" s="2">
        <f t="shared" ca="1" si="105"/>
        <v>30.024913645300916</v>
      </c>
      <c r="F543" s="4" t="str" cm="1">
        <f t="array" aca="1" ref="F5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43" s="2">
        <f t="shared" ca="1" si="106"/>
        <v>40.009849115793735</v>
      </c>
      <c r="H543" s="47" t="str" cm="1">
        <f t="array" aca="1" ref="H5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44" spans="1:8" x14ac:dyDescent="0.25">
      <c r="A544" s="2">
        <f t="shared" ca="1" si="103"/>
        <v>3.0093968329722962</v>
      </c>
      <c r="B544" s="4" cm="1">
        <f t="array" aca="1" ref="B5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544" s="2">
        <f t="shared" ca="1" si="104"/>
        <v>3.0074194469857742</v>
      </c>
      <c r="D544" s="4" t="str" cm="1">
        <f t="array" aca="1" ref="D5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44" s="2">
        <f t="shared" ca="1" si="105"/>
        <v>30.011851126519556</v>
      </c>
      <c r="F544" s="4" t="str" cm="1">
        <f t="array" aca="1" ref="F5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44" s="2">
        <f t="shared" ca="1" si="106"/>
        <v>40.013929848366992</v>
      </c>
      <c r="H544" s="47" t="str" cm="1">
        <f t="array" aca="1" ref="H5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45" spans="1:8" x14ac:dyDescent="0.25">
      <c r="A545" s="2">
        <f t="shared" ca="1" si="103"/>
        <v>3.0051768630902753</v>
      </c>
      <c r="B545" s="4" cm="1">
        <f t="array" aca="1" ref="B5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545" s="2">
        <f t="shared" ca="1" si="104"/>
        <v>3.0210717439054005</v>
      </c>
      <c r="D545" s="4" t="str" cm="1">
        <f t="array" aca="1" ref="D5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45" s="2">
        <f t="shared" ca="1" si="105"/>
        <v>30.000958683552707</v>
      </c>
      <c r="F545" s="4" t="str" cm="1">
        <f t="array" aca="1" ref="F5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45" s="2">
        <f t="shared" ca="1" si="106"/>
        <v>40.01329825438836</v>
      </c>
      <c r="H545" s="47" t="str" cm="1">
        <f t="array" aca="1" ref="H5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46" spans="1:8" x14ac:dyDescent="0.25">
      <c r="A546" s="2">
        <f t="shared" ca="1" si="103"/>
        <v>3.0068842661301223</v>
      </c>
      <c r="B546" s="4" cm="1">
        <f t="array" aca="1" ref="B5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546" s="2">
        <f t="shared" ca="1" si="104"/>
        <v>3.0082071812551403</v>
      </c>
      <c r="D546" s="4" t="str" cm="1">
        <f t="array" aca="1" ref="D5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46" s="2">
        <f t="shared" ca="1" si="105"/>
        <v>30.012720346154353</v>
      </c>
      <c r="F546" s="4" t="str" cm="1">
        <f t="array" aca="1" ref="F5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46" s="2">
        <f t="shared" ca="1" si="106"/>
        <v>40.024363979119748</v>
      </c>
      <c r="H546" s="47" t="str" cm="1">
        <f t="array" aca="1" ref="H5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47" spans="1:8" x14ac:dyDescent="0.25">
      <c r="A547" s="2">
        <f t="shared" ca="1" si="103"/>
        <v>3.0014244283625615</v>
      </c>
      <c r="B547" s="4" cm="1">
        <f t="array" aca="1" ref="B5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547" s="2">
        <f t="shared" ca="1" si="104"/>
        <v>3.0125898342961106</v>
      </c>
      <c r="D547" s="4" t="str" cm="1">
        <f t="array" aca="1" ref="D5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47" s="2">
        <f t="shared" ca="1" si="105"/>
        <v>30.000166913156502</v>
      </c>
      <c r="F547" s="4" t="str" cm="1">
        <f t="array" aca="1" ref="F5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47" s="2">
        <f t="shared" ca="1" si="106"/>
        <v>40.010591082095708</v>
      </c>
      <c r="H547" s="47" t="str" cm="1">
        <f t="array" aca="1" ref="H5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48" spans="1:8" x14ac:dyDescent="0.25">
      <c r="A548" s="2">
        <f t="shared" ca="1" si="103"/>
        <v>3.008310735592103</v>
      </c>
      <c r="B548" s="4" cm="1">
        <f t="array" aca="1" ref="B5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548" s="2">
        <f t="shared" ca="1" si="104"/>
        <v>3.0086709193600489</v>
      </c>
      <c r="D548" s="4" t="str" cm="1">
        <f t="array" aca="1" ref="D5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48" s="2">
        <f t="shared" ca="1" si="105"/>
        <v>30.029730533279405</v>
      </c>
      <c r="F548" s="4" t="str" cm="1">
        <f t="array" aca="1" ref="F5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48" s="2">
        <f t="shared" ca="1" si="106"/>
        <v>40.016944647835317</v>
      </c>
      <c r="H548" s="47" t="str" cm="1">
        <f t="array" aca="1" ref="H5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49" spans="1:8" x14ac:dyDescent="0.25">
      <c r="A549" s="2">
        <f t="shared" ca="1" si="103"/>
        <v>3.0098784706990585</v>
      </c>
      <c r="B549" s="4" cm="1">
        <f t="array" aca="1" ref="B5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549" s="2">
        <f t="shared" ca="1" si="104"/>
        <v>3.0068593451312653</v>
      </c>
      <c r="D549" s="4" t="str" cm="1">
        <f t="array" aca="1" ref="D5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49" s="2">
        <f t="shared" ca="1" si="105"/>
        <v>30.008307653571698</v>
      </c>
      <c r="F549" s="4" t="str" cm="1">
        <f t="array" aca="1" ref="F5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49" s="2">
        <f t="shared" ca="1" si="106"/>
        <v>40.006158711216813</v>
      </c>
      <c r="H549" s="47" t="str" cm="1">
        <f t="array" aca="1" ref="H5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50" spans="1:8" x14ac:dyDescent="0.25">
      <c r="A550" s="2">
        <f t="shared" ca="1" si="103"/>
        <v>3.0024179183197699</v>
      </c>
      <c r="B550" s="4" cm="1">
        <f t="array" aca="1" ref="B5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550" s="2">
        <f t="shared" ca="1" si="104"/>
        <v>3.0177074227347158</v>
      </c>
      <c r="D550" s="4" t="str" cm="1">
        <f t="array" aca="1" ref="D5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50" s="2">
        <f t="shared" ca="1" si="105"/>
        <v>30.023208327973688</v>
      </c>
      <c r="F550" s="4" t="str" cm="1">
        <f t="array" aca="1" ref="F5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50" s="2">
        <f t="shared" ca="1" si="106"/>
        <v>40.023641437187301</v>
      </c>
      <c r="H550" s="47" t="str" cm="1">
        <f t="array" aca="1" ref="H5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51" spans="1:8" x14ac:dyDescent="0.25">
      <c r="A551" s="2">
        <f t="shared" ca="1" si="103"/>
        <v>3.0079607156463579</v>
      </c>
      <c r="B551" s="4" cm="1">
        <f t="array" aca="1" ref="B5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551" s="2">
        <f t="shared" ca="1" si="104"/>
        <v>3.0179610328817148</v>
      </c>
      <c r="D551" s="4" t="str" cm="1">
        <f t="array" aca="1" ref="D5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51" s="2">
        <f t="shared" ca="1" si="105"/>
        <v>30.000777005458243</v>
      </c>
      <c r="F551" s="4" t="str" cm="1">
        <f t="array" aca="1" ref="F5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51" s="2">
        <f t="shared" ca="1" si="106"/>
        <v>40.011193455514366</v>
      </c>
      <c r="H551" s="47" t="str" cm="1">
        <f t="array" aca="1" ref="H5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52" spans="1:8" x14ac:dyDescent="0.25">
      <c r="A552" s="2">
        <f t="shared" ca="1" si="103"/>
        <v>3.0006348025918643</v>
      </c>
      <c r="B552" s="4" cm="1">
        <f t="array" aca="1" ref="B5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552" s="2">
        <f t="shared" ca="1" si="104"/>
        <v>3.0057431196570161</v>
      </c>
      <c r="D552" s="4" t="str" cm="1">
        <f t="array" aca="1" ref="D5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52" s="2">
        <f t="shared" ca="1" si="105"/>
        <v>30.001345738691295</v>
      </c>
      <c r="F552" s="4" t="str" cm="1">
        <f t="array" aca="1" ref="F5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52" s="2">
        <f t="shared" ca="1" si="106"/>
        <v>40.025110753140645</v>
      </c>
      <c r="H552" s="47" t="str" cm="1">
        <f t="array" aca="1" ref="H5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53" spans="1:8" x14ac:dyDescent="0.25">
      <c r="A553" s="2">
        <f t="shared" ca="1" si="103"/>
        <v>3.0041232835843141</v>
      </c>
      <c r="B553" s="4" cm="1">
        <f t="array" aca="1" ref="B5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553" s="2">
        <f t="shared" ca="1" si="104"/>
        <v>3.0238849458549768</v>
      </c>
      <c r="D553" s="4" t="str" cm="1">
        <f t="array" aca="1" ref="D5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53" s="2">
        <f t="shared" ca="1" si="105"/>
        <v>30.013289747268789</v>
      </c>
      <c r="F553" s="4" t="str" cm="1">
        <f t="array" aca="1" ref="F5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53" s="2">
        <f t="shared" ca="1" si="106"/>
        <v>40.002316124925983</v>
      </c>
      <c r="H553" s="47" t="str" cm="1">
        <f t="array" aca="1" ref="H5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54" spans="1:8" x14ac:dyDescent="0.25">
      <c r="A554" s="2">
        <f t="shared" ca="1" si="103"/>
        <v>3.000986183665173</v>
      </c>
      <c r="B554" s="4" cm="1">
        <f t="array" aca="1" ref="B5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554" s="2">
        <f t="shared" ca="1" si="104"/>
        <v>3.0185411374355331</v>
      </c>
      <c r="D554" s="4" t="str" cm="1">
        <f t="array" aca="1" ref="D5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54" s="2">
        <f t="shared" ca="1" si="105"/>
        <v>30.007045140028612</v>
      </c>
      <c r="F554" s="4" t="str" cm="1">
        <f t="array" aca="1" ref="F5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54" s="2">
        <f t="shared" ca="1" si="106"/>
        <v>40.024765279328122</v>
      </c>
      <c r="H554" s="47" t="str" cm="1">
        <f t="array" aca="1" ref="H5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55" spans="1:8" x14ac:dyDescent="0.25">
      <c r="A555" s="2">
        <f t="shared" ca="1" si="103"/>
        <v>3.0026128333646764</v>
      </c>
      <c r="B555" s="4" cm="1">
        <f t="array" aca="1" ref="B5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555" s="2">
        <f t="shared" ca="1" si="104"/>
        <v>3.0095685706935225</v>
      </c>
      <c r="D555" s="4" t="str" cm="1">
        <f t="array" aca="1" ref="D5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55" s="2">
        <f t="shared" ca="1" si="105"/>
        <v>30.024932340332775</v>
      </c>
      <c r="F555" s="4" t="str" cm="1">
        <f t="array" aca="1" ref="F5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55" s="2">
        <f t="shared" ca="1" si="106"/>
        <v>40.011747352863203</v>
      </c>
      <c r="H555" s="47" t="str" cm="1">
        <f t="array" aca="1" ref="H5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56" spans="1:8" x14ac:dyDescent="0.25">
      <c r="A556" s="2">
        <f t="shared" ca="1" si="103"/>
        <v>3.0013785995832558</v>
      </c>
      <c r="B556" s="4" cm="1">
        <f t="array" aca="1" ref="B5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556" s="2">
        <f t="shared" ca="1" si="104"/>
        <v>3.0020339126310476</v>
      </c>
      <c r="D556" s="4" t="str" cm="1">
        <f t="array" aca="1" ref="D5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56" s="2">
        <f t="shared" ca="1" si="105"/>
        <v>30.015133680174813</v>
      </c>
      <c r="F556" s="4" t="str" cm="1">
        <f t="array" aca="1" ref="F5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56" s="2">
        <f t="shared" ca="1" si="106"/>
        <v>40.010211143545362</v>
      </c>
      <c r="H556" s="47" t="str" cm="1">
        <f t="array" aca="1" ref="H5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57" spans="1:8" x14ac:dyDescent="0.25">
      <c r="A557" s="2">
        <f t="shared" ca="1" si="103"/>
        <v>3.0059111509321013</v>
      </c>
      <c r="B557" s="4" cm="1">
        <f t="array" aca="1" ref="B5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557" s="2">
        <f t="shared" ca="1" si="104"/>
        <v>3.0275090379796201</v>
      </c>
      <c r="D557" s="4" t="str" cm="1">
        <f t="array" aca="1" ref="D5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57" s="2">
        <f t="shared" ca="1" si="105"/>
        <v>30.011450091646907</v>
      </c>
      <c r="F557" s="4" t="str" cm="1">
        <f t="array" aca="1" ref="F5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57" s="2">
        <f t="shared" ca="1" si="106"/>
        <v>40.019857334793521</v>
      </c>
      <c r="H557" s="47" t="str" cm="1">
        <f t="array" aca="1" ref="H5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58" spans="1:8" x14ac:dyDescent="0.25">
      <c r="A558" s="2">
        <f t="shared" ca="1" si="103"/>
        <v>3.0061616515686769</v>
      </c>
      <c r="B558" s="4" cm="1">
        <f t="array" aca="1" ref="B5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558" s="2">
        <f t="shared" ca="1" si="104"/>
        <v>3.0218392444885946</v>
      </c>
      <c r="D558" s="4" t="str" cm="1">
        <f t="array" aca="1" ref="D5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58" s="2">
        <f t="shared" ca="1" si="105"/>
        <v>30.019549511885817</v>
      </c>
      <c r="F558" s="4" t="str" cm="1">
        <f t="array" aca="1" ref="F5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58" s="2">
        <f t="shared" ca="1" si="106"/>
        <v>40.00586464733842</v>
      </c>
      <c r="H558" s="47" t="str" cm="1">
        <f t="array" aca="1" ref="H5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59" spans="1:8" x14ac:dyDescent="0.25">
      <c r="A559" s="2">
        <f t="shared" ca="1" si="103"/>
        <v>3.0072683306812817</v>
      </c>
      <c r="B559" s="4" cm="1">
        <f t="array" aca="1" ref="B5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559" s="2">
        <f t="shared" ca="1" si="104"/>
        <v>3.0084954186779034</v>
      </c>
      <c r="D559" s="4" t="str" cm="1">
        <f t="array" aca="1" ref="D5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59" s="2">
        <f t="shared" ca="1" si="105"/>
        <v>30.026032233031085</v>
      </c>
      <c r="F559" s="4" t="str" cm="1">
        <f t="array" aca="1" ref="F5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59" s="2">
        <f t="shared" ca="1" si="106"/>
        <v>40.014543023439487</v>
      </c>
      <c r="H559" s="47" t="str" cm="1">
        <f t="array" aca="1" ref="H5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60" spans="1:8" x14ac:dyDescent="0.25">
      <c r="A560" s="2">
        <f t="shared" ca="1" si="103"/>
        <v>3.0012979665321486</v>
      </c>
      <c r="B560" s="4" cm="1">
        <f t="array" aca="1" ref="B5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560" s="2">
        <f t="shared" ca="1" si="104"/>
        <v>3.0068755704009846</v>
      </c>
      <c r="D560" s="4" t="str" cm="1">
        <f t="array" aca="1" ref="D5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60" s="2">
        <f t="shared" ca="1" si="105"/>
        <v>30.012132506505097</v>
      </c>
      <c r="F560" s="4" t="str" cm="1">
        <f t="array" aca="1" ref="F5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60" s="2">
        <f t="shared" ca="1" si="106"/>
        <v>40.014985235830501</v>
      </c>
      <c r="H560" s="47" t="str" cm="1">
        <f t="array" aca="1" ref="H5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61" spans="1:8" x14ac:dyDescent="0.25">
      <c r="A561" s="2">
        <f t="shared" ca="1" si="103"/>
        <v>3.0042504174002191</v>
      </c>
      <c r="B561" s="4" cm="1">
        <f t="array" aca="1" ref="B5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561" s="2">
        <f t="shared" ca="1" si="104"/>
        <v>3.0035566297197986</v>
      </c>
      <c r="D561" s="4" t="str" cm="1">
        <f t="array" aca="1" ref="D5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61" s="2">
        <f t="shared" ca="1" si="105"/>
        <v>30.002840757358967</v>
      </c>
      <c r="F561" s="4" t="str" cm="1">
        <f t="array" aca="1" ref="F5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61" s="2">
        <f t="shared" ca="1" si="106"/>
        <v>40.013235960032247</v>
      </c>
      <c r="H561" s="47" t="str" cm="1">
        <f t="array" aca="1" ref="H5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62" spans="1:8" x14ac:dyDescent="0.25">
      <c r="A562" s="2">
        <f t="shared" ca="1" si="103"/>
        <v>3.0065718368838059</v>
      </c>
      <c r="B562" s="4" cm="1">
        <f t="array" aca="1" ref="B5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562" s="2">
        <f t="shared" ca="1" si="104"/>
        <v>3.0275881584088613</v>
      </c>
      <c r="D562" s="4" t="str" cm="1">
        <f t="array" aca="1" ref="D5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62" s="2">
        <f t="shared" ca="1" si="105"/>
        <v>30.02985624123426</v>
      </c>
      <c r="F562" s="4" t="str" cm="1">
        <f t="array" aca="1" ref="F5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62" s="2">
        <f t="shared" ca="1" si="106"/>
        <v>40.022431762630553</v>
      </c>
      <c r="H562" s="47" t="str" cm="1">
        <f t="array" aca="1" ref="H5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63" spans="1:8" x14ac:dyDescent="0.25">
      <c r="A563" s="2">
        <f t="shared" ca="1" si="103"/>
        <v>3.0071282459340307</v>
      </c>
      <c r="B563" s="4" cm="1">
        <f t="array" aca="1" ref="B5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563" s="2">
        <f t="shared" ca="1" si="104"/>
        <v>3.0284730908951123</v>
      </c>
      <c r="D563" s="4" t="str" cm="1">
        <f t="array" aca="1" ref="D5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63" s="2">
        <f t="shared" ca="1" si="105"/>
        <v>30.01638502850712</v>
      </c>
      <c r="F563" s="4" t="str" cm="1">
        <f t="array" aca="1" ref="F5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63" s="2">
        <f t="shared" ca="1" si="106"/>
        <v>40.019701583841901</v>
      </c>
      <c r="H563" s="47" t="str" cm="1">
        <f t="array" aca="1" ref="H5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64" spans="1:8" x14ac:dyDescent="0.25">
      <c r="A564" s="2">
        <f t="shared" ca="1" si="103"/>
        <v>3.0045400023766664</v>
      </c>
      <c r="B564" s="4" cm="1">
        <f t="array" aca="1" ref="B5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564" s="2">
        <f t="shared" ca="1" si="104"/>
        <v>3.0033880522416512</v>
      </c>
      <c r="D564" s="4" t="str" cm="1">
        <f t="array" aca="1" ref="D5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64" s="2">
        <f t="shared" ca="1" si="105"/>
        <v>30.011315541837146</v>
      </c>
      <c r="F564" s="4" t="str" cm="1">
        <f t="array" aca="1" ref="F5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64" s="2">
        <f t="shared" ca="1" si="106"/>
        <v>40.024650573375531</v>
      </c>
      <c r="H564" s="47" t="str" cm="1">
        <f t="array" aca="1" ref="H5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65" spans="1:8" x14ac:dyDescent="0.25">
      <c r="A565" s="2">
        <f t="shared" ca="1" si="103"/>
        <v>3.007389571827495</v>
      </c>
      <c r="B565" s="4" cm="1">
        <f t="array" aca="1" ref="B5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565" s="2">
        <f t="shared" ca="1" si="104"/>
        <v>3.0081531596976632</v>
      </c>
      <c r="D565" s="4" t="str" cm="1">
        <f t="array" aca="1" ref="D5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65" s="2">
        <f t="shared" ca="1" si="105"/>
        <v>30.021133006515843</v>
      </c>
      <c r="F565" s="4" t="str" cm="1">
        <f t="array" aca="1" ref="F5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65" s="2">
        <f t="shared" ca="1" si="106"/>
        <v>40.004343797324445</v>
      </c>
      <c r="H565" s="47" t="str" cm="1">
        <f t="array" aca="1" ref="H5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66" spans="1:8" x14ac:dyDescent="0.25">
      <c r="A566" s="2">
        <f t="shared" ca="1" si="103"/>
        <v>3.0000533132328284</v>
      </c>
      <c r="B566" s="4" cm="1">
        <f t="array" aca="1" ref="B5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566" s="2">
        <f t="shared" ca="1" si="104"/>
        <v>3.008951875480216</v>
      </c>
      <c r="D566" s="4" t="str" cm="1">
        <f t="array" aca="1" ref="D5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66" s="2">
        <f t="shared" ca="1" si="105"/>
        <v>30.007788712261668</v>
      </c>
      <c r="F566" s="4" t="str" cm="1">
        <f t="array" aca="1" ref="F5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66" s="2">
        <f t="shared" ca="1" si="106"/>
        <v>40.020399435247256</v>
      </c>
      <c r="H566" s="47" t="str" cm="1">
        <f t="array" aca="1" ref="H5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67" spans="1:8" x14ac:dyDescent="0.25">
      <c r="A567" s="2">
        <f t="shared" ca="1" si="103"/>
        <v>3.0033932442508315</v>
      </c>
      <c r="B567" s="4" cm="1">
        <f t="array" aca="1" ref="B5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567" s="2">
        <f t="shared" ca="1" si="104"/>
        <v>3.0217484832027544</v>
      </c>
      <c r="D567" s="4" t="str" cm="1">
        <f t="array" aca="1" ref="D5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67" s="2">
        <f t="shared" ca="1" si="105"/>
        <v>30.011880990064832</v>
      </c>
      <c r="F567" s="4" t="str" cm="1">
        <f t="array" aca="1" ref="F5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67" s="2">
        <f t="shared" ca="1" si="106"/>
        <v>40.023273726507092</v>
      </c>
      <c r="H567" s="47" t="str" cm="1">
        <f t="array" aca="1" ref="H5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68" spans="1:8" x14ac:dyDescent="0.25">
      <c r="A568" s="2">
        <f t="shared" ca="1" si="103"/>
        <v>3.0031380800147613</v>
      </c>
      <c r="B568" s="4" cm="1">
        <f t="array" aca="1" ref="B5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568" s="2">
        <f t="shared" ca="1" si="104"/>
        <v>3.0107957883634562</v>
      </c>
      <c r="D568" s="4" t="str" cm="1">
        <f t="array" aca="1" ref="D5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68" s="2">
        <f t="shared" ca="1" si="105"/>
        <v>30.004219919740052</v>
      </c>
      <c r="F568" s="4" t="str" cm="1">
        <f t="array" aca="1" ref="F5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68" s="2">
        <f t="shared" ca="1" si="106"/>
        <v>40.014159887020021</v>
      </c>
      <c r="H568" s="47" t="str" cm="1">
        <f t="array" aca="1" ref="H5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69" spans="1:8" x14ac:dyDescent="0.25">
      <c r="A569" s="2">
        <f t="shared" ca="1" si="103"/>
        <v>3.0084035192143337</v>
      </c>
      <c r="B569" s="4" cm="1">
        <f t="array" aca="1" ref="B5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569" s="2">
        <f t="shared" ca="1" si="104"/>
        <v>3.0138865998045885</v>
      </c>
      <c r="D569" s="4" t="str" cm="1">
        <f t="array" aca="1" ref="D5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69" s="2">
        <f t="shared" ca="1" si="105"/>
        <v>30.029799437432438</v>
      </c>
      <c r="F569" s="4" t="str" cm="1">
        <f t="array" aca="1" ref="F5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69" s="2">
        <f t="shared" ca="1" si="106"/>
        <v>40.000014411557878</v>
      </c>
      <c r="H569" s="47" t="str" cm="1">
        <f t="array" aca="1" ref="H5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70" spans="1:8" x14ac:dyDescent="0.25">
      <c r="A570" s="2">
        <f t="shared" ca="1" si="103"/>
        <v>3.0087765255849663</v>
      </c>
      <c r="B570" s="4" cm="1">
        <f t="array" aca="1" ref="B5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570" s="2">
        <f t="shared" ca="1" si="104"/>
        <v>3.0003864520361367</v>
      </c>
      <c r="D570" s="4" t="str" cm="1">
        <f t="array" aca="1" ref="D5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70" s="2">
        <f t="shared" ca="1" si="105"/>
        <v>30.022348619313359</v>
      </c>
      <c r="F570" s="4" t="str" cm="1">
        <f t="array" aca="1" ref="F5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70" s="2">
        <f t="shared" ca="1" si="106"/>
        <v>40.029386727290337</v>
      </c>
      <c r="H570" s="47" t="str" cm="1">
        <f t="array" aca="1" ref="H5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71" spans="1:8" x14ac:dyDescent="0.25">
      <c r="A571" s="2">
        <f t="shared" ca="1" si="103"/>
        <v>3.0068237655254384</v>
      </c>
      <c r="B571" s="4" cm="1">
        <f t="array" aca="1" ref="B5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571" s="2">
        <f t="shared" ca="1" si="104"/>
        <v>3.0024021212422332</v>
      </c>
      <c r="D571" s="4" t="str" cm="1">
        <f t="array" aca="1" ref="D5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71" s="2">
        <f t="shared" ca="1" si="105"/>
        <v>30.023811036906732</v>
      </c>
      <c r="F571" s="4" t="str" cm="1">
        <f t="array" aca="1" ref="F5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71" s="2">
        <f t="shared" ca="1" si="106"/>
        <v>40.024032867806994</v>
      </c>
      <c r="H571" s="47" t="str" cm="1">
        <f t="array" aca="1" ref="H5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72" spans="1:8" x14ac:dyDescent="0.25">
      <c r="A572" s="2">
        <f t="shared" ca="1" si="103"/>
        <v>3.0027233699029652</v>
      </c>
      <c r="B572" s="4" cm="1">
        <f t="array" aca="1" ref="B5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572" s="2">
        <f t="shared" ca="1" si="104"/>
        <v>3.0206694031226382</v>
      </c>
      <c r="D572" s="4" t="str" cm="1">
        <f t="array" aca="1" ref="D5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72" s="2">
        <f t="shared" ca="1" si="105"/>
        <v>30.006179994213291</v>
      </c>
      <c r="F572" s="4" t="str" cm="1">
        <f t="array" aca="1" ref="F5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72" s="2">
        <f t="shared" ca="1" si="106"/>
        <v>40.014243123496541</v>
      </c>
      <c r="H572" s="47" t="str" cm="1">
        <f t="array" aca="1" ref="H5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73" spans="1:8" x14ac:dyDescent="0.25">
      <c r="A573" s="2">
        <f t="shared" ca="1" si="103"/>
        <v>3.0058865237200729</v>
      </c>
      <c r="B573" s="4" cm="1">
        <f t="array" aca="1" ref="B5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573" s="2">
        <f t="shared" ca="1" si="104"/>
        <v>3.0245883896353369</v>
      </c>
      <c r="D573" s="4" t="str" cm="1">
        <f t="array" aca="1" ref="D5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73" s="2">
        <f t="shared" ca="1" si="105"/>
        <v>30.012035299049881</v>
      </c>
      <c r="F573" s="4" t="str" cm="1">
        <f t="array" aca="1" ref="F5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73" s="2">
        <f t="shared" ca="1" si="106"/>
        <v>40.016007950652053</v>
      </c>
      <c r="H573" s="47" t="str" cm="1">
        <f t="array" aca="1" ref="H5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74" spans="1:8" x14ac:dyDescent="0.25">
      <c r="A574" s="2">
        <f t="shared" ca="1" si="103"/>
        <v>3.0030862886253256</v>
      </c>
      <c r="B574" s="4" cm="1">
        <f t="array" aca="1" ref="B5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574" s="2">
        <f t="shared" ca="1" si="104"/>
        <v>3.0216728984711239</v>
      </c>
      <c r="D574" s="4" t="str" cm="1">
        <f t="array" aca="1" ref="D5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74" s="2">
        <f t="shared" ca="1" si="105"/>
        <v>30.019951231012261</v>
      </c>
      <c r="F574" s="4" t="str" cm="1">
        <f t="array" aca="1" ref="F5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74" s="2">
        <f t="shared" ca="1" si="106"/>
        <v>40.022272411443083</v>
      </c>
      <c r="H574" s="47" t="str" cm="1">
        <f t="array" aca="1" ref="H5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75" spans="1:8" x14ac:dyDescent="0.25">
      <c r="A575" s="2">
        <f t="shared" ca="1" si="103"/>
        <v>3.0024257085426971</v>
      </c>
      <c r="B575" s="4" cm="1">
        <f t="array" aca="1" ref="B5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575" s="2">
        <f t="shared" ca="1" si="104"/>
        <v>3.0068218199707584</v>
      </c>
      <c r="D575" s="4" t="str" cm="1">
        <f t="array" aca="1" ref="D5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75" s="2">
        <f t="shared" ca="1" si="105"/>
        <v>30.010261924777485</v>
      </c>
      <c r="F575" s="4" t="str" cm="1">
        <f t="array" aca="1" ref="F5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75" s="2">
        <f t="shared" ca="1" si="106"/>
        <v>40.027750413423256</v>
      </c>
      <c r="H575" s="47" t="str" cm="1">
        <f t="array" aca="1" ref="H5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76" spans="1:8" x14ac:dyDescent="0.25">
      <c r="A576" s="2">
        <f t="shared" ca="1" si="103"/>
        <v>3.0090876042741774</v>
      </c>
      <c r="B576" s="4" cm="1">
        <f t="array" aca="1" ref="B5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576" s="2">
        <f t="shared" ca="1" si="104"/>
        <v>3.0290128671009673</v>
      </c>
      <c r="D576" s="4" t="str" cm="1">
        <f t="array" aca="1" ref="D5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76" s="2">
        <f t="shared" ca="1" si="105"/>
        <v>30.027469844666637</v>
      </c>
      <c r="F576" s="4" t="str" cm="1">
        <f t="array" aca="1" ref="F5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76" s="2">
        <f t="shared" ca="1" si="106"/>
        <v>40.00046483027257</v>
      </c>
      <c r="H576" s="47" t="str" cm="1">
        <f t="array" aca="1" ref="H5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77" spans="1:8" x14ac:dyDescent="0.25">
      <c r="A577" s="2">
        <f t="shared" ca="1" si="103"/>
        <v>3.0047512451137206</v>
      </c>
      <c r="B577" s="4" cm="1">
        <f t="array" aca="1" ref="B5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577" s="2">
        <f t="shared" ca="1" si="104"/>
        <v>3.0047340994338825</v>
      </c>
      <c r="D577" s="4" t="str" cm="1">
        <f t="array" aca="1" ref="D5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77" s="2">
        <f t="shared" ca="1" si="105"/>
        <v>30.022579335664524</v>
      </c>
      <c r="F577" s="4" t="str" cm="1">
        <f t="array" aca="1" ref="F5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77" s="2">
        <f t="shared" ca="1" si="106"/>
        <v>40.004645382215884</v>
      </c>
      <c r="H577" s="47" t="str" cm="1">
        <f t="array" aca="1" ref="H5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78" spans="1:8" x14ac:dyDescent="0.25">
      <c r="A578" s="2">
        <f t="shared" ref="A578:A641" ca="1" si="107">3+RAND()*0.01</f>
        <v>3.0091723753218904</v>
      </c>
      <c r="B578" s="4" cm="1">
        <f t="array" aca="1" ref="B5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578" s="2">
        <f t="shared" ref="C578:C641" ca="1" si="108">3+RAND()*0.03</f>
        <v>3.0139299142721323</v>
      </c>
      <c r="D578" s="4" t="str" cm="1">
        <f t="array" aca="1" ref="D5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78" s="2">
        <f t="shared" ref="E578:E641" ca="1" si="109">30+RAND()*0.03</f>
        <v>30.005394806285992</v>
      </c>
      <c r="F578" s="4" t="str" cm="1">
        <f t="array" aca="1" ref="F5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78" s="2">
        <f t="shared" ref="G578:G641" ca="1" si="110">40+RAND()*0.03</f>
        <v>40.027264415073979</v>
      </c>
      <c r="H578" s="47" t="str" cm="1">
        <f t="array" aca="1" ref="H5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79" spans="1:8" x14ac:dyDescent="0.25">
      <c r="A579" s="2">
        <f t="shared" ca="1" si="107"/>
        <v>3.0075779770944435</v>
      </c>
      <c r="B579" s="4" cm="1">
        <f t="array" aca="1" ref="B5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579" s="2">
        <f t="shared" ca="1" si="108"/>
        <v>3.0284366962909375</v>
      </c>
      <c r="D579" s="4" t="str" cm="1">
        <f t="array" aca="1" ref="D5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79" s="2">
        <f t="shared" ca="1" si="109"/>
        <v>30.020337665164583</v>
      </c>
      <c r="F579" s="4" t="str" cm="1">
        <f t="array" aca="1" ref="F5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79" s="2">
        <f t="shared" ca="1" si="110"/>
        <v>40.007264666574386</v>
      </c>
      <c r="H579" s="47" t="str" cm="1">
        <f t="array" aca="1" ref="H5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80" spans="1:8" x14ac:dyDescent="0.25">
      <c r="A580" s="2">
        <f t="shared" ca="1" si="107"/>
        <v>3.0002392490996512</v>
      </c>
      <c r="B580" s="4" cm="1">
        <f t="array" aca="1" ref="B5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580" s="2">
        <f t="shared" ca="1" si="108"/>
        <v>3.0167023253904359</v>
      </c>
      <c r="D580" s="4" t="str" cm="1">
        <f t="array" aca="1" ref="D5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80" s="2">
        <f t="shared" ca="1" si="109"/>
        <v>30.010979375065361</v>
      </c>
      <c r="F580" s="4" t="str" cm="1">
        <f t="array" aca="1" ref="F5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80" s="2">
        <f t="shared" ca="1" si="110"/>
        <v>40.019157283564283</v>
      </c>
      <c r="H580" s="47" t="str" cm="1">
        <f t="array" aca="1" ref="H5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81" spans="1:8" x14ac:dyDescent="0.25">
      <c r="A581" s="2">
        <f t="shared" ca="1" si="107"/>
        <v>3.0060894325612142</v>
      </c>
      <c r="B581" s="4" cm="1">
        <f t="array" aca="1" ref="B5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581" s="2">
        <f t="shared" ca="1" si="108"/>
        <v>3.0041212587796831</v>
      </c>
      <c r="D581" s="4" t="str" cm="1">
        <f t="array" aca="1" ref="D5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81" s="2">
        <f t="shared" ca="1" si="109"/>
        <v>30.016017623214697</v>
      </c>
      <c r="F581" s="4" t="str" cm="1">
        <f t="array" aca="1" ref="F5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81" s="2">
        <f t="shared" ca="1" si="110"/>
        <v>40.0008689025846</v>
      </c>
      <c r="H581" s="47" t="str" cm="1">
        <f t="array" aca="1" ref="H5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82" spans="1:8" x14ac:dyDescent="0.25">
      <c r="A582" s="2">
        <f t="shared" ca="1" si="107"/>
        <v>3.0080348752646615</v>
      </c>
      <c r="B582" s="4" cm="1">
        <f t="array" aca="1" ref="B5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582" s="2">
        <f t="shared" ca="1" si="108"/>
        <v>3.0038915371640029</v>
      </c>
      <c r="D582" s="4" t="str" cm="1">
        <f t="array" aca="1" ref="D5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82" s="2">
        <f t="shared" ca="1" si="109"/>
        <v>30.005541812894524</v>
      </c>
      <c r="F582" s="4" t="str" cm="1">
        <f t="array" aca="1" ref="F5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82" s="2">
        <f t="shared" ca="1" si="110"/>
        <v>40.027344231406651</v>
      </c>
      <c r="H582" s="47" t="str" cm="1">
        <f t="array" aca="1" ref="H5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83" spans="1:8" x14ac:dyDescent="0.25">
      <c r="A583" s="2">
        <f t="shared" ca="1" si="107"/>
        <v>3.0043410055748128</v>
      </c>
      <c r="B583" s="4" cm="1">
        <f t="array" aca="1" ref="B5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583" s="2">
        <f t="shared" ca="1" si="108"/>
        <v>3.0299915297325444</v>
      </c>
      <c r="D583" s="4" t="str" cm="1">
        <f t="array" aca="1" ref="D5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83" s="2">
        <f t="shared" ca="1" si="109"/>
        <v>30.007362367827454</v>
      </c>
      <c r="F583" s="4" t="str" cm="1">
        <f t="array" aca="1" ref="F5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83" s="2">
        <f t="shared" ca="1" si="110"/>
        <v>40.01772577527845</v>
      </c>
      <c r="H583" s="47" t="str" cm="1">
        <f t="array" aca="1" ref="H5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84" spans="1:8" x14ac:dyDescent="0.25">
      <c r="A584" s="2">
        <f t="shared" ca="1" si="107"/>
        <v>3.0073068548630113</v>
      </c>
      <c r="B584" s="4" cm="1">
        <f t="array" aca="1" ref="B5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584" s="2">
        <f t="shared" ca="1" si="108"/>
        <v>3.0219261856712003</v>
      </c>
      <c r="D584" s="4" t="str" cm="1">
        <f t="array" aca="1" ref="D5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84" s="2">
        <f t="shared" ca="1" si="109"/>
        <v>30.024403249592041</v>
      </c>
      <c r="F584" s="4" t="str" cm="1">
        <f t="array" aca="1" ref="F5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84" s="2">
        <f t="shared" ca="1" si="110"/>
        <v>40.003518968582199</v>
      </c>
      <c r="H584" s="47" t="str" cm="1">
        <f t="array" aca="1" ref="H5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85" spans="1:8" x14ac:dyDescent="0.25">
      <c r="A585" s="2">
        <f t="shared" ca="1" si="107"/>
        <v>3.0059675898388436</v>
      </c>
      <c r="B585" s="4" cm="1">
        <f t="array" aca="1" ref="B5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585" s="2">
        <f t="shared" ca="1" si="108"/>
        <v>3.0259422032317782</v>
      </c>
      <c r="D585" s="4" t="str" cm="1">
        <f t="array" aca="1" ref="D5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85" s="2">
        <f t="shared" ca="1" si="109"/>
        <v>30.027434464973986</v>
      </c>
      <c r="F585" s="4" t="str" cm="1">
        <f t="array" aca="1" ref="F5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85" s="2">
        <f t="shared" ca="1" si="110"/>
        <v>40.02833999874855</v>
      </c>
      <c r="H585" s="47" t="str" cm="1">
        <f t="array" aca="1" ref="H5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86" spans="1:8" x14ac:dyDescent="0.25">
      <c r="A586" s="2">
        <f t="shared" ca="1" si="107"/>
        <v>3.0047862533917828</v>
      </c>
      <c r="B586" s="4" cm="1">
        <f t="array" aca="1" ref="B5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586" s="2">
        <f t="shared" ca="1" si="108"/>
        <v>3.0210035224915255</v>
      </c>
      <c r="D586" s="4" t="str" cm="1">
        <f t="array" aca="1" ref="D5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86" s="2">
        <f t="shared" ca="1" si="109"/>
        <v>30.002954556341908</v>
      </c>
      <c r="F586" s="4" t="str" cm="1">
        <f t="array" aca="1" ref="F5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86" s="2">
        <f t="shared" ca="1" si="110"/>
        <v>40.006866235609451</v>
      </c>
      <c r="H586" s="47" t="str" cm="1">
        <f t="array" aca="1" ref="H5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87" spans="1:8" x14ac:dyDescent="0.25">
      <c r="A587" s="2">
        <f t="shared" ca="1" si="107"/>
        <v>3.0020252127099707</v>
      </c>
      <c r="B587" s="4" cm="1">
        <f t="array" aca="1" ref="B5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587" s="2">
        <f t="shared" ca="1" si="108"/>
        <v>3.0265040528394525</v>
      </c>
      <c r="D587" s="4" t="str" cm="1">
        <f t="array" aca="1" ref="D5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87" s="2">
        <f t="shared" ca="1" si="109"/>
        <v>30.028944943272201</v>
      </c>
      <c r="F587" s="4" t="str" cm="1">
        <f t="array" aca="1" ref="F5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87" s="2">
        <f t="shared" ca="1" si="110"/>
        <v>40.018253803145754</v>
      </c>
      <c r="H587" s="47" t="str" cm="1">
        <f t="array" aca="1" ref="H5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88" spans="1:8" x14ac:dyDescent="0.25">
      <c r="A588" s="2">
        <f t="shared" ca="1" si="107"/>
        <v>3.0018216848905115</v>
      </c>
      <c r="B588" s="4" cm="1">
        <f t="array" aca="1" ref="B5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588" s="2">
        <f t="shared" ca="1" si="108"/>
        <v>3.0100429827489332</v>
      </c>
      <c r="D588" s="4" t="str" cm="1">
        <f t="array" aca="1" ref="D5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88" s="2">
        <f t="shared" ca="1" si="109"/>
        <v>30.010863250003432</v>
      </c>
      <c r="F588" s="4" t="str" cm="1">
        <f t="array" aca="1" ref="F5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88" s="2">
        <f t="shared" ca="1" si="110"/>
        <v>40.006830029478657</v>
      </c>
      <c r="H588" s="47" t="str" cm="1">
        <f t="array" aca="1" ref="H5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589" spans="1:8" x14ac:dyDescent="0.25">
      <c r="A589" s="2">
        <f t="shared" ca="1" si="107"/>
        <v>3.0033972084827876</v>
      </c>
      <c r="B589" s="4" cm="1">
        <f t="array" aca="1" ref="B5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589" s="2">
        <f t="shared" ca="1" si="108"/>
        <v>3.0280983478919254</v>
      </c>
      <c r="D589" s="4" t="str" cm="1">
        <f t="array" aca="1" ref="D5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89" s="2">
        <f t="shared" ca="1" si="109"/>
        <v>30.025761120211364</v>
      </c>
      <c r="F589" s="4" t="str" cm="1">
        <f t="array" aca="1" ref="F5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89" s="2">
        <f t="shared" ca="1" si="110"/>
        <v>40.016754448933128</v>
      </c>
      <c r="H589" s="47" t="str" cm="1">
        <f t="array" aca="1" ref="H5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90" spans="1:8" x14ac:dyDescent="0.25">
      <c r="A590" s="2">
        <f t="shared" ca="1" si="107"/>
        <v>3.0007761138281377</v>
      </c>
      <c r="B590" s="4" cm="1">
        <f t="array" aca="1" ref="B5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590" s="2">
        <f t="shared" ca="1" si="108"/>
        <v>3.0266942534351098</v>
      </c>
      <c r="D590" s="4" t="str" cm="1">
        <f t="array" aca="1" ref="D5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90" s="2">
        <f t="shared" ca="1" si="109"/>
        <v>30.017592810446477</v>
      </c>
      <c r="F590" s="4" t="str" cm="1">
        <f t="array" aca="1" ref="F5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90" s="2">
        <f t="shared" ca="1" si="110"/>
        <v>40.017996535123437</v>
      </c>
      <c r="H590" s="47" t="str" cm="1">
        <f t="array" aca="1" ref="H5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91" spans="1:8" x14ac:dyDescent="0.25">
      <c r="A591" s="2">
        <f t="shared" ca="1" si="107"/>
        <v>3.0091870318373246</v>
      </c>
      <c r="B591" s="4" cm="1">
        <f t="array" aca="1" ref="B5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591" s="2">
        <f t="shared" ca="1" si="108"/>
        <v>3.0059621914660117</v>
      </c>
      <c r="D591" s="4" t="str" cm="1">
        <f t="array" aca="1" ref="D5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91" s="2">
        <f t="shared" ca="1" si="109"/>
        <v>30.017761331822452</v>
      </c>
      <c r="F591" s="4" t="str" cm="1">
        <f t="array" aca="1" ref="F5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91" s="2">
        <f t="shared" ca="1" si="110"/>
        <v>40.01476744762077</v>
      </c>
      <c r="H591" s="47" t="str" cm="1">
        <f t="array" aca="1" ref="H5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92" spans="1:8" x14ac:dyDescent="0.25">
      <c r="A592" s="2">
        <f t="shared" ca="1" si="107"/>
        <v>3.0097319647607748</v>
      </c>
      <c r="B592" s="4" cm="1">
        <f t="array" aca="1" ref="B5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592" s="2">
        <f t="shared" ca="1" si="108"/>
        <v>3.0211748803298568</v>
      </c>
      <c r="D592" s="4" t="str" cm="1">
        <f t="array" aca="1" ref="D5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92" s="2">
        <f t="shared" ca="1" si="109"/>
        <v>30.025114271380545</v>
      </c>
      <c r="F592" s="4" t="str" cm="1">
        <f t="array" aca="1" ref="F5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92" s="2">
        <f t="shared" ca="1" si="110"/>
        <v>40.024471699258427</v>
      </c>
      <c r="H592" s="47" t="str" cm="1">
        <f t="array" aca="1" ref="H5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93" spans="1:8" x14ac:dyDescent="0.25">
      <c r="A593" s="2">
        <f t="shared" ca="1" si="107"/>
        <v>3.0031998851055799</v>
      </c>
      <c r="B593" s="4" cm="1">
        <f t="array" aca="1" ref="B5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593" s="2">
        <f t="shared" ca="1" si="108"/>
        <v>3.0111593745013954</v>
      </c>
      <c r="D593" s="4" t="str" cm="1">
        <f t="array" aca="1" ref="D5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93" s="2">
        <f t="shared" ca="1" si="109"/>
        <v>30.005480108976492</v>
      </c>
      <c r="F593" s="4" t="str" cm="1">
        <f t="array" aca="1" ref="F5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93" s="2">
        <f t="shared" ca="1" si="110"/>
        <v>40.011427961997548</v>
      </c>
      <c r="H593" s="47" t="str" cm="1">
        <f t="array" aca="1" ref="H5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94" spans="1:8" x14ac:dyDescent="0.25">
      <c r="A594" s="2">
        <f t="shared" ca="1" si="107"/>
        <v>3.0094742812893731</v>
      </c>
      <c r="B594" s="4" cm="1">
        <f t="array" aca="1" ref="B5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594" s="2">
        <f t="shared" ca="1" si="108"/>
        <v>3.0063153645295038</v>
      </c>
      <c r="D594" s="4" t="str" cm="1">
        <f t="array" aca="1" ref="D5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94" s="2">
        <f t="shared" ca="1" si="109"/>
        <v>30.017230446649688</v>
      </c>
      <c r="F594" s="4" t="str" cm="1">
        <f t="array" aca="1" ref="F5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594" s="2">
        <f t="shared" ca="1" si="110"/>
        <v>40.026548450520899</v>
      </c>
      <c r="H594" s="47" t="str" cm="1">
        <f t="array" aca="1" ref="H5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95" spans="1:8" x14ac:dyDescent="0.25">
      <c r="A595" s="2">
        <f t="shared" ca="1" si="107"/>
        <v>3.0081349454906112</v>
      </c>
      <c r="B595" s="4" cm="1">
        <f t="array" aca="1" ref="B5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595" s="2">
        <f t="shared" ca="1" si="108"/>
        <v>3.0105470771219571</v>
      </c>
      <c r="D595" s="4" t="str" cm="1">
        <f t="array" aca="1" ref="D5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95" s="2">
        <f t="shared" ca="1" si="109"/>
        <v>30.028887842106606</v>
      </c>
      <c r="F595" s="4" t="str" cm="1">
        <f t="array" aca="1" ref="F5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95" s="2">
        <f t="shared" ca="1" si="110"/>
        <v>40.029348054645673</v>
      </c>
      <c r="H595" s="47" t="str" cm="1">
        <f t="array" aca="1" ref="H5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96" spans="1:8" x14ac:dyDescent="0.25">
      <c r="A596" s="2">
        <f t="shared" ca="1" si="107"/>
        <v>3.0097607063966039</v>
      </c>
      <c r="B596" s="4" cm="1">
        <f t="array" aca="1" ref="B5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596" s="2">
        <f t="shared" ca="1" si="108"/>
        <v>3.0208036743084441</v>
      </c>
      <c r="D596" s="4" t="str" cm="1">
        <f t="array" aca="1" ref="D5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96" s="2">
        <f t="shared" ca="1" si="109"/>
        <v>30.022946891757062</v>
      </c>
      <c r="F596" s="4" t="str" cm="1">
        <f t="array" aca="1" ref="F5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96" s="2">
        <f t="shared" ca="1" si="110"/>
        <v>40.023514250977826</v>
      </c>
      <c r="H596" s="47" t="str" cm="1">
        <f t="array" aca="1" ref="H5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97" spans="1:8" x14ac:dyDescent="0.25">
      <c r="A597" s="2">
        <f t="shared" ca="1" si="107"/>
        <v>3.0061894983812811</v>
      </c>
      <c r="B597" s="4" cm="1">
        <f t="array" aca="1" ref="B5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597" s="2">
        <f t="shared" ca="1" si="108"/>
        <v>3.0014734866433361</v>
      </c>
      <c r="D597" s="4" t="str" cm="1">
        <f t="array" aca="1" ref="D5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597" s="2">
        <f t="shared" ca="1" si="109"/>
        <v>30.024841859762972</v>
      </c>
      <c r="F597" s="4" t="str" cm="1">
        <f t="array" aca="1" ref="F5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97" s="2">
        <f t="shared" ca="1" si="110"/>
        <v>40.010500807427228</v>
      </c>
      <c r="H597" s="47" t="str" cm="1">
        <f t="array" aca="1" ref="H5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598" spans="1:8" x14ac:dyDescent="0.25">
      <c r="A598" s="2">
        <f t="shared" ca="1" si="107"/>
        <v>3.0070773957141577</v>
      </c>
      <c r="B598" s="4" cm="1">
        <f t="array" aca="1" ref="B5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598" s="2">
        <f t="shared" ca="1" si="108"/>
        <v>3.0242815407422308</v>
      </c>
      <c r="D598" s="4" t="str" cm="1">
        <f t="array" aca="1" ref="D5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598" s="2">
        <f t="shared" ca="1" si="109"/>
        <v>30.029375825007339</v>
      </c>
      <c r="F598" s="4" t="str" cm="1">
        <f t="array" aca="1" ref="F5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598" s="2">
        <f t="shared" ca="1" si="110"/>
        <v>40.0251225077632</v>
      </c>
      <c r="H598" s="47" t="str" cm="1">
        <f t="array" aca="1" ref="H5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599" spans="1:8" x14ac:dyDescent="0.25">
      <c r="A599" s="2">
        <f t="shared" ca="1" si="107"/>
        <v>3.0006823734167134</v>
      </c>
      <c r="B599" s="4" cm="1">
        <f t="array" aca="1" ref="B5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599" s="2">
        <f t="shared" ca="1" si="108"/>
        <v>3.0196221161918055</v>
      </c>
      <c r="D599" s="4" t="str" cm="1">
        <f t="array" aca="1" ref="D5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599" s="2">
        <f t="shared" ca="1" si="109"/>
        <v>30.004937954217876</v>
      </c>
      <c r="F599" s="4" t="str" cm="1">
        <f t="array" aca="1" ref="F5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599" s="2">
        <f t="shared" ca="1" si="110"/>
        <v>40.027550870835029</v>
      </c>
      <c r="H599" s="47" t="str" cm="1">
        <f t="array" aca="1" ref="H5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00" spans="1:8" x14ac:dyDescent="0.25">
      <c r="A600" s="2">
        <f t="shared" ca="1" si="107"/>
        <v>3.0009381222742846</v>
      </c>
      <c r="B600" s="4" cm="1">
        <f t="array" aca="1" ref="B6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600" s="2">
        <f t="shared" ca="1" si="108"/>
        <v>3.0130734222611806</v>
      </c>
      <c r="D600" s="4" t="str" cm="1">
        <f t="array" aca="1" ref="D6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00" s="2">
        <f t="shared" ca="1" si="109"/>
        <v>30.011020359267548</v>
      </c>
      <c r="F600" s="4" t="str" cm="1">
        <f t="array" aca="1" ref="F6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00" s="2">
        <f t="shared" ca="1" si="110"/>
        <v>40.009350713201769</v>
      </c>
      <c r="H600" s="47" t="str" cm="1">
        <f t="array" aca="1" ref="H6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01" spans="1:8" x14ac:dyDescent="0.25">
      <c r="A601" s="2">
        <f t="shared" ca="1" si="107"/>
        <v>3.0000122127989184</v>
      </c>
      <c r="B601" s="4" cm="1">
        <f t="array" aca="1" ref="B6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601" s="2">
        <f t="shared" ca="1" si="108"/>
        <v>3.0030611236240374</v>
      </c>
      <c r="D601" s="4" t="str" cm="1">
        <f t="array" aca="1" ref="D6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01" s="2">
        <f t="shared" ca="1" si="109"/>
        <v>30.009908441536513</v>
      </c>
      <c r="F601" s="4" t="str" cm="1">
        <f t="array" aca="1" ref="F6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01" s="2">
        <f t="shared" ca="1" si="110"/>
        <v>40.014191223685913</v>
      </c>
      <c r="H601" s="47" t="str" cm="1">
        <f t="array" aca="1" ref="H6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02" spans="1:8" x14ac:dyDescent="0.25">
      <c r="A602" s="2">
        <f t="shared" ca="1" si="107"/>
        <v>3.0086106980489218</v>
      </c>
      <c r="B602" s="4" cm="1">
        <f t="array" aca="1" ref="B6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602" s="2">
        <f t="shared" ca="1" si="108"/>
        <v>3.0100597851605095</v>
      </c>
      <c r="D602" s="4" t="str" cm="1">
        <f t="array" aca="1" ref="D6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02" s="2">
        <f t="shared" ca="1" si="109"/>
        <v>30.0025268884682</v>
      </c>
      <c r="F602" s="4" t="str" cm="1">
        <f t="array" aca="1" ref="F6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02" s="2">
        <f t="shared" ca="1" si="110"/>
        <v>40.017957137021398</v>
      </c>
      <c r="H602" s="47" t="str" cm="1">
        <f t="array" aca="1" ref="H6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03" spans="1:8" x14ac:dyDescent="0.25">
      <c r="A603" s="2">
        <f t="shared" ca="1" si="107"/>
        <v>3.0057133232016056</v>
      </c>
      <c r="B603" s="4" cm="1">
        <f t="array" aca="1" ref="B6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603" s="2">
        <f t="shared" ca="1" si="108"/>
        <v>3.002362406192808</v>
      </c>
      <c r="D603" s="4" t="str" cm="1">
        <f t="array" aca="1" ref="D6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03" s="2">
        <f t="shared" ca="1" si="109"/>
        <v>30.001779608430819</v>
      </c>
      <c r="F603" s="4" t="str" cm="1">
        <f t="array" aca="1" ref="F6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03" s="2">
        <f t="shared" ca="1" si="110"/>
        <v>40.02787252347661</v>
      </c>
      <c r="H603" s="47" t="str" cm="1">
        <f t="array" aca="1" ref="H6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04" spans="1:8" x14ac:dyDescent="0.25">
      <c r="A604" s="2">
        <f t="shared" ca="1" si="107"/>
        <v>3.0091479356716295</v>
      </c>
      <c r="B604" s="4" cm="1">
        <f t="array" aca="1" ref="B6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604" s="2">
        <f t="shared" ca="1" si="108"/>
        <v>3.0089344937861129</v>
      </c>
      <c r="D604" s="4" t="str" cm="1">
        <f t="array" aca="1" ref="D6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04" s="2">
        <f t="shared" ca="1" si="109"/>
        <v>30.024661451649472</v>
      </c>
      <c r="F604" s="4" t="str" cm="1">
        <f t="array" aca="1" ref="F6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04" s="2">
        <f t="shared" ca="1" si="110"/>
        <v>40.025087738201329</v>
      </c>
      <c r="H604" s="47" t="str" cm="1">
        <f t="array" aca="1" ref="H6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05" spans="1:8" x14ac:dyDescent="0.25">
      <c r="A605" s="2">
        <f t="shared" ca="1" si="107"/>
        <v>3.0094059402778051</v>
      </c>
      <c r="B605" s="4" cm="1">
        <f t="array" aca="1" ref="B6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605" s="2">
        <f t="shared" ca="1" si="108"/>
        <v>3.0146929619228291</v>
      </c>
      <c r="D605" s="4" t="str" cm="1">
        <f t="array" aca="1" ref="D6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05" s="2">
        <f t="shared" ca="1" si="109"/>
        <v>30.003718726018089</v>
      </c>
      <c r="F605" s="4" t="str" cm="1">
        <f t="array" aca="1" ref="F6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05" s="2">
        <f t="shared" ca="1" si="110"/>
        <v>40.004559533646102</v>
      </c>
      <c r="H605" s="47" t="str" cm="1">
        <f t="array" aca="1" ref="H6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06" spans="1:8" x14ac:dyDescent="0.25">
      <c r="A606" s="2">
        <f t="shared" ca="1" si="107"/>
        <v>3.0072717193243519</v>
      </c>
      <c r="B606" s="4" cm="1">
        <f t="array" aca="1" ref="B6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606" s="2">
        <f t="shared" ca="1" si="108"/>
        <v>3.0224297241546743</v>
      </c>
      <c r="D606" s="4" t="str" cm="1">
        <f t="array" aca="1" ref="D6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06" s="2">
        <f t="shared" ca="1" si="109"/>
        <v>30.021625229646556</v>
      </c>
      <c r="F606" s="4" t="str" cm="1">
        <f t="array" aca="1" ref="F6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06" s="2">
        <f t="shared" ca="1" si="110"/>
        <v>40.008285526174852</v>
      </c>
      <c r="H606" s="47" t="str" cm="1">
        <f t="array" aca="1" ref="H6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07" spans="1:8" x14ac:dyDescent="0.25">
      <c r="A607" s="2">
        <f t="shared" ca="1" si="107"/>
        <v>3.0016798069977026</v>
      </c>
      <c r="B607" s="4" cm="1">
        <f t="array" aca="1" ref="B6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607" s="2">
        <f t="shared" ca="1" si="108"/>
        <v>3.0293183269243658</v>
      </c>
      <c r="D607" s="4" t="str" cm="1">
        <f t="array" aca="1" ref="D6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07" s="2">
        <f t="shared" ca="1" si="109"/>
        <v>30.026225064233902</v>
      </c>
      <c r="F607" s="4" t="str" cm="1">
        <f t="array" aca="1" ref="F6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07" s="2">
        <f t="shared" ca="1" si="110"/>
        <v>40.001050457024839</v>
      </c>
      <c r="H607" s="47" t="str" cm="1">
        <f t="array" aca="1" ref="H6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08" spans="1:8" x14ac:dyDescent="0.25">
      <c r="A608" s="2">
        <f t="shared" ca="1" si="107"/>
        <v>3.0048054775519883</v>
      </c>
      <c r="B608" s="4" cm="1">
        <f t="array" aca="1" ref="B6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608" s="2">
        <f t="shared" ca="1" si="108"/>
        <v>3.029842595150801</v>
      </c>
      <c r="D608" s="4" t="str" cm="1">
        <f t="array" aca="1" ref="D6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08" s="2">
        <f t="shared" ca="1" si="109"/>
        <v>30.010546235310329</v>
      </c>
      <c r="F608" s="4" t="str" cm="1">
        <f t="array" aca="1" ref="F6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08" s="2">
        <f t="shared" ca="1" si="110"/>
        <v>40.00302159189053</v>
      </c>
      <c r="H608" s="47" t="str" cm="1">
        <f t="array" aca="1" ref="H6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09" spans="1:8" x14ac:dyDescent="0.25">
      <c r="A609" s="2">
        <f t="shared" ca="1" si="107"/>
        <v>3.0095825505274925</v>
      </c>
      <c r="B609" s="4" cm="1">
        <f t="array" aca="1" ref="B6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609" s="2">
        <f t="shared" ca="1" si="108"/>
        <v>3.0267568869199231</v>
      </c>
      <c r="D609" s="4" t="str" cm="1">
        <f t="array" aca="1" ref="D6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09" s="2">
        <f t="shared" ca="1" si="109"/>
        <v>30.018487221223424</v>
      </c>
      <c r="F609" s="4" t="str" cm="1">
        <f t="array" aca="1" ref="F6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09" s="2">
        <f t="shared" ca="1" si="110"/>
        <v>40.025306029658545</v>
      </c>
      <c r="H609" s="47" t="str" cm="1">
        <f t="array" aca="1" ref="H6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10" spans="1:8" x14ac:dyDescent="0.25">
      <c r="A610" s="2">
        <f t="shared" ca="1" si="107"/>
        <v>3.0064683726555583</v>
      </c>
      <c r="B610" s="4" cm="1">
        <f t="array" aca="1" ref="B6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610" s="2">
        <f t="shared" ca="1" si="108"/>
        <v>3.029652693656975</v>
      </c>
      <c r="D610" s="4" t="str" cm="1">
        <f t="array" aca="1" ref="D6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10" s="2">
        <f t="shared" ca="1" si="109"/>
        <v>30.022296847755687</v>
      </c>
      <c r="F610" s="4" t="str" cm="1">
        <f t="array" aca="1" ref="F6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10" s="2">
        <f t="shared" ca="1" si="110"/>
        <v>40.012978792253534</v>
      </c>
      <c r="H610" s="47" t="str" cm="1">
        <f t="array" aca="1" ref="H6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11" spans="1:8" x14ac:dyDescent="0.25">
      <c r="A611" s="2">
        <f t="shared" ca="1" si="107"/>
        <v>3.000512830710456</v>
      </c>
      <c r="B611" s="4" cm="1">
        <f t="array" aca="1" ref="B6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611" s="2">
        <f t="shared" ca="1" si="108"/>
        <v>3.0136190389093902</v>
      </c>
      <c r="D611" s="4" t="str" cm="1">
        <f t="array" aca="1" ref="D6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11" s="2">
        <f t="shared" ca="1" si="109"/>
        <v>30.007078737221399</v>
      </c>
      <c r="F611" s="4" t="str" cm="1">
        <f t="array" aca="1" ref="F6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11" s="2">
        <f t="shared" ca="1" si="110"/>
        <v>40.024609238972488</v>
      </c>
      <c r="H611" s="47" t="str" cm="1">
        <f t="array" aca="1" ref="H6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12" spans="1:8" x14ac:dyDescent="0.25">
      <c r="A612" s="2">
        <f t="shared" ca="1" si="107"/>
        <v>3.0095195328965567</v>
      </c>
      <c r="B612" s="4" cm="1">
        <f t="array" aca="1" ref="B6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612" s="2">
        <f t="shared" ca="1" si="108"/>
        <v>3.023991359739187</v>
      </c>
      <c r="D612" s="4" t="str" cm="1">
        <f t="array" aca="1" ref="D6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12" s="2">
        <f t="shared" ca="1" si="109"/>
        <v>30.003020023696418</v>
      </c>
      <c r="F612" s="4" t="str" cm="1">
        <f t="array" aca="1" ref="F6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12" s="2">
        <f t="shared" ca="1" si="110"/>
        <v>40.000065985237839</v>
      </c>
      <c r="H612" s="47" t="str" cm="1">
        <f t="array" aca="1" ref="H6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13" spans="1:8" x14ac:dyDescent="0.25">
      <c r="A613" s="2">
        <f t="shared" ca="1" si="107"/>
        <v>3.0017786289931516</v>
      </c>
      <c r="B613" s="4" cm="1">
        <f t="array" aca="1" ref="B6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613" s="2">
        <f t="shared" ca="1" si="108"/>
        <v>3.0060792291552363</v>
      </c>
      <c r="D613" s="4" t="str" cm="1">
        <f t="array" aca="1" ref="D6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13" s="2">
        <f t="shared" ca="1" si="109"/>
        <v>30.023898432764195</v>
      </c>
      <c r="F613" s="4" t="str" cm="1">
        <f t="array" aca="1" ref="F6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13" s="2">
        <f t="shared" ca="1" si="110"/>
        <v>40.013431233397192</v>
      </c>
      <c r="H613" s="47" t="str" cm="1">
        <f t="array" aca="1" ref="H6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14" spans="1:8" x14ac:dyDescent="0.25">
      <c r="A614" s="2">
        <f t="shared" ca="1" si="107"/>
        <v>3.0032876950010894</v>
      </c>
      <c r="B614" s="4" cm="1">
        <f t="array" aca="1" ref="B6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614" s="2">
        <f t="shared" ca="1" si="108"/>
        <v>3.01962772049907</v>
      </c>
      <c r="D614" s="4" t="str" cm="1">
        <f t="array" aca="1" ref="D6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14" s="2">
        <f t="shared" ca="1" si="109"/>
        <v>30.018188249290819</v>
      </c>
      <c r="F614" s="4" t="str" cm="1">
        <f t="array" aca="1" ref="F6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14" s="2">
        <f t="shared" ca="1" si="110"/>
        <v>40.014559354338537</v>
      </c>
      <c r="H614" s="47" t="str" cm="1">
        <f t="array" aca="1" ref="H6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15" spans="1:8" x14ac:dyDescent="0.25">
      <c r="A615" s="2">
        <f t="shared" ca="1" si="107"/>
        <v>3.0074200765743657</v>
      </c>
      <c r="B615" s="4" cm="1">
        <f t="array" aca="1" ref="B6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615" s="2">
        <f t="shared" ca="1" si="108"/>
        <v>3.0241061254513979</v>
      </c>
      <c r="D615" s="4" t="str" cm="1">
        <f t="array" aca="1" ref="D6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15" s="2">
        <f t="shared" ca="1" si="109"/>
        <v>30.026294209591892</v>
      </c>
      <c r="F615" s="4" t="str" cm="1">
        <f t="array" aca="1" ref="F6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15" s="2">
        <f t="shared" ca="1" si="110"/>
        <v>40.010474741395058</v>
      </c>
      <c r="H615" s="47" t="str" cm="1">
        <f t="array" aca="1" ref="H6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16" spans="1:8" x14ac:dyDescent="0.25">
      <c r="A616" s="2">
        <f t="shared" ca="1" si="107"/>
        <v>3.0023365531577859</v>
      </c>
      <c r="B616" s="4" cm="1">
        <f t="array" aca="1" ref="B6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616" s="2">
        <f t="shared" ca="1" si="108"/>
        <v>3.0269275375934552</v>
      </c>
      <c r="D616" s="4" t="str" cm="1">
        <f t="array" aca="1" ref="D6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16" s="2">
        <f t="shared" ca="1" si="109"/>
        <v>30.014576821997956</v>
      </c>
      <c r="F616" s="4" t="str" cm="1">
        <f t="array" aca="1" ref="F6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16" s="2">
        <f t="shared" ca="1" si="110"/>
        <v>40.004715070215731</v>
      </c>
      <c r="H616" s="47" t="str" cm="1">
        <f t="array" aca="1" ref="H6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17" spans="1:8" x14ac:dyDescent="0.25">
      <c r="A617" s="2">
        <f t="shared" ca="1" si="107"/>
        <v>3.0023962712589465</v>
      </c>
      <c r="B617" s="4" cm="1">
        <f t="array" aca="1" ref="B6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617" s="2">
        <f t="shared" ca="1" si="108"/>
        <v>3.0230537179501757</v>
      </c>
      <c r="D617" s="4" t="str" cm="1">
        <f t="array" aca="1" ref="D6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17" s="2">
        <f t="shared" ca="1" si="109"/>
        <v>30.027746626679775</v>
      </c>
      <c r="F617" s="4" t="str" cm="1">
        <f t="array" aca="1" ref="F6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17" s="2">
        <f t="shared" ca="1" si="110"/>
        <v>40.022236930997025</v>
      </c>
      <c r="H617" s="47" t="str" cm="1">
        <f t="array" aca="1" ref="H6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18" spans="1:8" x14ac:dyDescent="0.25">
      <c r="A618" s="2">
        <f t="shared" ca="1" si="107"/>
        <v>3.0097660185191994</v>
      </c>
      <c r="B618" s="4" cm="1">
        <f t="array" aca="1" ref="B6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618" s="2">
        <f t="shared" ca="1" si="108"/>
        <v>3.0112734806667465</v>
      </c>
      <c r="D618" s="4" t="str" cm="1">
        <f t="array" aca="1" ref="D6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18" s="2">
        <f t="shared" ca="1" si="109"/>
        <v>30.019761169511693</v>
      </c>
      <c r="F618" s="4" t="str" cm="1">
        <f t="array" aca="1" ref="F6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18" s="2">
        <f t="shared" ca="1" si="110"/>
        <v>40.019337301473541</v>
      </c>
      <c r="H618" s="47" t="str" cm="1">
        <f t="array" aca="1" ref="H6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19" spans="1:8" x14ac:dyDescent="0.25">
      <c r="A619" s="2">
        <f t="shared" ca="1" si="107"/>
        <v>3.0051178628090152</v>
      </c>
      <c r="B619" s="4" cm="1">
        <f t="array" aca="1" ref="B6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619" s="2">
        <f t="shared" ca="1" si="108"/>
        <v>3.0223929213801877</v>
      </c>
      <c r="D619" s="4" t="str" cm="1">
        <f t="array" aca="1" ref="D6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19" s="2">
        <f t="shared" ca="1" si="109"/>
        <v>30.007106431692485</v>
      </c>
      <c r="F619" s="4" t="str" cm="1">
        <f t="array" aca="1" ref="F6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19" s="2">
        <f t="shared" ca="1" si="110"/>
        <v>40.026145655730645</v>
      </c>
      <c r="H619" s="47" t="str" cm="1">
        <f t="array" aca="1" ref="H6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20" spans="1:8" x14ac:dyDescent="0.25">
      <c r="A620" s="2">
        <f t="shared" ca="1" si="107"/>
        <v>3.0015175962393408</v>
      </c>
      <c r="B620" s="4" cm="1">
        <f t="array" aca="1" ref="B6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620" s="2">
        <f t="shared" ca="1" si="108"/>
        <v>3.0290801955751099</v>
      </c>
      <c r="D620" s="4" t="str" cm="1">
        <f t="array" aca="1" ref="D6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20" s="2">
        <f t="shared" ca="1" si="109"/>
        <v>30.022083860284891</v>
      </c>
      <c r="F620" s="4" t="str" cm="1">
        <f t="array" aca="1" ref="F6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20" s="2">
        <f t="shared" ca="1" si="110"/>
        <v>40.00159726484415</v>
      </c>
      <c r="H620" s="47" t="str" cm="1">
        <f t="array" aca="1" ref="H6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21" spans="1:8" x14ac:dyDescent="0.25">
      <c r="A621" s="2">
        <f t="shared" ca="1" si="107"/>
        <v>3.0054606355100013</v>
      </c>
      <c r="B621" s="4" cm="1">
        <f t="array" aca="1" ref="B6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621" s="2">
        <f t="shared" ca="1" si="108"/>
        <v>3.009955271199968</v>
      </c>
      <c r="D621" s="4" t="str" cm="1">
        <f t="array" aca="1" ref="D6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21" s="2">
        <f t="shared" ca="1" si="109"/>
        <v>30.012684576684805</v>
      </c>
      <c r="F621" s="4" t="str" cm="1">
        <f t="array" aca="1" ref="F6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21" s="2">
        <f t="shared" ca="1" si="110"/>
        <v>40.008058158495956</v>
      </c>
      <c r="H621" s="47" t="str" cm="1">
        <f t="array" aca="1" ref="H6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22" spans="1:8" x14ac:dyDescent="0.25">
      <c r="A622" s="2">
        <f t="shared" ca="1" si="107"/>
        <v>3.0002328348432465</v>
      </c>
      <c r="B622" s="4" cm="1">
        <f t="array" aca="1" ref="B6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622" s="2">
        <f t="shared" ca="1" si="108"/>
        <v>3.0046045113679209</v>
      </c>
      <c r="D622" s="4" t="str" cm="1">
        <f t="array" aca="1" ref="D6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22" s="2">
        <f t="shared" ca="1" si="109"/>
        <v>30.025294833038277</v>
      </c>
      <c r="F622" s="4" t="str" cm="1">
        <f t="array" aca="1" ref="F6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22" s="2">
        <f t="shared" ca="1" si="110"/>
        <v>40.021791585607282</v>
      </c>
      <c r="H622" s="47" t="str" cm="1">
        <f t="array" aca="1" ref="H6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23" spans="1:8" x14ac:dyDescent="0.25">
      <c r="A623" s="2">
        <f t="shared" ca="1" si="107"/>
        <v>3.0038698370059573</v>
      </c>
      <c r="B623" s="4" cm="1">
        <f t="array" aca="1" ref="B6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623" s="2">
        <f t="shared" ca="1" si="108"/>
        <v>3.0173237906141859</v>
      </c>
      <c r="D623" s="4" t="str" cm="1">
        <f t="array" aca="1" ref="D6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23" s="2">
        <f t="shared" ca="1" si="109"/>
        <v>30.023885871269609</v>
      </c>
      <c r="F623" s="4" t="str" cm="1">
        <f t="array" aca="1" ref="F6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23" s="2">
        <f t="shared" ca="1" si="110"/>
        <v>40.016913354776392</v>
      </c>
      <c r="H623" s="47" t="str" cm="1">
        <f t="array" aca="1" ref="H6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24" spans="1:8" x14ac:dyDescent="0.25">
      <c r="A624" s="2">
        <f t="shared" ca="1" si="107"/>
        <v>3.0008255225899667</v>
      </c>
      <c r="B624" s="4" cm="1">
        <f t="array" aca="1" ref="B6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624" s="2">
        <f t="shared" ca="1" si="108"/>
        <v>3.0147886245353881</v>
      </c>
      <c r="D624" s="4" t="str" cm="1">
        <f t="array" aca="1" ref="D6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24" s="2">
        <f t="shared" ca="1" si="109"/>
        <v>30.019007477209502</v>
      </c>
      <c r="F624" s="4" t="str" cm="1">
        <f t="array" aca="1" ref="F6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24" s="2">
        <f t="shared" ca="1" si="110"/>
        <v>40.013952261147246</v>
      </c>
      <c r="H624" s="47" t="str" cm="1">
        <f t="array" aca="1" ref="H6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25" spans="1:8" x14ac:dyDescent="0.25">
      <c r="A625" s="2">
        <f t="shared" ca="1" si="107"/>
        <v>3.0017179548542696</v>
      </c>
      <c r="B625" s="4" cm="1">
        <f t="array" aca="1" ref="B6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625" s="2">
        <f t="shared" ca="1" si="108"/>
        <v>3.0267474306387734</v>
      </c>
      <c r="D625" s="4" t="str" cm="1">
        <f t="array" aca="1" ref="D6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25" s="2">
        <f t="shared" ca="1" si="109"/>
        <v>30.016405155275834</v>
      </c>
      <c r="F625" s="4" t="str" cm="1">
        <f t="array" aca="1" ref="F6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25" s="2">
        <f t="shared" ca="1" si="110"/>
        <v>40.017471438714182</v>
      </c>
      <c r="H625" s="47" t="str" cm="1">
        <f t="array" aca="1" ref="H6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26" spans="1:8" x14ac:dyDescent="0.25">
      <c r="A626" s="2">
        <f t="shared" ca="1" si="107"/>
        <v>3.0000473397514047</v>
      </c>
      <c r="B626" s="4" cm="1">
        <f t="array" aca="1" ref="B6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626" s="2">
        <f t="shared" ca="1" si="108"/>
        <v>3.0286780967628362</v>
      </c>
      <c r="D626" s="4" t="str" cm="1">
        <f t="array" aca="1" ref="D6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26" s="2">
        <f t="shared" ca="1" si="109"/>
        <v>30.015345847098072</v>
      </c>
      <c r="F626" s="4" t="str" cm="1">
        <f t="array" aca="1" ref="F6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26" s="2">
        <f t="shared" ca="1" si="110"/>
        <v>40.007590871037841</v>
      </c>
      <c r="H626" s="47" t="str" cm="1">
        <f t="array" aca="1" ref="H6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27" spans="1:8" x14ac:dyDescent="0.25">
      <c r="A627" s="2">
        <f t="shared" ca="1" si="107"/>
        <v>3.0001369356350369</v>
      </c>
      <c r="B627" s="4" cm="1">
        <f t="array" aca="1" ref="B6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627" s="2">
        <f t="shared" ca="1" si="108"/>
        <v>3.0100109638059362</v>
      </c>
      <c r="D627" s="4" t="str" cm="1">
        <f t="array" aca="1" ref="D6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27" s="2">
        <f t="shared" ca="1" si="109"/>
        <v>30.019233221279507</v>
      </c>
      <c r="F627" s="4" t="str" cm="1">
        <f t="array" aca="1" ref="F6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27" s="2">
        <f t="shared" ca="1" si="110"/>
        <v>40.007981766118277</v>
      </c>
      <c r="H627" s="47" t="str" cm="1">
        <f t="array" aca="1" ref="H6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28" spans="1:8" x14ac:dyDescent="0.25">
      <c r="A628" s="2">
        <f t="shared" ca="1" si="107"/>
        <v>3.0097307276085252</v>
      </c>
      <c r="B628" s="4" cm="1">
        <f t="array" aca="1" ref="B6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628" s="2">
        <f t="shared" ca="1" si="108"/>
        <v>3.0041405114153981</v>
      </c>
      <c r="D628" s="4" t="str" cm="1">
        <f t="array" aca="1" ref="D6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28" s="2">
        <f t="shared" ca="1" si="109"/>
        <v>30.003685582307117</v>
      </c>
      <c r="F628" s="4" t="str" cm="1">
        <f t="array" aca="1" ref="F6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28" s="2">
        <f t="shared" ca="1" si="110"/>
        <v>40.009250270880571</v>
      </c>
      <c r="H628" s="47" t="str" cm="1">
        <f t="array" aca="1" ref="H6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29" spans="1:8" x14ac:dyDescent="0.25">
      <c r="A629" s="2">
        <f t="shared" ca="1" si="107"/>
        <v>3.0073391084190502</v>
      </c>
      <c r="B629" s="4" cm="1">
        <f t="array" aca="1" ref="B6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629" s="2">
        <f t="shared" ca="1" si="108"/>
        <v>3.0263164068821458</v>
      </c>
      <c r="D629" s="4" t="str" cm="1">
        <f t="array" aca="1" ref="D6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29" s="2">
        <f t="shared" ca="1" si="109"/>
        <v>30.001653265474943</v>
      </c>
      <c r="F629" s="4" t="str" cm="1">
        <f t="array" aca="1" ref="F6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29" s="2">
        <f t="shared" ca="1" si="110"/>
        <v>40.027423638254952</v>
      </c>
      <c r="H629" s="47" t="str" cm="1">
        <f t="array" aca="1" ref="H6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30" spans="1:8" x14ac:dyDescent="0.25">
      <c r="A630" s="2">
        <f t="shared" ca="1" si="107"/>
        <v>3.004833564371638</v>
      </c>
      <c r="B630" s="4" cm="1">
        <f t="array" aca="1" ref="B6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630" s="2">
        <f t="shared" ca="1" si="108"/>
        <v>3.0266295625469852</v>
      </c>
      <c r="D630" s="4" t="str" cm="1">
        <f t="array" aca="1" ref="D6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30" s="2">
        <f t="shared" ca="1" si="109"/>
        <v>30.029556711776213</v>
      </c>
      <c r="F630" s="4" t="str" cm="1">
        <f t="array" aca="1" ref="F6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30" s="2">
        <f t="shared" ca="1" si="110"/>
        <v>40.02200738786609</v>
      </c>
      <c r="H630" s="47" t="str" cm="1">
        <f t="array" aca="1" ref="H6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31" spans="1:8" x14ac:dyDescent="0.25">
      <c r="A631" s="2">
        <f t="shared" ca="1" si="107"/>
        <v>3.0037126949587778</v>
      </c>
      <c r="B631" s="4" cm="1">
        <f t="array" aca="1" ref="B6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631" s="2">
        <f t="shared" ca="1" si="108"/>
        <v>3.0245741265148638</v>
      </c>
      <c r="D631" s="4" t="str" cm="1">
        <f t="array" aca="1" ref="D6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31" s="2">
        <f t="shared" ca="1" si="109"/>
        <v>30.011341118420965</v>
      </c>
      <c r="F631" s="4" t="str" cm="1">
        <f t="array" aca="1" ref="F6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31" s="2">
        <f t="shared" ca="1" si="110"/>
        <v>40.00710977035375</v>
      </c>
      <c r="H631" s="47" t="str" cm="1">
        <f t="array" aca="1" ref="H6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32" spans="1:8" x14ac:dyDescent="0.25">
      <c r="A632" s="2">
        <f t="shared" ca="1" si="107"/>
        <v>3.004354242083688</v>
      </c>
      <c r="B632" s="4" cm="1">
        <f t="array" aca="1" ref="B6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632" s="2">
        <f t="shared" ca="1" si="108"/>
        <v>3.013509968654847</v>
      </c>
      <c r="D632" s="4" t="str" cm="1">
        <f t="array" aca="1" ref="D6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32" s="2">
        <f t="shared" ca="1" si="109"/>
        <v>30.003107526625037</v>
      </c>
      <c r="F632" s="4" t="str" cm="1">
        <f t="array" aca="1" ref="F6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32" s="2">
        <f t="shared" ca="1" si="110"/>
        <v>40.00935699381305</v>
      </c>
      <c r="H632" s="47" t="str" cm="1">
        <f t="array" aca="1" ref="H6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33" spans="1:8" x14ac:dyDescent="0.25">
      <c r="A633" s="2">
        <f t="shared" ca="1" si="107"/>
        <v>3.008400461262875</v>
      </c>
      <c r="B633" s="4" cm="1">
        <f t="array" aca="1" ref="B6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633" s="2">
        <f t="shared" ca="1" si="108"/>
        <v>3.020912696954928</v>
      </c>
      <c r="D633" s="4" t="str" cm="1">
        <f t="array" aca="1" ref="D6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33" s="2">
        <f t="shared" ca="1" si="109"/>
        <v>30.000516617485818</v>
      </c>
      <c r="F633" s="4" t="str" cm="1">
        <f t="array" aca="1" ref="F6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33" s="2">
        <f t="shared" ca="1" si="110"/>
        <v>40.014643064873468</v>
      </c>
      <c r="H633" s="47" t="str" cm="1">
        <f t="array" aca="1" ref="H6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34" spans="1:8" x14ac:dyDescent="0.25">
      <c r="A634" s="2">
        <f t="shared" ca="1" si="107"/>
        <v>3.0080820496033027</v>
      </c>
      <c r="B634" s="4" cm="1">
        <f t="array" aca="1" ref="B6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634" s="2">
        <f t="shared" ca="1" si="108"/>
        <v>3.0151789644307181</v>
      </c>
      <c r="D634" s="4" t="str" cm="1">
        <f t="array" aca="1" ref="D6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34" s="2">
        <f t="shared" ca="1" si="109"/>
        <v>30.010150898576185</v>
      </c>
      <c r="F634" s="4" t="str" cm="1">
        <f t="array" aca="1" ref="F6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34" s="2">
        <f t="shared" ca="1" si="110"/>
        <v>40.022342257649733</v>
      </c>
      <c r="H634" s="47" t="str" cm="1">
        <f t="array" aca="1" ref="H6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35" spans="1:8" x14ac:dyDescent="0.25">
      <c r="A635" s="2">
        <f t="shared" ca="1" si="107"/>
        <v>3.0072938920579673</v>
      </c>
      <c r="B635" s="4" cm="1">
        <f t="array" aca="1" ref="B6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635" s="2">
        <f t="shared" ca="1" si="108"/>
        <v>3.0245433907513743</v>
      </c>
      <c r="D635" s="4" t="str" cm="1">
        <f t="array" aca="1" ref="D6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35" s="2">
        <f t="shared" ca="1" si="109"/>
        <v>30.009505481840659</v>
      </c>
      <c r="F635" s="4" t="str" cm="1">
        <f t="array" aca="1" ref="F6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35" s="2">
        <f t="shared" ca="1" si="110"/>
        <v>40.003168551871084</v>
      </c>
      <c r="H635" s="47" t="str" cm="1">
        <f t="array" aca="1" ref="H6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36" spans="1:8" x14ac:dyDescent="0.25">
      <c r="A636" s="2">
        <f t="shared" ca="1" si="107"/>
        <v>3.002574006129803</v>
      </c>
      <c r="B636" s="4" cm="1">
        <f t="array" aca="1" ref="B6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636" s="2">
        <f t="shared" ca="1" si="108"/>
        <v>3.0002927044316952</v>
      </c>
      <c r="D636" s="4" t="str" cm="1">
        <f t="array" aca="1" ref="D6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36" s="2">
        <f t="shared" ca="1" si="109"/>
        <v>30.017329730203471</v>
      </c>
      <c r="F636" s="4" t="str" cm="1">
        <f t="array" aca="1" ref="F6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36" s="2">
        <f t="shared" ca="1" si="110"/>
        <v>40.012859220132803</v>
      </c>
      <c r="H636" s="47" t="str" cm="1">
        <f t="array" aca="1" ref="H6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37" spans="1:8" x14ac:dyDescent="0.25">
      <c r="A637" s="2">
        <f t="shared" ca="1" si="107"/>
        <v>3.0096715180530667</v>
      </c>
      <c r="B637" s="4" cm="1">
        <f t="array" aca="1" ref="B6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637" s="2">
        <f t="shared" ca="1" si="108"/>
        <v>3.0091000756142257</v>
      </c>
      <c r="D637" s="4" t="str" cm="1">
        <f t="array" aca="1" ref="D6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37" s="2">
        <f t="shared" ca="1" si="109"/>
        <v>30.016905337207255</v>
      </c>
      <c r="F637" s="4" t="str" cm="1">
        <f t="array" aca="1" ref="F6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37" s="2">
        <f t="shared" ca="1" si="110"/>
        <v>40.02685015346524</v>
      </c>
      <c r="H637" s="47" t="str" cm="1">
        <f t="array" aca="1" ref="H6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38" spans="1:8" x14ac:dyDescent="0.25">
      <c r="A638" s="2">
        <f t="shared" ca="1" si="107"/>
        <v>3.0066223584781793</v>
      </c>
      <c r="B638" s="4" cm="1">
        <f t="array" aca="1" ref="B6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638" s="2">
        <f t="shared" ca="1" si="108"/>
        <v>3.0084185305525164</v>
      </c>
      <c r="D638" s="4" t="str" cm="1">
        <f t="array" aca="1" ref="D6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38" s="2">
        <f t="shared" ca="1" si="109"/>
        <v>30.014809395911865</v>
      </c>
      <c r="F638" s="4" t="str" cm="1">
        <f t="array" aca="1" ref="F6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38" s="2">
        <f t="shared" ca="1" si="110"/>
        <v>40.014241515663997</v>
      </c>
      <c r="H638" s="47" t="str" cm="1">
        <f t="array" aca="1" ref="H6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39" spans="1:8" x14ac:dyDescent="0.25">
      <c r="A639" s="2">
        <f t="shared" ca="1" si="107"/>
        <v>3.009949140777596</v>
      </c>
      <c r="B639" s="4" cm="1">
        <f t="array" aca="1" ref="B6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639" s="2">
        <f t="shared" ca="1" si="108"/>
        <v>3.0021600826700996</v>
      </c>
      <c r="D639" s="4" t="str" cm="1">
        <f t="array" aca="1" ref="D6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39" s="2">
        <f t="shared" ca="1" si="109"/>
        <v>30.01855364029387</v>
      </c>
      <c r="F639" s="4" t="str" cm="1">
        <f t="array" aca="1" ref="F6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39" s="2">
        <f t="shared" ca="1" si="110"/>
        <v>40.011295446123334</v>
      </c>
      <c r="H639" s="47" t="str" cm="1">
        <f t="array" aca="1" ref="H6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40" spans="1:8" x14ac:dyDescent="0.25">
      <c r="A640" s="2">
        <f t="shared" ca="1" si="107"/>
        <v>3.0033840160507603</v>
      </c>
      <c r="B640" s="4" cm="1">
        <f t="array" aca="1" ref="B6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640" s="2">
        <f t="shared" ca="1" si="108"/>
        <v>3.0152783583431857</v>
      </c>
      <c r="D640" s="4" t="str" cm="1">
        <f t="array" aca="1" ref="D6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40" s="2">
        <f t="shared" ca="1" si="109"/>
        <v>30.01802210705852</v>
      </c>
      <c r="F640" s="4" t="str" cm="1">
        <f t="array" aca="1" ref="F6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40" s="2">
        <f t="shared" ca="1" si="110"/>
        <v>40.005241854966982</v>
      </c>
      <c r="H640" s="47" t="str" cm="1">
        <f t="array" aca="1" ref="H6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41" spans="1:8" x14ac:dyDescent="0.25">
      <c r="A641" s="2">
        <f t="shared" ca="1" si="107"/>
        <v>3.0018001513354409</v>
      </c>
      <c r="B641" s="4" cm="1">
        <f t="array" aca="1" ref="B6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641" s="2">
        <f t="shared" ca="1" si="108"/>
        <v>3.0024370045031992</v>
      </c>
      <c r="D641" s="4" t="str" cm="1">
        <f t="array" aca="1" ref="D6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41" s="2">
        <f t="shared" ca="1" si="109"/>
        <v>30.022957379642762</v>
      </c>
      <c r="F641" s="4" t="str" cm="1">
        <f t="array" aca="1" ref="F6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41" s="2">
        <f t="shared" ca="1" si="110"/>
        <v>40.024018375324054</v>
      </c>
      <c r="H641" s="47" t="str" cm="1">
        <f t="array" aca="1" ref="H6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42" spans="1:8" x14ac:dyDescent="0.25">
      <c r="A642" s="2">
        <f t="shared" ref="A642:A705" ca="1" si="111">3+RAND()*0.01</f>
        <v>3.0064045722560366</v>
      </c>
      <c r="B642" s="4" cm="1">
        <f t="array" aca="1" ref="B6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642" s="2">
        <f t="shared" ref="C642:C705" ca="1" si="112">3+RAND()*0.03</f>
        <v>3.02604081584651</v>
      </c>
      <c r="D642" s="4" t="str" cm="1">
        <f t="array" aca="1" ref="D6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42" s="2">
        <f t="shared" ref="E642:E705" ca="1" si="113">30+RAND()*0.03</f>
        <v>30.008720785233542</v>
      </c>
      <c r="F642" s="4" t="str" cm="1">
        <f t="array" aca="1" ref="F6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42" s="2">
        <f t="shared" ref="G642:G705" ca="1" si="114">40+RAND()*0.03</f>
        <v>40.02198865080296</v>
      </c>
      <c r="H642" s="47" t="str" cm="1">
        <f t="array" aca="1" ref="H6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43" spans="1:8" x14ac:dyDescent="0.25">
      <c r="A643" s="2">
        <f t="shared" ca="1" si="111"/>
        <v>3.0016486260077047</v>
      </c>
      <c r="B643" s="4" cm="1">
        <f t="array" aca="1" ref="B6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643" s="2">
        <f t="shared" ca="1" si="112"/>
        <v>3.0187568108260843</v>
      </c>
      <c r="D643" s="4" t="str" cm="1">
        <f t="array" aca="1" ref="D6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43" s="2">
        <f t="shared" ca="1" si="113"/>
        <v>30.000504479127368</v>
      </c>
      <c r="F643" s="4" t="str" cm="1">
        <f t="array" aca="1" ref="F6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43" s="2">
        <f t="shared" ca="1" si="114"/>
        <v>40.008838302808662</v>
      </c>
      <c r="H643" s="47" t="str" cm="1">
        <f t="array" aca="1" ref="H6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44" spans="1:8" x14ac:dyDescent="0.25">
      <c r="A644" s="2">
        <f t="shared" ca="1" si="111"/>
        <v>3.0062902549694241</v>
      </c>
      <c r="B644" s="4" cm="1">
        <f t="array" aca="1" ref="B6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644" s="2">
        <f t="shared" ca="1" si="112"/>
        <v>3.0046969043346432</v>
      </c>
      <c r="D644" s="4" t="str" cm="1">
        <f t="array" aca="1" ref="D6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44" s="2">
        <f t="shared" ca="1" si="113"/>
        <v>30.007642128507872</v>
      </c>
      <c r="F644" s="4" t="str" cm="1">
        <f t="array" aca="1" ref="F6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44" s="2">
        <f t="shared" ca="1" si="114"/>
        <v>40.016079259508139</v>
      </c>
      <c r="H644" s="47" t="str" cm="1">
        <f t="array" aca="1" ref="H6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45" spans="1:8" x14ac:dyDescent="0.25">
      <c r="A645" s="2">
        <f t="shared" ca="1" si="111"/>
        <v>3.0068471492006479</v>
      </c>
      <c r="B645" s="4" cm="1">
        <f t="array" aca="1" ref="B6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645" s="2">
        <f t="shared" ca="1" si="112"/>
        <v>3.0204991327421591</v>
      </c>
      <c r="D645" s="4" t="str" cm="1">
        <f t="array" aca="1" ref="D6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45" s="2">
        <f t="shared" ca="1" si="113"/>
        <v>30.029847758425447</v>
      </c>
      <c r="F645" s="4" t="str" cm="1">
        <f t="array" aca="1" ref="F6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45" s="2">
        <f t="shared" ca="1" si="114"/>
        <v>40.019060920122911</v>
      </c>
      <c r="H645" s="47" t="str" cm="1">
        <f t="array" aca="1" ref="H6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46" spans="1:8" x14ac:dyDescent="0.25">
      <c r="A646" s="2">
        <f t="shared" ca="1" si="111"/>
        <v>3.0075310103061299</v>
      </c>
      <c r="B646" s="4" cm="1">
        <f t="array" aca="1" ref="B6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646" s="2">
        <f t="shared" ca="1" si="112"/>
        <v>3.0127747382529271</v>
      </c>
      <c r="D646" s="4" t="str" cm="1">
        <f t="array" aca="1" ref="D6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46" s="2">
        <f t="shared" ca="1" si="113"/>
        <v>30.016894505370374</v>
      </c>
      <c r="F646" s="4" t="str" cm="1">
        <f t="array" aca="1" ref="F6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46" s="2">
        <f t="shared" ca="1" si="114"/>
        <v>40.025087291842006</v>
      </c>
      <c r="H646" s="47" t="str" cm="1">
        <f t="array" aca="1" ref="H6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47" spans="1:8" x14ac:dyDescent="0.25">
      <c r="A647" s="2">
        <f t="shared" ca="1" si="111"/>
        <v>3.0029006439621626</v>
      </c>
      <c r="B647" s="4" cm="1">
        <f t="array" aca="1" ref="B6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647" s="2">
        <f t="shared" ca="1" si="112"/>
        <v>3.0092054332149849</v>
      </c>
      <c r="D647" s="4" t="str" cm="1">
        <f t="array" aca="1" ref="D6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47" s="2">
        <f t="shared" ca="1" si="113"/>
        <v>30.010884984391499</v>
      </c>
      <c r="F647" s="4" t="str" cm="1">
        <f t="array" aca="1" ref="F6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47" s="2">
        <f t="shared" ca="1" si="114"/>
        <v>40.008438200219835</v>
      </c>
      <c r="H647" s="47" t="str" cm="1">
        <f t="array" aca="1" ref="H6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48" spans="1:8" x14ac:dyDescent="0.25">
      <c r="A648" s="2">
        <f t="shared" ca="1" si="111"/>
        <v>3.0066387754349315</v>
      </c>
      <c r="B648" s="4" cm="1">
        <f t="array" aca="1" ref="B6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648" s="2">
        <f t="shared" ca="1" si="112"/>
        <v>3.0006162377984431</v>
      </c>
      <c r="D648" s="4" t="str" cm="1">
        <f t="array" aca="1" ref="D6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48" s="2">
        <f t="shared" ca="1" si="113"/>
        <v>30.024675476749046</v>
      </c>
      <c r="F648" s="4" t="str" cm="1">
        <f t="array" aca="1" ref="F6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48" s="2">
        <f t="shared" ca="1" si="114"/>
        <v>40.00132350441929</v>
      </c>
      <c r="H648" s="47" t="str" cm="1">
        <f t="array" aca="1" ref="H6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49" spans="1:8" x14ac:dyDescent="0.25">
      <c r="A649" s="2">
        <f t="shared" ca="1" si="111"/>
        <v>3.0069210340037751</v>
      </c>
      <c r="B649" s="4" cm="1">
        <f t="array" aca="1" ref="B6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649" s="2">
        <f t="shared" ca="1" si="112"/>
        <v>3.0298828703935263</v>
      </c>
      <c r="D649" s="4" t="str" cm="1">
        <f t="array" aca="1" ref="D6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49" s="2">
        <f t="shared" ca="1" si="113"/>
        <v>30.022854866826957</v>
      </c>
      <c r="F649" s="4" t="str" cm="1">
        <f t="array" aca="1" ref="F6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49" s="2">
        <f t="shared" ca="1" si="114"/>
        <v>40.002611480085427</v>
      </c>
      <c r="H649" s="47" t="str" cm="1">
        <f t="array" aca="1" ref="H6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50" spans="1:8" x14ac:dyDescent="0.25">
      <c r="A650" s="2">
        <f t="shared" ca="1" si="111"/>
        <v>3.0008197412864428</v>
      </c>
      <c r="B650" s="4" cm="1">
        <f t="array" aca="1" ref="B6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650" s="2">
        <f t="shared" ca="1" si="112"/>
        <v>3.0203253744671894</v>
      </c>
      <c r="D650" s="4" t="str" cm="1">
        <f t="array" aca="1" ref="D6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50" s="2">
        <f t="shared" ca="1" si="113"/>
        <v>30.022793362528294</v>
      </c>
      <c r="F650" s="4" t="str" cm="1">
        <f t="array" aca="1" ref="F6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50" s="2">
        <f t="shared" ca="1" si="114"/>
        <v>40.004168035432869</v>
      </c>
      <c r="H650" s="47" t="str" cm="1">
        <f t="array" aca="1" ref="H6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51" spans="1:8" x14ac:dyDescent="0.25">
      <c r="A651" s="2">
        <f t="shared" ca="1" si="111"/>
        <v>3.0009500479688627</v>
      </c>
      <c r="B651" s="4" cm="1">
        <f t="array" aca="1" ref="B6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651" s="2">
        <f t="shared" ca="1" si="112"/>
        <v>3.0169869466459782</v>
      </c>
      <c r="D651" s="4" t="str" cm="1">
        <f t="array" aca="1" ref="D6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51" s="2">
        <f t="shared" ca="1" si="113"/>
        <v>30.018036474767293</v>
      </c>
      <c r="F651" s="4" t="str" cm="1">
        <f t="array" aca="1" ref="F6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51" s="2">
        <f t="shared" ca="1" si="114"/>
        <v>40.023937386627978</v>
      </c>
      <c r="H651" s="47" t="str" cm="1">
        <f t="array" aca="1" ref="H6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52" spans="1:8" x14ac:dyDescent="0.25">
      <c r="A652" s="2">
        <f t="shared" ca="1" si="111"/>
        <v>3.0010149283997962</v>
      </c>
      <c r="B652" s="4" cm="1">
        <f t="array" aca="1" ref="B6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652" s="2">
        <f t="shared" ca="1" si="112"/>
        <v>3.0006363539359189</v>
      </c>
      <c r="D652" s="4" t="str" cm="1">
        <f t="array" aca="1" ref="D6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52" s="2">
        <f t="shared" ca="1" si="113"/>
        <v>30.02660277262185</v>
      </c>
      <c r="F652" s="4" t="str" cm="1">
        <f t="array" aca="1" ref="F6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52" s="2">
        <f t="shared" ca="1" si="114"/>
        <v>40.009293887753103</v>
      </c>
      <c r="H652" s="47" t="str" cm="1">
        <f t="array" aca="1" ref="H6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53" spans="1:8" x14ac:dyDescent="0.25">
      <c r="A653" s="2">
        <f t="shared" ca="1" si="111"/>
        <v>3.0052145606272438</v>
      </c>
      <c r="B653" s="4" cm="1">
        <f t="array" aca="1" ref="B6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653" s="2">
        <f t="shared" ca="1" si="112"/>
        <v>3.0040559289583531</v>
      </c>
      <c r="D653" s="4" t="str" cm="1">
        <f t="array" aca="1" ref="D6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53" s="2">
        <f t="shared" ca="1" si="113"/>
        <v>30.019621014732518</v>
      </c>
      <c r="F653" s="4" t="str" cm="1">
        <f t="array" aca="1" ref="F6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53" s="2">
        <f t="shared" ca="1" si="114"/>
        <v>40.023319448664807</v>
      </c>
      <c r="H653" s="47" t="str" cm="1">
        <f t="array" aca="1" ref="H6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54" spans="1:8" x14ac:dyDescent="0.25">
      <c r="A654" s="2">
        <f t="shared" ca="1" si="111"/>
        <v>3.00741468063599</v>
      </c>
      <c r="B654" s="4" cm="1">
        <f t="array" aca="1" ref="B6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654" s="2">
        <f t="shared" ca="1" si="112"/>
        <v>3.0173462163697957</v>
      </c>
      <c r="D654" s="4" t="str" cm="1">
        <f t="array" aca="1" ref="D6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54" s="2">
        <f t="shared" ca="1" si="113"/>
        <v>30.017460023560343</v>
      </c>
      <c r="F654" s="4" t="str" cm="1">
        <f t="array" aca="1" ref="F6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54" s="2">
        <f t="shared" ca="1" si="114"/>
        <v>40.019881156618048</v>
      </c>
      <c r="H654" s="47" t="str" cm="1">
        <f t="array" aca="1" ref="H6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55" spans="1:8" x14ac:dyDescent="0.25">
      <c r="A655" s="2">
        <f t="shared" ca="1" si="111"/>
        <v>3.0044416257112396</v>
      </c>
      <c r="B655" s="4" cm="1">
        <f t="array" aca="1" ref="B6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655" s="2">
        <f t="shared" ca="1" si="112"/>
        <v>3.0161275653951587</v>
      </c>
      <c r="D655" s="4" t="str" cm="1">
        <f t="array" aca="1" ref="D6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55" s="2">
        <f t="shared" ca="1" si="113"/>
        <v>30.015930340981875</v>
      </c>
      <c r="F655" s="4" t="str" cm="1">
        <f t="array" aca="1" ref="F6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55" s="2">
        <f t="shared" ca="1" si="114"/>
        <v>40.020250219821435</v>
      </c>
      <c r="H655" s="47" t="str" cm="1">
        <f t="array" aca="1" ref="H6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56" spans="1:8" x14ac:dyDescent="0.25">
      <c r="A656" s="2">
        <f t="shared" ca="1" si="111"/>
        <v>3.0025019207248445</v>
      </c>
      <c r="B656" s="4" cm="1">
        <f t="array" aca="1" ref="B6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656" s="2">
        <f t="shared" ca="1" si="112"/>
        <v>3.0110686023948259</v>
      </c>
      <c r="D656" s="4" t="str" cm="1">
        <f t="array" aca="1" ref="D6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56" s="2">
        <f t="shared" ca="1" si="113"/>
        <v>30.027019549935517</v>
      </c>
      <c r="F656" s="4" t="str" cm="1">
        <f t="array" aca="1" ref="F6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56" s="2">
        <f t="shared" ca="1" si="114"/>
        <v>40.007027751564188</v>
      </c>
      <c r="H656" s="47" t="str" cm="1">
        <f t="array" aca="1" ref="H6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57" spans="1:8" x14ac:dyDescent="0.25">
      <c r="A657" s="2">
        <f t="shared" ca="1" si="111"/>
        <v>3.0085273289963443</v>
      </c>
      <c r="B657" s="4" cm="1">
        <f t="array" aca="1" ref="B6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657" s="2">
        <f t="shared" ca="1" si="112"/>
        <v>3.0070797168948333</v>
      </c>
      <c r="D657" s="4" t="str" cm="1">
        <f t="array" aca="1" ref="D6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57" s="2">
        <f t="shared" ca="1" si="113"/>
        <v>30.017139079594578</v>
      </c>
      <c r="F657" s="4" t="str" cm="1">
        <f t="array" aca="1" ref="F6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57" s="2">
        <f t="shared" ca="1" si="114"/>
        <v>40.019341441495008</v>
      </c>
      <c r="H657" s="47" t="str" cm="1">
        <f t="array" aca="1" ref="H6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58" spans="1:8" x14ac:dyDescent="0.25">
      <c r="A658" s="2">
        <f t="shared" ca="1" si="111"/>
        <v>3.0043054031017298</v>
      </c>
      <c r="B658" s="4" cm="1">
        <f t="array" aca="1" ref="B6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658" s="2">
        <f t="shared" ca="1" si="112"/>
        <v>3.0037434598578563</v>
      </c>
      <c r="D658" s="4" t="str" cm="1">
        <f t="array" aca="1" ref="D6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58" s="2">
        <f t="shared" ca="1" si="113"/>
        <v>30.029918977286965</v>
      </c>
      <c r="F658" s="4" t="str" cm="1">
        <f t="array" aca="1" ref="F6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58" s="2">
        <f t="shared" ca="1" si="114"/>
        <v>40.004929339739377</v>
      </c>
      <c r="H658" s="47" t="str" cm="1">
        <f t="array" aca="1" ref="H6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59" spans="1:8" x14ac:dyDescent="0.25">
      <c r="A659" s="2">
        <f t="shared" ca="1" si="111"/>
        <v>3.0038835821247365</v>
      </c>
      <c r="B659" s="4" cm="1">
        <f t="array" aca="1" ref="B6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659" s="2">
        <f t="shared" ca="1" si="112"/>
        <v>3.0293912326667138</v>
      </c>
      <c r="D659" s="4" t="str" cm="1">
        <f t="array" aca="1" ref="D6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59" s="2">
        <f t="shared" ca="1" si="113"/>
        <v>30.005588192676864</v>
      </c>
      <c r="F659" s="4" t="str" cm="1">
        <f t="array" aca="1" ref="F6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59" s="2">
        <f t="shared" ca="1" si="114"/>
        <v>40.001368481784326</v>
      </c>
      <c r="H659" s="47" t="str" cm="1">
        <f t="array" aca="1" ref="H6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60" spans="1:8" x14ac:dyDescent="0.25">
      <c r="A660" s="2">
        <f t="shared" ca="1" si="111"/>
        <v>3.0024204594256427</v>
      </c>
      <c r="B660" s="4" cm="1">
        <f t="array" aca="1" ref="B6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660" s="2">
        <f t="shared" ca="1" si="112"/>
        <v>3.0084569467544999</v>
      </c>
      <c r="D660" s="4" t="str" cm="1">
        <f t="array" aca="1" ref="D6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60" s="2">
        <f t="shared" ca="1" si="113"/>
        <v>30.010960494337791</v>
      </c>
      <c r="F660" s="4" t="str" cm="1">
        <f t="array" aca="1" ref="F6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60" s="2">
        <f t="shared" ca="1" si="114"/>
        <v>40.001415616640742</v>
      </c>
      <c r="H660" s="47" t="str" cm="1">
        <f t="array" aca="1" ref="H6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61" spans="1:8" x14ac:dyDescent="0.25">
      <c r="A661" s="2">
        <f t="shared" ca="1" si="111"/>
        <v>3.0050689290495494</v>
      </c>
      <c r="B661" s="4" cm="1">
        <f t="array" aca="1" ref="B6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661" s="2">
        <f t="shared" ca="1" si="112"/>
        <v>3.0048744581011455</v>
      </c>
      <c r="D661" s="4" t="str" cm="1">
        <f t="array" aca="1" ref="D6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61" s="2">
        <f t="shared" ca="1" si="113"/>
        <v>30.021673079103273</v>
      </c>
      <c r="F661" s="4" t="str" cm="1">
        <f t="array" aca="1" ref="F6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61" s="2">
        <f t="shared" ca="1" si="114"/>
        <v>40.018716701547326</v>
      </c>
      <c r="H661" s="47" t="str" cm="1">
        <f t="array" aca="1" ref="H6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62" spans="1:8" x14ac:dyDescent="0.25">
      <c r="A662" s="2">
        <f t="shared" ca="1" si="111"/>
        <v>3.0044274699298645</v>
      </c>
      <c r="B662" s="4" cm="1">
        <f t="array" aca="1" ref="B6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662" s="2">
        <f t="shared" ca="1" si="112"/>
        <v>3.0148332847409982</v>
      </c>
      <c r="D662" s="4" t="str" cm="1">
        <f t="array" aca="1" ref="D6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62" s="2">
        <f t="shared" ca="1" si="113"/>
        <v>30.016950109003439</v>
      </c>
      <c r="F662" s="4" t="str" cm="1">
        <f t="array" aca="1" ref="F6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62" s="2">
        <f t="shared" ca="1" si="114"/>
        <v>40.017421220970263</v>
      </c>
      <c r="H662" s="47" t="str" cm="1">
        <f t="array" aca="1" ref="H6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63" spans="1:8" x14ac:dyDescent="0.25">
      <c r="A663" s="2">
        <f t="shared" ca="1" si="111"/>
        <v>3.0064303263672469</v>
      </c>
      <c r="B663" s="4" cm="1">
        <f t="array" aca="1" ref="B6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663" s="2">
        <f t="shared" ca="1" si="112"/>
        <v>3.0242215223451563</v>
      </c>
      <c r="D663" s="4" t="str" cm="1">
        <f t="array" aca="1" ref="D6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63" s="2">
        <f t="shared" ca="1" si="113"/>
        <v>30.007300274226974</v>
      </c>
      <c r="F663" s="4" t="str" cm="1">
        <f t="array" aca="1" ref="F6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63" s="2">
        <f t="shared" ca="1" si="114"/>
        <v>40.013099042432259</v>
      </c>
      <c r="H663" s="47" t="str" cm="1">
        <f t="array" aca="1" ref="H6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64" spans="1:8" x14ac:dyDescent="0.25">
      <c r="A664" s="2">
        <f t="shared" ca="1" si="111"/>
        <v>3.0090794152413052</v>
      </c>
      <c r="B664" s="4" cm="1">
        <f t="array" aca="1" ref="B6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664" s="2">
        <f t="shared" ca="1" si="112"/>
        <v>3.0124184221277353</v>
      </c>
      <c r="D664" s="4" t="str" cm="1">
        <f t="array" aca="1" ref="D6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64" s="2">
        <f t="shared" ca="1" si="113"/>
        <v>30.021219530348546</v>
      </c>
      <c r="F664" s="4" t="str" cm="1">
        <f t="array" aca="1" ref="F6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64" s="2">
        <f t="shared" ca="1" si="114"/>
        <v>40.019309536343634</v>
      </c>
      <c r="H664" s="47" t="str" cm="1">
        <f t="array" aca="1" ref="H6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65" spans="1:8" x14ac:dyDescent="0.25">
      <c r="A665" s="2">
        <f t="shared" ca="1" si="111"/>
        <v>3.0080484962605194</v>
      </c>
      <c r="B665" s="4" cm="1">
        <f t="array" aca="1" ref="B6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665" s="2">
        <f t="shared" ca="1" si="112"/>
        <v>3.0072195414605121</v>
      </c>
      <c r="D665" s="4" t="str" cm="1">
        <f t="array" aca="1" ref="D6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65" s="2">
        <f t="shared" ca="1" si="113"/>
        <v>30.01328983663948</v>
      </c>
      <c r="F665" s="4" t="str" cm="1">
        <f t="array" aca="1" ref="F6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65" s="2">
        <f t="shared" ca="1" si="114"/>
        <v>40.01063154601119</v>
      </c>
      <c r="H665" s="47" t="str" cm="1">
        <f t="array" aca="1" ref="H6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66" spans="1:8" x14ac:dyDescent="0.25">
      <c r="A666" s="2">
        <f t="shared" ca="1" si="111"/>
        <v>3.0032574176643361</v>
      </c>
      <c r="B666" s="4" cm="1">
        <f t="array" aca="1" ref="B6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666" s="2">
        <f t="shared" ca="1" si="112"/>
        <v>3.0128072723256469</v>
      </c>
      <c r="D666" s="4" t="str" cm="1">
        <f t="array" aca="1" ref="D6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66" s="2">
        <f t="shared" ca="1" si="113"/>
        <v>30.013720491157372</v>
      </c>
      <c r="F666" s="4" t="str" cm="1">
        <f t="array" aca="1" ref="F6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66" s="2">
        <f t="shared" ca="1" si="114"/>
        <v>40.005589602830163</v>
      </c>
      <c r="H666" s="47" t="str" cm="1">
        <f t="array" aca="1" ref="H6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67" spans="1:8" x14ac:dyDescent="0.25">
      <c r="A667" s="2">
        <f t="shared" ca="1" si="111"/>
        <v>3.0094458996546729</v>
      </c>
      <c r="B667" s="4" cm="1">
        <f t="array" aca="1" ref="B6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667" s="2">
        <f t="shared" ca="1" si="112"/>
        <v>3.0046064521742992</v>
      </c>
      <c r="D667" s="4" t="str" cm="1">
        <f t="array" aca="1" ref="D6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67" s="2">
        <f t="shared" ca="1" si="113"/>
        <v>30.004787720939042</v>
      </c>
      <c r="F667" s="4" t="str" cm="1">
        <f t="array" aca="1" ref="F6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67" s="2">
        <f t="shared" ca="1" si="114"/>
        <v>40.026659915174427</v>
      </c>
      <c r="H667" s="47" t="str" cm="1">
        <f t="array" aca="1" ref="H6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68" spans="1:8" x14ac:dyDescent="0.25">
      <c r="A668" s="2">
        <f t="shared" ca="1" si="111"/>
        <v>3.0062287951098772</v>
      </c>
      <c r="B668" s="4" cm="1">
        <f t="array" aca="1" ref="B6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668" s="2">
        <f t="shared" ca="1" si="112"/>
        <v>3.017760376875112</v>
      </c>
      <c r="D668" s="4" t="str" cm="1">
        <f t="array" aca="1" ref="D6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68" s="2">
        <f t="shared" ca="1" si="113"/>
        <v>30.022005957322342</v>
      </c>
      <c r="F668" s="4" t="str" cm="1">
        <f t="array" aca="1" ref="F6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68" s="2">
        <f t="shared" ca="1" si="114"/>
        <v>40.008559230569979</v>
      </c>
      <c r="H668" s="47" t="str" cm="1">
        <f t="array" aca="1" ref="H6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69" spans="1:8" x14ac:dyDescent="0.25">
      <c r="A669" s="2">
        <f t="shared" ca="1" si="111"/>
        <v>3.0085083805136503</v>
      </c>
      <c r="B669" s="4" cm="1">
        <f t="array" aca="1" ref="B6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669" s="2">
        <f t="shared" ca="1" si="112"/>
        <v>3.0025429025582082</v>
      </c>
      <c r="D669" s="4" t="str" cm="1">
        <f t="array" aca="1" ref="D6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69" s="2">
        <f t="shared" ca="1" si="113"/>
        <v>30.025159494501988</v>
      </c>
      <c r="F669" s="4" t="str" cm="1">
        <f t="array" aca="1" ref="F6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69" s="2">
        <f t="shared" ca="1" si="114"/>
        <v>40.004146997654601</v>
      </c>
      <c r="H669" s="47" t="str" cm="1">
        <f t="array" aca="1" ref="H6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70" spans="1:8" x14ac:dyDescent="0.25">
      <c r="A670" s="2">
        <f t="shared" ca="1" si="111"/>
        <v>3.0095618336270973</v>
      </c>
      <c r="B670" s="4" cm="1">
        <f t="array" aca="1" ref="B6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670" s="2">
        <f t="shared" ca="1" si="112"/>
        <v>3.0299278538490655</v>
      </c>
      <c r="D670" s="4" t="str" cm="1">
        <f t="array" aca="1" ref="D6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70" s="2">
        <f t="shared" ca="1" si="113"/>
        <v>30.023076786898123</v>
      </c>
      <c r="F670" s="4" t="str" cm="1">
        <f t="array" aca="1" ref="F6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70" s="2">
        <f t="shared" ca="1" si="114"/>
        <v>40.021056801214101</v>
      </c>
      <c r="H670" s="47" t="str" cm="1">
        <f t="array" aca="1" ref="H6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71" spans="1:8" x14ac:dyDescent="0.25">
      <c r="A671" s="2">
        <f t="shared" ca="1" si="111"/>
        <v>3.0048914728476088</v>
      </c>
      <c r="B671" s="4" cm="1">
        <f t="array" aca="1" ref="B6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671" s="2">
        <f t="shared" ca="1" si="112"/>
        <v>3.0261365677271512</v>
      </c>
      <c r="D671" s="4" t="str" cm="1">
        <f t="array" aca="1" ref="D6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71" s="2">
        <f t="shared" ca="1" si="113"/>
        <v>30.025050878351777</v>
      </c>
      <c r="F671" s="4" t="str" cm="1">
        <f t="array" aca="1" ref="F6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71" s="2">
        <f t="shared" ca="1" si="114"/>
        <v>40.026594518139277</v>
      </c>
      <c r="H671" s="47" t="str" cm="1">
        <f t="array" aca="1" ref="H6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72" spans="1:8" x14ac:dyDescent="0.25">
      <c r="A672" s="2">
        <f t="shared" ca="1" si="111"/>
        <v>3.0019364113308811</v>
      </c>
      <c r="B672" s="4" cm="1">
        <f t="array" aca="1" ref="B6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672" s="2">
        <f t="shared" ca="1" si="112"/>
        <v>3.0085052854979626</v>
      </c>
      <c r="D672" s="4" t="str" cm="1">
        <f t="array" aca="1" ref="D6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72" s="2">
        <f t="shared" ca="1" si="113"/>
        <v>30.016752808852079</v>
      </c>
      <c r="F672" s="4" t="str" cm="1">
        <f t="array" aca="1" ref="F6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72" s="2">
        <f t="shared" ca="1" si="114"/>
        <v>40.013882688657482</v>
      </c>
      <c r="H672" s="47" t="str" cm="1">
        <f t="array" aca="1" ref="H6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73" spans="1:8" x14ac:dyDescent="0.25">
      <c r="A673" s="2">
        <f t="shared" ca="1" si="111"/>
        <v>3.0084255914691949</v>
      </c>
      <c r="B673" s="4" cm="1">
        <f t="array" aca="1" ref="B6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673" s="2">
        <f t="shared" ca="1" si="112"/>
        <v>3.026849908259043</v>
      </c>
      <c r="D673" s="4" t="str" cm="1">
        <f t="array" aca="1" ref="D6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73" s="2">
        <f t="shared" ca="1" si="113"/>
        <v>30.026277377777497</v>
      </c>
      <c r="F673" s="4" t="str" cm="1">
        <f t="array" aca="1" ref="F6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73" s="2">
        <f t="shared" ca="1" si="114"/>
        <v>40.013330683470343</v>
      </c>
      <c r="H673" s="47" t="str" cm="1">
        <f t="array" aca="1" ref="H6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74" spans="1:8" x14ac:dyDescent="0.25">
      <c r="A674" s="2">
        <f t="shared" ca="1" si="111"/>
        <v>3.0011863455945482</v>
      </c>
      <c r="B674" s="4" cm="1">
        <f t="array" aca="1" ref="B6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674" s="2">
        <f t="shared" ca="1" si="112"/>
        <v>3.019062246237497</v>
      </c>
      <c r="D674" s="4" t="str" cm="1">
        <f t="array" aca="1" ref="D6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74" s="2">
        <f t="shared" ca="1" si="113"/>
        <v>30.0053137154407</v>
      </c>
      <c r="F674" s="4" t="str" cm="1">
        <f t="array" aca="1" ref="F6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74" s="2">
        <f t="shared" ca="1" si="114"/>
        <v>40.009507822244466</v>
      </c>
      <c r="H674" s="47" t="str" cm="1">
        <f t="array" aca="1" ref="H6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75" spans="1:8" x14ac:dyDescent="0.25">
      <c r="A675" s="2">
        <f t="shared" ca="1" si="111"/>
        <v>3.0013336829021542</v>
      </c>
      <c r="B675" s="4" cm="1">
        <f t="array" aca="1" ref="B6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675" s="2">
        <f t="shared" ca="1" si="112"/>
        <v>3.0175025238953039</v>
      </c>
      <c r="D675" s="4" t="str" cm="1">
        <f t="array" aca="1" ref="D6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75" s="2">
        <f t="shared" ca="1" si="113"/>
        <v>30.025236468141902</v>
      </c>
      <c r="F675" s="4" t="str" cm="1">
        <f t="array" aca="1" ref="F6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75" s="2">
        <f t="shared" ca="1" si="114"/>
        <v>40.019655013415168</v>
      </c>
      <c r="H675" s="47" t="str" cm="1">
        <f t="array" aca="1" ref="H6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76" spans="1:8" x14ac:dyDescent="0.25">
      <c r="A676" s="2">
        <f t="shared" ca="1" si="111"/>
        <v>3.0005158660550948</v>
      </c>
      <c r="B676" s="4" cm="1">
        <f t="array" aca="1" ref="B6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676" s="2">
        <f t="shared" ca="1" si="112"/>
        <v>3.0077442322465044</v>
      </c>
      <c r="D676" s="4" t="str" cm="1">
        <f t="array" aca="1" ref="D6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76" s="2">
        <f t="shared" ca="1" si="113"/>
        <v>30.025809515975425</v>
      </c>
      <c r="F676" s="4" t="str" cm="1">
        <f t="array" aca="1" ref="F6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76" s="2">
        <f t="shared" ca="1" si="114"/>
        <v>40.026151048948726</v>
      </c>
      <c r="H676" s="47" t="str" cm="1">
        <f t="array" aca="1" ref="H6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77" spans="1:8" x14ac:dyDescent="0.25">
      <c r="A677" s="2">
        <f t="shared" ca="1" si="111"/>
        <v>3.0064124246645738</v>
      </c>
      <c r="B677" s="4" cm="1">
        <f t="array" aca="1" ref="B6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677" s="2">
        <f t="shared" ca="1" si="112"/>
        <v>3.026067041817706</v>
      </c>
      <c r="D677" s="4" t="str" cm="1">
        <f t="array" aca="1" ref="D6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77" s="2">
        <f t="shared" ca="1" si="113"/>
        <v>30.001565930237994</v>
      </c>
      <c r="F677" s="4" t="str" cm="1">
        <f t="array" aca="1" ref="F6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77" s="2">
        <f t="shared" ca="1" si="114"/>
        <v>40.007792655067561</v>
      </c>
      <c r="H677" s="47" t="str" cm="1">
        <f t="array" aca="1" ref="H6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78" spans="1:8" x14ac:dyDescent="0.25">
      <c r="A678" s="2">
        <f t="shared" ca="1" si="111"/>
        <v>3.0024990522993869</v>
      </c>
      <c r="B678" s="4" cm="1">
        <f t="array" aca="1" ref="B6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678" s="2">
        <f t="shared" ca="1" si="112"/>
        <v>3.0235659141566669</v>
      </c>
      <c r="D678" s="4" t="str" cm="1">
        <f t="array" aca="1" ref="D6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78" s="2">
        <f t="shared" ca="1" si="113"/>
        <v>30.022991946889398</v>
      </c>
      <c r="F678" s="4" t="str" cm="1">
        <f t="array" aca="1" ref="F6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78" s="2">
        <f t="shared" ca="1" si="114"/>
        <v>40.005321126800538</v>
      </c>
      <c r="H678" s="47" t="str" cm="1">
        <f t="array" aca="1" ref="H6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79" spans="1:8" x14ac:dyDescent="0.25">
      <c r="A679" s="2">
        <f t="shared" ca="1" si="111"/>
        <v>3.003415715621383</v>
      </c>
      <c r="B679" s="4" cm="1">
        <f t="array" aca="1" ref="B6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679" s="2">
        <f t="shared" ca="1" si="112"/>
        <v>3.0287986011360992</v>
      </c>
      <c r="D679" s="4" t="str" cm="1">
        <f t="array" aca="1" ref="D6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79" s="2">
        <f t="shared" ca="1" si="113"/>
        <v>30.024364673348174</v>
      </c>
      <c r="F679" s="4" t="str" cm="1">
        <f t="array" aca="1" ref="F6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79" s="2">
        <f t="shared" ca="1" si="114"/>
        <v>40.024773401002086</v>
      </c>
      <c r="H679" s="47" t="str" cm="1">
        <f t="array" aca="1" ref="H6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80" spans="1:8" x14ac:dyDescent="0.25">
      <c r="A680" s="2">
        <f t="shared" ca="1" si="111"/>
        <v>3.0014856935363614</v>
      </c>
      <c r="B680" s="4" cm="1">
        <f t="array" aca="1" ref="B6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680" s="2">
        <f t="shared" ca="1" si="112"/>
        <v>3.0146034374218305</v>
      </c>
      <c r="D680" s="4" t="str" cm="1">
        <f t="array" aca="1" ref="D6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80" s="2">
        <f t="shared" ca="1" si="113"/>
        <v>30.026471228059485</v>
      </c>
      <c r="F680" s="4" t="str" cm="1">
        <f t="array" aca="1" ref="F6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80" s="2">
        <f t="shared" ca="1" si="114"/>
        <v>40.015992013122137</v>
      </c>
      <c r="H680" s="47" t="str" cm="1">
        <f t="array" aca="1" ref="H6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81" spans="1:8" x14ac:dyDescent="0.25">
      <c r="A681" s="2">
        <f t="shared" ca="1" si="111"/>
        <v>3.0068463910302397</v>
      </c>
      <c r="B681" s="4" cm="1">
        <f t="array" aca="1" ref="B6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681" s="2">
        <f t="shared" ca="1" si="112"/>
        <v>3.0260090683844134</v>
      </c>
      <c r="D681" s="4" t="str" cm="1">
        <f t="array" aca="1" ref="D6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81" s="2">
        <f t="shared" ca="1" si="113"/>
        <v>30.014219007918484</v>
      </c>
      <c r="F681" s="4" t="str" cm="1">
        <f t="array" aca="1" ref="F6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81" s="2">
        <f t="shared" ca="1" si="114"/>
        <v>40.006874224232675</v>
      </c>
      <c r="H681" s="47" t="str" cm="1">
        <f t="array" aca="1" ref="H6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82" spans="1:8" x14ac:dyDescent="0.25">
      <c r="A682" s="2">
        <f t="shared" ca="1" si="111"/>
        <v>3.0025192585055671</v>
      </c>
      <c r="B682" s="4" cm="1">
        <f t="array" aca="1" ref="B6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682" s="2">
        <f t="shared" ca="1" si="112"/>
        <v>3.0153287599751155</v>
      </c>
      <c r="D682" s="4" t="str" cm="1">
        <f t="array" aca="1" ref="D6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82" s="2">
        <f t="shared" ca="1" si="113"/>
        <v>30.023200333042851</v>
      </c>
      <c r="F682" s="4" t="str" cm="1">
        <f t="array" aca="1" ref="F6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82" s="2">
        <f t="shared" ca="1" si="114"/>
        <v>40.005363083843974</v>
      </c>
      <c r="H682" s="47" t="str" cm="1">
        <f t="array" aca="1" ref="H6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83" spans="1:8" x14ac:dyDescent="0.25">
      <c r="A683" s="2">
        <f t="shared" ca="1" si="111"/>
        <v>3.0037552319049503</v>
      </c>
      <c r="B683" s="4" cm="1">
        <f t="array" aca="1" ref="B6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683" s="2">
        <f t="shared" ca="1" si="112"/>
        <v>3.0080652785837936</v>
      </c>
      <c r="D683" s="4" t="str" cm="1">
        <f t="array" aca="1" ref="D6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83" s="2">
        <f t="shared" ca="1" si="113"/>
        <v>30.010833194680515</v>
      </c>
      <c r="F683" s="4" t="str" cm="1">
        <f t="array" aca="1" ref="F6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83" s="2">
        <f t="shared" ca="1" si="114"/>
        <v>40.008443416333989</v>
      </c>
      <c r="H683" s="47" t="str" cm="1">
        <f t="array" aca="1" ref="H6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84" spans="1:8" x14ac:dyDescent="0.25">
      <c r="A684" s="2">
        <f t="shared" ca="1" si="111"/>
        <v>3.0093042809863992</v>
      </c>
      <c r="B684" s="4" cm="1">
        <f t="array" aca="1" ref="B6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684" s="2">
        <f t="shared" ca="1" si="112"/>
        <v>3.0040287251810205</v>
      </c>
      <c r="D684" s="4" t="str" cm="1">
        <f t="array" aca="1" ref="D6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84" s="2">
        <f t="shared" ca="1" si="113"/>
        <v>30.004625825296948</v>
      </c>
      <c r="F684" s="4" t="str" cm="1">
        <f t="array" aca="1" ref="F6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84" s="2">
        <f t="shared" ca="1" si="114"/>
        <v>40.014420374183224</v>
      </c>
      <c r="H684" s="47" t="str" cm="1">
        <f t="array" aca="1" ref="H6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85" spans="1:8" x14ac:dyDescent="0.25">
      <c r="A685" s="2">
        <f t="shared" ca="1" si="111"/>
        <v>3.0020128101962138</v>
      </c>
      <c r="B685" s="4" cm="1">
        <f t="array" aca="1" ref="B6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685" s="2">
        <f t="shared" ca="1" si="112"/>
        <v>3.0163093156162382</v>
      </c>
      <c r="D685" s="4" t="str" cm="1">
        <f t="array" aca="1" ref="D6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85" s="2">
        <f t="shared" ca="1" si="113"/>
        <v>30.019532352526987</v>
      </c>
      <c r="F685" s="4" t="str" cm="1">
        <f t="array" aca="1" ref="F6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85" s="2">
        <f t="shared" ca="1" si="114"/>
        <v>40.002296156298485</v>
      </c>
      <c r="H685" s="47" t="str" cm="1">
        <f t="array" aca="1" ref="H6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86" spans="1:8" x14ac:dyDescent="0.25">
      <c r="A686" s="2">
        <f t="shared" ca="1" si="111"/>
        <v>3.0065845364527992</v>
      </c>
      <c r="B686" s="4" cm="1">
        <f t="array" aca="1" ref="B6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686" s="2">
        <f t="shared" ca="1" si="112"/>
        <v>3.0196019040893587</v>
      </c>
      <c r="D686" s="4" t="str" cm="1">
        <f t="array" aca="1" ref="D6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86" s="2">
        <f t="shared" ca="1" si="113"/>
        <v>30.005481722411382</v>
      </c>
      <c r="F686" s="4" t="str" cm="1">
        <f t="array" aca="1" ref="F6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86" s="2">
        <f t="shared" ca="1" si="114"/>
        <v>40.026135076476663</v>
      </c>
      <c r="H686" s="47" t="str" cm="1">
        <f t="array" aca="1" ref="H6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87" spans="1:8" x14ac:dyDescent="0.25">
      <c r="A687" s="2">
        <f t="shared" ca="1" si="111"/>
        <v>3.0063068111096096</v>
      </c>
      <c r="B687" s="4" cm="1">
        <f t="array" aca="1" ref="B6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687" s="2">
        <f t="shared" ca="1" si="112"/>
        <v>3.0059799185797846</v>
      </c>
      <c r="D687" s="4" t="str" cm="1">
        <f t="array" aca="1" ref="D6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87" s="2">
        <f t="shared" ca="1" si="113"/>
        <v>30.003812681573436</v>
      </c>
      <c r="F687" s="4" t="str" cm="1">
        <f t="array" aca="1" ref="F6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87" s="2">
        <f t="shared" ca="1" si="114"/>
        <v>40.028811080527014</v>
      </c>
      <c r="H687" s="47" t="str" cm="1">
        <f t="array" aca="1" ref="H6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88" spans="1:8" x14ac:dyDescent="0.25">
      <c r="A688" s="2">
        <f t="shared" ca="1" si="111"/>
        <v>3.0030671388256009</v>
      </c>
      <c r="B688" s="4" cm="1">
        <f t="array" aca="1" ref="B6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688" s="2">
        <f t="shared" ca="1" si="112"/>
        <v>3.0271465240892894</v>
      </c>
      <c r="D688" s="4" t="str" cm="1">
        <f t="array" aca="1" ref="D6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88" s="2">
        <f t="shared" ca="1" si="113"/>
        <v>30.010089698699726</v>
      </c>
      <c r="F688" s="4" t="str" cm="1">
        <f t="array" aca="1" ref="F6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88" s="2">
        <f t="shared" ca="1" si="114"/>
        <v>40.007123043215188</v>
      </c>
      <c r="H688" s="47" t="str" cm="1">
        <f t="array" aca="1" ref="H6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89" spans="1:8" x14ac:dyDescent="0.25">
      <c r="A689" s="2">
        <f t="shared" ca="1" si="111"/>
        <v>3.009120587236402</v>
      </c>
      <c r="B689" s="4" cm="1">
        <f t="array" aca="1" ref="B6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689" s="2">
        <f t="shared" ca="1" si="112"/>
        <v>3.0038507183655994</v>
      </c>
      <c r="D689" s="4" t="str" cm="1">
        <f t="array" aca="1" ref="D6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89" s="2">
        <f t="shared" ca="1" si="113"/>
        <v>30.005678516760934</v>
      </c>
      <c r="F689" s="4" t="str" cm="1">
        <f t="array" aca="1" ref="F6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89" s="2">
        <f t="shared" ca="1" si="114"/>
        <v>40.008591996404036</v>
      </c>
      <c r="H689" s="47" t="str" cm="1">
        <f t="array" aca="1" ref="H6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90" spans="1:8" x14ac:dyDescent="0.25">
      <c r="A690" s="2">
        <f t="shared" ca="1" si="111"/>
        <v>3.0067597464351743</v>
      </c>
      <c r="B690" s="4" cm="1">
        <f t="array" aca="1" ref="B6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690" s="2">
        <f t="shared" ca="1" si="112"/>
        <v>3.0150238500667403</v>
      </c>
      <c r="D690" s="4" t="str" cm="1">
        <f t="array" aca="1" ref="D6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90" s="2">
        <f t="shared" ca="1" si="113"/>
        <v>30.026397938923015</v>
      </c>
      <c r="F690" s="4" t="str" cm="1">
        <f t="array" aca="1" ref="F6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90" s="2">
        <f t="shared" ca="1" si="114"/>
        <v>40.017861519176634</v>
      </c>
      <c r="H690" s="47" t="str" cm="1">
        <f t="array" aca="1" ref="H6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91" spans="1:8" x14ac:dyDescent="0.25">
      <c r="A691" s="2">
        <f t="shared" ca="1" si="111"/>
        <v>3.0064863807720665</v>
      </c>
      <c r="B691" s="4" cm="1">
        <f t="array" aca="1" ref="B6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691" s="2">
        <f t="shared" ca="1" si="112"/>
        <v>3.0264940529642823</v>
      </c>
      <c r="D691" s="4" t="str" cm="1">
        <f t="array" aca="1" ref="D6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91" s="2">
        <f t="shared" ca="1" si="113"/>
        <v>30.004394293065374</v>
      </c>
      <c r="F691" s="4" t="str" cm="1">
        <f t="array" aca="1" ref="F6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91" s="2">
        <f t="shared" ca="1" si="114"/>
        <v>40.001192894300125</v>
      </c>
      <c r="H691" s="47" t="str" cm="1">
        <f t="array" aca="1" ref="H6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692" spans="1:8" x14ac:dyDescent="0.25">
      <c r="A692" s="2">
        <f t="shared" ca="1" si="111"/>
        <v>3.0012062145240899</v>
      </c>
      <c r="B692" s="4" cm="1">
        <f t="array" aca="1" ref="B6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692" s="2">
        <f t="shared" ca="1" si="112"/>
        <v>3.027693659944263</v>
      </c>
      <c r="D692" s="4" t="str" cm="1">
        <f t="array" aca="1" ref="D6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92" s="2">
        <f t="shared" ca="1" si="113"/>
        <v>30.018050942749412</v>
      </c>
      <c r="F692" s="4" t="str" cm="1">
        <f t="array" aca="1" ref="F6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92" s="2">
        <f t="shared" ca="1" si="114"/>
        <v>40.019007380345073</v>
      </c>
      <c r="H692" s="47" t="str" cm="1">
        <f t="array" aca="1" ref="H6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93" spans="1:8" x14ac:dyDescent="0.25">
      <c r="A693" s="2">
        <f t="shared" ca="1" si="111"/>
        <v>3.0025579033838952</v>
      </c>
      <c r="B693" s="4" cm="1">
        <f t="array" aca="1" ref="B6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693" s="2">
        <f t="shared" ca="1" si="112"/>
        <v>3.0274337451206055</v>
      </c>
      <c r="D693" s="4" t="str" cm="1">
        <f t="array" aca="1" ref="D6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93" s="2">
        <f t="shared" ca="1" si="113"/>
        <v>30.009253893442015</v>
      </c>
      <c r="F693" s="4" t="str" cm="1">
        <f t="array" aca="1" ref="F6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93" s="2">
        <f t="shared" ca="1" si="114"/>
        <v>40.01504093179026</v>
      </c>
      <c r="H693" s="47" t="str" cm="1">
        <f t="array" aca="1" ref="H6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94" spans="1:8" x14ac:dyDescent="0.25">
      <c r="A694" s="2">
        <f t="shared" ca="1" si="111"/>
        <v>3.0093570409252779</v>
      </c>
      <c r="B694" s="4" cm="1">
        <f t="array" aca="1" ref="B6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694" s="2">
        <f t="shared" ca="1" si="112"/>
        <v>3.0046130997816127</v>
      </c>
      <c r="D694" s="4" t="str" cm="1">
        <f t="array" aca="1" ref="D6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94" s="2">
        <f t="shared" ca="1" si="113"/>
        <v>30.004776882586217</v>
      </c>
      <c r="F694" s="4" t="str" cm="1">
        <f t="array" aca="1" ref="F6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94" s="2">
        <f t="shared" ca="1" si="114"/>
        <v>40.028717016344075</v>
      </c>
      <c r="H694" s="47" t="str" cm="1">
        <f t="array" aca="1" ref="H6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95" spans="1:8" x14ac:dyDescent="0.25">
      <c r="A695" s="2">
        <f t="shared" ca="1" si="111"/>
        <v>3.0043688702099027</v>
      </c>
      <c r="B695" s="4" cm="1">
        <f t="array" aca="1" ref="B6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695" s="2">
        <f t="shared" ca="1" si="112"/>
        <v>3.00611767110827</v>
      </c>
      <c r="D695" s="4" t="str" cm="1">
        <f t="array" aca="1" ref="D6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695" s="2">
        <f t="shared" ca="1" si="113"/>
        <v>30.007499361171021</v>
      </c>
      <c r="F695" s="4" t="str" cm="1">
        <f t="array" aca="1" ref="F6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95" s="2">
        <f t="shared" ca="1" si="114"/>
        <v>40.020630252484459</v>
      </c>
      <c r="H695" s="47" t="str" cm="1">
        <f t="array" aca="1" ref="H6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96" spans="1:8" x14ac:dyDescent="0.25">
      <c r="A696" s="2">
        <f t="shared" ca="1" si="111"/>
        <v>3.0002641725408608</v>
      </c>
      <c r="B696" s="4" cm="1">
        <f t="array" aca="1" ref="B6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696" s="2">
        <f t="shared" ca="1" si="112"/>
        <v>3.021592743643521</v>
      </c>
      <c r="D696" s="4" t="str" cm="1">
        <f t="array" aca="1" ref="D6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96" s="2">
        <f t="shared" ca="1" si="113"/>
        <v>30.013018557295258</v>
      </c>
      <c r="F696" s="4" t="str" cm="1">
        <f t="array" aca="1" ref="F6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696" s="2">
        <f t="shared" ca="1" si="114"/>
        <v>40.021054642924462</v>
      </c>
      <c r="H696" s="47" t="str" cm="1">
        <f t="array" aca="1" ref="H6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97" spans="1:8" x14ac:dyDescent="0.25">
      <c r="A697" s="2">
        <f t="shared" ca="1" si="111"/>
        <v>3.0036256104045544</v>
      </c>
      <c r="B697" s="4" cm="1">
        <f t="array" aca="1" ref="B6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697" s="2">
        <f t="shared" ca="1" si="112"/>
        <v>3.013798346488251</v>
      </c>
      <c r="D697" s="4" t="str" cm="1">
        <f t="array" aca="1" ref="D6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97" s="2">
        <f t="shared" ca="1" si="113"/>
        <v>30.022615077381879</v>
      </c>
      <c r="F697" s="4" t="str" cm="1">
        <f t="array" aca="1" ref="F6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97" s="2">
        <f t="shared" ca="1" si="114"/>
        <v>40.010268435625015</v>
      </c>
      <c r="H697" s="47" t="str" cm="1">
        <f t="array" aca="1" ref="H6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698" spans="1:8" x14ac:dyDescent="0.25">
      <c r="A698" s="2">
        <f t="shared" ca="1" si="111"/>
        <v>3.0048802292175618</v>
      </c>
      <c r="B698" s="4" cm="1">
        <f t="array" aca="1" ref="B6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698" s="2">
        <f t="shared" ca="1" si="112"/>
        <v>3.0293102993217538</v>
      </c>
      <c r="D698" s="4" t="str" cm="1">
        <f t="array" aca="1" ref="D6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698" s="2">
        <f t="shared" ca="1" si="113"/>
        <v>30.0270358590097</v>
      </c>
      <c r="F698" s="4" t="str" cm="1">
        <f t="array" aca="1" ref="F6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698" s="2">
        <f t="shared" ca="1" si="114"/>
        <v>40.02610161892617</v>
      </c>
      <c r="H698" s="47" t="str" cm="1">
        <f t="array" aca="1" ref="H6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699" spans="1:8" x14ac:dyDescent="0.25">
      <c r="A699" s="2">
        <f t="shared" ca="1" si="111"/>
        <v>3.0049487596922746</v>
      </c>
      <c r="B699" s="4" cm="1">
        <f t="array" aca="1" ref="B6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699" s="2">
        <f t="shared" ca="1" si="112"/>
        <v>3.0123464808289113</v>
      </c>
      <c r="D699" s="4" t="str" cm="1">
        <f t="array" aca="1" ref="D6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699" s="2">
        <f t="shared" ca="1" si="113"/>
        <v>30.007223065636961</v>
      </c>
      <c r="F699" s="4" t="str" cm="1">
        <f t="array" aca="1" ref="F6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699" s="2">
        <f t="shared" ca="1" si="114"/>
        <v>40.01191203705379</v>
      </c>
      <c r="H699" s="47" t="str" cm="1">
        <f t="array" aca="1" ref="H6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00" spans="1:8" x14ac:dyDescent="0.25">
      <c r="A700" s="2">
        <f t="shared" ca="1" si="111"/>
        <v>3.0080293304267438</v>
      </c>
      <c r="B700" s="4" cm="1">
        <f t="array" aca="1" ref="B7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700" s="2">
        <f t="shared" ca="1" si="112"/>
        <v>3.0275364156413769</v>
      </c>
      <c r="D700" s="4" t="str" cm="1">
        <f t="array" aca="1" ref="D7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00" s="2">
        <f t="shared" ca="1" si="113"/>
        <v>30.001635732631296</v>
      </c>
      <c r="F700" s="4" t="str" cm="1">
        <f t="array" aca="1" ref="F7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00" s="2">
        <f t="shared" ca="1" si="114"/>
        <v>40.022790575658739</v>
      </c>
      <c r="H700" s="47" t="str" cm="1">
        <f t="array" aca="1" ref="H7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01" spans="1:8" x14ac:dyDescent="0.25">
      <c r="A701" s="2">
        <f t="shared" ca="1" si="111"/>
        <v>3.0033792512813062</v>
      </c>
      <c r="B701" s="4" cm="1">
        <f t="array" aca="1" ref="B7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701" s="2">
        <f t="shared" ca="1" si="112"/>
        <v>3.0068625139769836</v>
      </c>
      <c r="D701" s="4" t="str" cm="1">
        <f t="array" aca="1" ref="D7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01" s="2">
        <f t="shared" ca="1" si="113"/>
        <v>30.02165445437787</v>
      </c>
      <c r="F701" s="4" t="str" cm="1">
        <f t="array" aca="1" ref="F7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01" s="2">
        <f t="shared" ca="1" si="114"/>
        <v>40.001820416366037</v>
      </c>
      <c r="H701" s="47" t="str" cm="1">
        <f t="array" aca="1" ref="H7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02" spans="1:8" x14ac:dyDescent="0.25">
      <c r="A702" s="2">
        <f t="shared" ca="1" si="111"/>
        <v>3.0022436629169018</v>
      </c>
      <c r="B702" s="4" cm="1">
        <f t="array" aca="1" ref="B7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702" s="2">
        <f t="shared" ca="1" si="112"/>
        <v>3.0130814540270934</v>
      </c>
      <c r="D702" s="4" t="str" cm="1">
        <f t="array" aca="1" ref="D7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02" s="2">
        <f t="shared" ca="1" si="113"/>
        <v>30.010791658780338</v>
      </c>
      <c r="F702" s="4" t="str" cm="1">
        <f t="array" aca="1" ref="F7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02" s="2">
        <f t="shared" ca="1" si="114"/>
        <v>40.025979234858582</v>
      </c>
      <c r="H702" s="47" t="str" cm="1">
        <f t="array" aca="1" ref="H7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03" spans="1:8" x14ac:dyDescent="0.25">
      <c r="A703" s="2">
        <f t="shared" ca="1" si="111"/>
        <v>3.0051191411017455</v>
      </c>
      <c r="B703" s="4" cm="1">
        <f t="array" aca="1" ref="B7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703" s="2">
        <f t="shared" ca="1" si="112"/>
        <v>3.027017795012136</v>
      </c>
      <c r="D703" s="4" t="str" cm="1">
        <f t="array" aca="1" ref="D7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03" s="2">
        <f t="shared" ca="1" si="113"/>
        <v>30.004943319679494</v>
      </c>
      <c r="F703" s="4" t="str" cm="1">
        <f t="array" aca="1" ref="F7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03" s="2">
        <f t="shared" ca="1" si="114"/>
        <v>40.009263967145905</v>
      </c>
      <c r="H703" s="47" t="str" cm="1">
        <f t="array" aca="1" ref="H7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04" spans="1:8" x14ac:dyDescent="0.25">
      <c r="A704" s="2">
        <f t="shared" ca="1" si="111"/>
        <v>3.0029887626682634</v>
      </c>
      <c r="B704" s="4" cm="1">
        <f t="array" aca="1" ref="B7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704" s="2">
        <f t="shared" ca="1" si="112"/>
        <v>3.0096977626473413</v>
      </c>
      <c r="D704" s="4" t="str" cm="1">
        <f t="array" aca="1" ref="D7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04" s="2">
        <f t="shared" ca="1" si="113"/>
        <v>30.024160626166399</v>
      </c>
      <c r="F704" s="4" t="str" cm="1">
        <f t="array" aca="1" ref="F7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04" s="2">
        <f t="shared" ca="1" si="114"/>
        <v>40.010352754269924</v>
      </c>
      <c r="H704" s="47" t="str" cm="1">
        <f t="array" aca="1" ref="H7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05" spans="1:8" x14ac:dyDescent="0.25">
      <c r="A705" s="2">
        <f t="shared" ca="1" si="111"/>
        <v>3.0026410039695079</v>
      </c>
      <c r="B705" s="4" cm="1">
        <f t="array" aca="1" ref="B7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705" s="2">
        <f t="shared" ca="1" si="112"/>
        <v>3.0085658405735027</v>
      </c>
      <c r="D705" s="4" t="str" cm="1">
        <f t="array" aca="1" ref="D7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05" s="2">
        <f t="shared" ca="1" si="113"/>
        <v>30.018612392882961</v>
      </c>
      <c r="F705" s="4" t="str" cm="1">
        <f t="array" aca="1" ref="F7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05" s="2">
        <f t="shared" ca="1" si="114"/>
        <v>40.004486733923173</v>
      </c>
      <c r="H705" s="47" t="str" cm="1">
        <f t="array" aca="1" ref="H7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06" spans="1:8" x14ac:dyDescent="0.25">
      <c r="A706" s="2">
        <f t="shared" ref="A706:A769" ca="1" si="115">3+RAND()*0.01</f>
        <v>3.0069469690445918</v>
      </c>
      <c r="B706" s="4" cm="1">
        <f t="array" aca="1" ref="B7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706" s="2">
        <f t="shared" ref="C706:C769" ca="1" si="116">3+RAND()*0.03</f>
        <v>3.0201228271271225</v>
      </c>
      <c r="D706" s="4" t="str" cm="1">
        <f t="array" aca="1" ref="D7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06" s="2">
        <f t="shared" ref="E706:E769" ca="1" si="117">30+RAND()*0.03</f>
        <v>30.011958853408675</v>
      </c>
      <c r="F706" s="4" t="str" cm="1">
        <f t="array" aca="1" ref="F7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06" s="2">
        <f t="shared" ref="G706:G769" ca="1" si="118">40+RAND()*0.03</f>
        <v>40.003462581791219</v>
      </c>
      <c r="H706" s="47" t="str" cm="1">
        <f t="array" aca="1" ref="H7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07" spans="1:8" x14ac:dyDescent="0.25">
      <c r="A707" s="2">
        <f t="shared" ca="1" si="115"/>
        <v>3.0032058846914884</v>
      </c>
      <c r="B707" s="4" cm="1">
        <f t="array" aca="1" ref="B7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707" s="2">
        <f t="shared" ca="1" si="116"/>
        <v>3.0031288310347186</v>
      </c>
      <c r="D707" s="4" t="str" cm="1">
        <f t="array" aca="1" ref="D7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07" s="2">
        <f t="shared" ca="1" si="117"/>
        <v>30.015389223188826</v>
      </c>
      <c r="F707" s="4" t="str" cm="1">
        <f t="array" aca="1" ref="F7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07" s="2">
        <f t="shared" ca="1" si="118"/>
        <v>40.029845791905785</v>
      </c>
      <c r="H707" s="47" t="str" cm="1">
        <f t="array" aca="1" ref="H7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08" spans="1:8" x14ac:dyDescent="0.25">
      <c r="A708" s="2">
        <f t="shared" ca="1" si="115"/>
        <v>3.0019134201528828</v>
      </c>
      <c r="B708" s="4" cm="1">
        <f t="array" aca="1" ref="B7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708" s="2">
        <f t="shared" ca="1" si="116"/>
        <v>3.026004014203481</v>
      </c>
      <c r="D708" s="4" t="str" cm="1">
        <f t="array" aca="1" ref="D7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08" s="2">
        <f t="shared" ca="1" si="117"/>
        <v>30.029861446830708</v>
      </c>
      <c r="F708" s="4" t="str" cm="1">
        <f t="array" aca="1" ref="F7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08" s="2">
        <f t="shared" ca="1" si="118"/>
        <v>40.017135296530626</v>
      </c>
      <c r="H708" s="47" t="str" cm="1">
        <f t="array" aca="1" ref="H7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09" spans="1:8" x14ac:dyDescent="0.25">
      <c r="A709" s="2">
        <f t="shared" ca="1" si="115"/>
        <v>3.0014410107810687</v>
      </c>
      <c r="B709" s="4" cm="1">
        <f t="array" aca="1" ref="B7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709" s="2">
        <f t="shared" ca="1" si="116"/>
        <v>3.0137894830537606</v>
      </c>
      <c r="D709" s="4" t="str" cm="1">
        <f t="array" aca="1" ref="D7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09" s="2">
        <f t="shared" ca="1" si="117"/>
        <v>30.019677131427876</v>
      </c>
      <c r="F709" s="4" t="str" cm="1">
        <f t="array" aca="1" ref="F7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09" s="2">
        <f t="shared" ca="1" si="118"/>
        <v>40.027697203950034</v>
      </c>
      <c r="H709" s="47" t="str" cm="1">
        <f t="array" aca="1" ref="H7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10" spans="1:8" x14ac:dyDescent="0.25">
      <c r="A710" s="2">
        <f t="shared" ca="1" si="115"/>
        <v>3.0053579968515711</v>
      </c>
      <c r="B710" s="4" cm="1">
        <f t="array" aca="1" ref="B7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710" s="2">
        <f t="shared" ca="1" si="116"/>
        <v>3.0200894083330843</v>
      </c>
      <c r="D710" s="4" t="str" cm="1">
        <f t="array" aca="1" ref="D7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10" s="2">
        <f t="shared" ca="1" si="117"/>
        <v>30.027901254932303</v>
      </c>
      <c r="F710" s="4" t="str" cm="1">
        <f t="array" aca="1" ref="F7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10" s="2">
        <f t="shared" ca="1" si="118"/>
        <v>40.004971353839011</v>
      </c>
      <c r="H710" s="47" t="str" cm="1">
        <f t="array" aca="1" ref="H7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11" spans="1:8" x14ac:dyDescent="0.25">
      <c r="A711" s="2">
        <f t="shared" ca="1" si="115"/>
        <v>3.005793248425261</v>
      </c>
      <c r="B711" s="4" cm="1">
        <f t="array" aca="1" ref="B7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711" s="2">
        <f t="shared" ca="1" si="116"/>
        <v>3.012708011594686</v>
      </c>
      <c r="D711" s="4" t="str" cm="1">
        <f t="array" aca="1" ref="D7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11" s="2">
        <f t="shared" ca="1" si="117"/>
        <v>30.027850287715218</v>
      </c>
      <c r="F711" s="4" t="str" cm="1">
        <f t="array" aca="1" ref="F7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11" s="2">
        <f t="shared" ca="1" si="118"/>
        <v>40.002443093534552</v>
      </c>
      <c r="H711" s="47" t="str" cm="1">
        <f t="array" aca="1" ref="H7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12" spans="1:8" x14ac:dyDescent="0.25">
      <c r="A712" s="2">
        <f t="shared" ca="1" si="115"/>
        <v>3.0087764776429951</v>
      </c>
      <c r="B712" s="4" cm="1">
        <f t="array" aca="1" ref="B7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712" s="2">
        <f t="shared" ca="1" si="116"/>
        <v>3.000195333821281</v>
      </c>
      <c r="D712" s="4" t="str" cm="1">
        <f t="array" aca="1" ref="D7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12" s="2">
        <f t="shared" ca="1" si="117"/>
        <v>30.019594266226768</v>
      </c>
      <c r="F712" s="4" t="str" cm="1">
        <f t="array" aca="1" ref="F7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12" s="2">
        <f t="shared" ca="1" si="118"/>
        <v>40.019945257768583</v>
      </c>
      <c r="H712" s="47" t="str" cm="1">
        <f t="array" aca="1" ref="H7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13" spans="1:8" x14ac:dyDescent="0.25">
      <c r="A713" s="2">
        <f t="shared" ca="1" si="115"/>
        <v>3.000996600647508</v>
      </c>
      <c r="B713" s="4" cm="1">
        <f t="array" aca="1" ref="B7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713" s="2">
        <f t="shared" ca="1" si="116"/>
        <v>3.0068434575258962</v>
      </c>
      <c r="D713" s="4" t="str" cm="1">
        <f t="array" aca="1" ref="D7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13" s="2">
        <f t="shared" ca="1" si="117"/>
        <v>30.016904985021686</v>
      </c>
      <c r="F713" s="4" t="str" cm="1">
        <f t="array" aca="1" ref="F7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13" s="2">
        <f t="shared" ca="1" si="118"/>
        <v>40.003927432854248</v>
      </c>
      <c r="H713" s="47" t="str" cm="1">
        <f t="array" aca="1" ref="H7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14" spans="1:8" x14ac:dyDescent="0.25">
      <c r="A714" s="2">
        <f t="shared" ca="1" si="115"/>
        <v>3.0007186326432636</v>
      </c>
      <c r="B714" s="4" cm="1">
        <f t="array" aca="1" ref="B7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714" s="2">
        <f t="shared" ca="1" si="116"/>
        <v>3.0063284883350341</v>
      </c>
      <c r="D714" s="4" t="str" cm="1">
        <f t="array" aca="1" ref="D7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14" s="2">
        <f t="shared" ca="1" si="117"/>
        <v>30.02793401523553</v>
      </c>
      <c r="F714" s="4" t="str" cm="1">
        <f t="array" aca="1" ref="F7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14" s="2">
        <f t="shared" ca="1" si="118"/>
        <v>40.029847946399016</v>
      </c>
      <c r="H714" s="47" t="str" cm="1">
        <f t="array" aca="1" ref="H7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15" spans="1:8" x14ac:dyDescent="0.25">
      <c r="A715" s="2">
        <f t="shared" ca="1" si="115"/>
        <v>3.000617827946062</v>
      </c>
      <c r="B715" s="4" cm="1">
        <f t="array" aca="1" ref="B7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715" s="2">
        <f t="shared" ca="1" si="116"/>
        <v>3.0012674315394503</v>
      </c>
      <c r="D715" s="4" t="str" cm="1">
        <f t="array" aca="1" ref="D7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15" s="2">
        <f t="shared" ca="1" si="117"/>
        <v>30.010187624281983</v>
      </c>
      <c r="F715" s="4" t="str" cm="1">
        <f t="array" aca="1" ref="F7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15" s="2">
        <f t="shared" ca="1" si="118"/>
        <v>40.020326846466524</v>
      </c>
      <c r="H715" s="47" t="str" cm="1">
        <f t="array" aca="1" ref="H7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16" spans="1:8" x14ac:dyDescent="0.25">
      <c r="A716" s="2">
        <f t="shared" ca="1" si="115"/>
        <v>3.0000440370851562</v>
      </c>
      <c r="B716" s="4" cm="1">
        <f t="array" aca="1" ref="B7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716" s="2">
        <f t="shared" ca="1" si="116"/>
        <v>3.020166512858149</v>
      </c>
      <c r="D716" s="4" t="str" cm="1">
        <f t="array" aca="1" ref="D7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16" s="2">
        <f t="shared" ca="1" si="117"/>
        <v>30.0008128364836</v>
      </c>
      <c r="F716" s="4" t="str" cm="1">
        <f t="array" aca="1" ref="F7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16" s="2">
        <f t="shared" ca="1" si="118"/>
        <v>40.025043942015245</v>
      </c>
      <c r="H716" s="47" t="str" cm="1">
        <f t="array" aca="1" ref="H7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17" spans="1:8" x14ac:dyDescent="0.25">
      <c r="A717" s="2">
        <f t="shared" ca="1" si="115"/>
        <v>3.0047259263745136</v>
      </c>
      <c r="B717" s="4" cm="1">
        <f t="array" aca="1" ref="B7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717" s="2">
        <f t="shared" ca="1" si="116"/>
        <v>3.0018044365334839</v>
      </c>
      <c r="D717" s="4" t="str" cm="1">
        <f t="array" aca="1" ref="D7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17" s="2">
        <f t="shared" ca="1" si="117"/>
        <v>30.01021132908668</v>
      </c>
      <c r="F717" s="4" t="str" cm="1">
        <f t="array" aca="1" ref="F7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17" s="2">
        <f t="shared" ca="1" si="118"/>
        <v>40.023937294223465</v>
      </c>
      <c r="H717" s="47" t="str" cm="1">
        <f t="array" aca="1" ref="H7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18" spans="1:8" x14ac:dyDescent="0.25">
      <c r="A718" s="2">
        <f t="shared" ca="1" si="115"/>
        <v>3.0014077388942426</v>
      </c>
      <c r="B718" s="4" cm="1">
        <f t="array" aca="1" ref="B7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718" s="2">
        <f t="shared" ca="1" si="116"/>
        <v>3.0143374094499382</v>
      </c>
      <c r="D718" s="4" t="str" cm="1">
        <f t="array" aca="1" ref="D7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18" s="2">
        <f t="shared" ca="1" si="117"/>
        <v>30.014942593177981</v>
      </c>
      <c r="F718" s="4" t="str" cm="1">
        <f t="array" aca="1" ref="F7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18" s="2">
        <f t="shared" ca="1" si="118"/>
        <v>40.016093356784459</v>
      </c>
      <c r="H718" s="47" t="str" cm="1">
        <f t="array" aca="1" ref="H7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19" spans="1:8" x14ac:dyDescent="0.25">
      <c r="A719" s="2">
        <f t="shared" ca="1" si="115"/>
        <v>3.0077989986532105</v>
      </c>
      <c r="B719" s="4" cm="1">
        <f t="array" aca="1" ref="B7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719" s="2">
        <f t="shared" ca="1" si="116"/>
        <v>3.0210083481903807</v>
      </c>
      <c r="D719" s="4" t="str" cm="1">
        <f t="array" aca="1" ref="D7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19" s="2">
        <f t="shared" ca="1" si="117"/>
        <v>30.005543850533765</v>
      </c>
      <c r="F719" s="4" t="str" cm="1">
        <f t="array" aca="1" ref="F7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19" s="2">
        <f t="shared" ca="1" si="118"/>
        <v>40.002070403620692</v>
      </c>
      <c r="H719" s="47" t="str" cm="1">
        <f t="array" aca="1" ref="H7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20" spans="1:8" x14ac:dyDescent="0.25">
      <c r="A720" s="2">
        <f t="shared" ca="1" si="115"/>
        <v>3.0094577650780465</v>
      </c>
      <c r="B720" s="4" cm="1">
        <f t="array" aca="1" ref="B7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720" s="2">
        <f t="shared" ca="1" si="116"/>
        <v>3.0254844217461976</v>
      </c>
      <c r="D720" s="4" t="str" cm="1">
        <f t="array" aca="1" ref="D7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20" s="2">
        <f t="shared" ca="1" si="117"/>
        <v>30.025753284221548</v>
      </c>
      <c r="F720" s="4" t="str" cm="1">
        <f t="array" aca="1" ref="F7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20" s="2">
        <f t="shared" ca="1" si="118"/>
        <v>40.007373536508261</v>
      </c>
      <c r="H720" s="47" t="str" cm="1">
        <f t="array" aca="1" ref="H7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21" spans="1:8" x14ac:dyDescent="0.25">
      <c r="A721" s="2">
        <f t="shared" ca="1" si="115"/>
        <v>3.0024075212573087</v>
      </c>
      <c r="B721" s="4" cm="1">
        <f t="array" aca="1" ref="B7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721" s="2">
        <f t="shared" ca="1" si="116"/>
        <v>3.0203215467271161</v>
      </c>
      <c r="D721" s="4" t="str" cm="1">
        <f t="array" aca="1" ref="D7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21" s="2">
        <f t="shared" ca="1" si="117"/>
        <v>30.029882406794748</v>
      </c>
      <c r="F721" s="4" t="str" cm="1">
        <f t="array" aca="1" ref="F7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21" s="2">
        <f t="shared" ca="1" si="118"/>
        <v>40.020046904238121</v>
      </c>
      <c r="H721" s="47" t="str" cm="1">
        <f t="array" aca="1" ref="H7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22" spans="1:8" x14ac:dyDescent="0.25">
      <c r="A722" s="2">
        <f t="shared" ca="1" si="115"/>
        <v>3.0098256749792358</v>
      </c>
      <c r="B722" s="4" cm="1">
        <f t="array" aca="1" ref="B7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722" s="2">
        <f t="shared" ca="1" si="116"/>
        <v>3.0169976044747662</v>
      </c>
      <c r="D722" s="4" t="str" cm="1">
        <f t="array" aca="1" ref="D7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22" s="2">
        <f t="shared" ca="1" si="117"/>
        <v>30.00949525516096</v>
      </c>
      <c r="F722" s="4" t="str" cm="1">
        <f t="array" aca="1" ref="F7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22" s="2">
        <f t="shared" ca="1" si="118"/>
        <v>40.006613985341218</v>
      </c>
      <c r="H722" s="47" t="str" cm="1">
        <f t="array" aca="1" ref="H7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23" spans="1:8" x14ac:dyDescent="0.25">
      <c r="A723" s="2">
        <f t="shared" ca="1" si="115"/>
        <v>3.0058315090236318</v>
      </c>
      <c r="B723" s="4" cm="1">
        <f t="array" aca="1" ref="B7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723" s="2">
        <f t="shared" ca="1" si="116"/>
        <v>3.0114135729698428</v>
      </c>
      <c r="D723" s="4" t="str" cm="1">
        <f t="array" aca="1" ref="D7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23" s="2">
        <f t="shared" ca="1" si="117"/>
        <v>30.02233508132846</v>
      </c>
      <c r="F723" s="4" t="str" cm="1">
        <f t="array" aca="1" ref="F7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23" s="2">
        <f t="shared" ca="1" si="118"/>
        <v>40.016595236810353</v>
      </c>
      <c r="H723" s="47" t="str" cm="1">
        <f t="array" aca="1" ref="H7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24" spans="1:8" x14ac:dyDescent="0.25">
      <c r="A724" s="2">
        <f t="shared" ca="1" si="115"/>
        <v>3.0052666735403113</v>
      </c>
      <c r="B724" s="4" cm="1">
        <f t="array" aca="1" ref="B7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724" s="2">
        <f t="shared" ca="1" si="116"/>
        <v>3.0279228456928031</v>
      </c>
      <c r="D724" s="4" t="str" cm="1">
        <f t="array" aca="1" ref="D7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24" s="2">
        <f t="shared" ca="1" si="117"/>
        <v>30.021562180430973</v>
      </c>
      <c r="F724" s="4" t="str" cm="1">
        <f t="array" aca="1" ref="F7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24" s="2">
        <f t="shared" ca="1" si="118"/>
        <v>40.026051589587645</v>
      </c>
      <c r="H724" s="47" t="str" cm="1">
        <f t="array" aca="1" ref="H7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25" spans="1:8" x14ac:dyDescent="0.25">
      <c r="A725" s="2">
        <f t="shared" ca="1" si="115"/>
        <v>3.0012178539215926</v>
      </c>
      <c r="B725" s="4" cm="1">
        <f t="array" aca="1" ref="B7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725" s="2">
        <f t="shared" ca="1" si="116"/>
        <v>3.0148803501561572</v>
      </c>
      <c r="D725" s="4" t="str" cm="1">
        <f t="array" aca="1" ref="D7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25" s="2">
        <f t="shared" ca="1" si="117"/>
        <v>30.013849989273517</v>
      </c>
      <c r="F725" s="4" t="str" cm="1">
        <f t="array" aca="1" ref="F7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25" s="2">
        <f t="shared" ca="1" si="118"/>
        <v>40.021523630273109</v>
      </c>
      <c r="H725" s="47" t="str" cm="1">
        <f t="array" aca="1" ref="H7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26" spans="1:8" x14ac:dyDescent="0.25">
      <c r="A726" s="2">
        <f t="shared" ca="1" si="115"/>
        <v>3.0018243260097179</v>
      </c>
      <c r="B726" s="4" cm="1">
        <f t="array" aca="1" ref="B7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726" s="2">
        <f t="shared" ca="1" si="116"/>
        <v>3.0217669358315895</v>
      </c>
      <c r="D726" s="4" t="str" cm="1">
        <f t="array" aca="1" ref="D7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26" s="2">
        <f t="shared" ca="1" si="117"/>
        <v>30.018673257402742</v>
      </c>
      <c r="F726" s="4" t="str" cm="1">
        <f t="array" aca="1" ref="F7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26" s="2">
        <f t="shared" ca="1" si="118"/>
        <v>40.023542454929533</v>
      </c>
      <c r="H726" s="47" t="str" cm="1">
        <f t="array" aca="1" ref="H7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27" spans="1:8" x14ac:dyDescent="0.25">
      <c r="A727" s="2">
        <f t="shared" ca="1" si="115"/>
        <v>3.0011665100341864</v>
      </c>
      <c r="B727" s="4" cm="1">
        <f t="array" aca="1" ref="B7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727" s="2">
        <f t="shared" ca="1" si="116"/>
        <v>3.0198765915693806</v>
      </c>
      <c r="D727" s="4" t="str" cm="1">
        <f t="array" aca="1" ref="D7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27" s="2">
        <f t="shared" ca="1" si="117"/>
        <v>30.012311627717644</v>
      </c>
      <c r="F727" s="4" t="str" cm="1">
        <f t="array" aca="1" ref="F7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27" s="2">
        <f t="shared" ca="1" si="118"/>
        <v>40.00808398429956</v>
      </c>
      <c r="H727" s="47" t="str" cm="1">
        <f t="array" aca="1" ref="H7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28" spans="1:8" x14ac:dyDescent="0.25">
      <c r="A728" s="2">
        <f t="shared" ca="1" si="115"/>
        <v>3.0076247712771953</v>
      </c>
      <c r="B728" s="4" cm="1">
        <f t="array" aca="1" ref="B7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728" s="2">
        <f t="shared" ca="1" si="116"/>
        <v>3.0144072305928549</v>
      </c>
      <c r="D728" s="4" t="str" cm="1">
        <f t="array" aca="1" ref="D7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28" s="2">
        <f t="shared" ca="1" si="117"/>
        <v>30.00941046045709</v>
      </c>
      <c r="F728" s="4" t="str" cm="1">
        <f t="array" aca="1" ref="F7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28" s="2">
        <f t="shared" ca="1" si="118"/>
        <v>40.004160672663531</v>
      </c>
      <c r="H728" s="47" t="str" cm="1">
        <f t="array" aca="1" ref="H7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29" spans="1:8" x14ac:dyDescent="0.25">
      <c r="A729" s="2">
        <f t="shared" ca="1" si="115"/>
        <v>3.0003242154842242</v>
      </c>
      <c r="B729" s="4" cm="1">
        <f t="array" aca="1" ref="B7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729" s="2">
        <f t="shared" ca="1" si="116"/>
        <v>3.0225431608778419</v>
      </c>
      <c r="D729" s="4" t="str" cm="1">
        <f t="array" aca="1" ref="D7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29" s="2">
        <f t="shared" ca="1" si="117"/>
        <v>30.003868810237105</v>
      </c>
      <c r="F729" s="4" t="str" cm="1">
        <f t="array" aca="1" ref="F7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29" s="2">
        <f t="shared" ca="1" si="118"/>
        <v>40.021712653087704</v>
      </c>
      <c r="H729" s="47" t="str" cm="1">
        <f t="array" aca="1" ref="H7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30" spans="1:8" x14ac:dyDescent="0.25">
      <c r="A730" s="2">
        <f t="shared" ca="1" si="115"/>
        <v>3.0095941830900714</v>
      </c>
      <c r="B730" s="4" cm="1">
        <f t="array" aca="1" ref="B7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730" s="2">
        <f t="shared" ca="1" si="116"/>
        <v>3.0239562002582954</v>
      </c>
      <c r="D730" s="4" t="str" cm="1">
        <f t="array" aca="1" ref="D7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30" s="2">
        <f t="shared" ca="1" si="117"/>
        <v>30.029834711209872</v>
      </c>
      <c r="F730" s="4" t="str" cm="1">
        <f t="array" aca="1" ref="F7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30" s="2">
        <f t="shared" ca="1" si="118"/>
        <v>40.028301073234751</v>
      </c>
      <c r="H730" s="47" t="str" cm="1">
        <f t="array" aca="1" ref="H7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31" spans="1:8" x14ac:dyDescent="0.25">
      <c r="A731" s="2">
        <f t="shared" ca="1" si="115"/>
        <v>3.0021885566203794</v>
      </c>
      <c r="B731" s="4" cm="1">
        <f t="array" aca="1" ref="B7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731" s="2">
        <f t="shared" ca="1" si="116"/>
        <v>3.0257913202873112</v>
      </c>
      <c r="D731" s="4" t="str" cm="1">
        <f t="array" aca="1" ref="D7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31" s="2">
        <f t="shared" ca="1" si="117"/>
        <v>30.006566490578098</v>
      </c>
      <c r="F731" s="4" t="str" cm="1">
        <f t="array" aca="1" ref="F7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31" s="2">
        <f t="shared" ca="1" si="118"/>
        <v>40.018679740720444</v>
      </c>
      <c r="H731" s="47" t="str" cm="1">
        <f t="array" aca="1" ref="H7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32" spans="1:8" x14ac:dyDescent="0.25">
      <c r="A732" s="2">
        <f t="shared" ca="1" si="115"/>
        <v>3.0004266924827907</v>
      </c>
      <c r="B732" s="4" cm="1">
        <f t="array" aca="1" ref="B7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732" s="2">
        <f t="shared" ca="1" si="116"/>
        <v>3.0049276361654647</v>
      </c>
      <c r="D732" s="4" t="str" cm="1">
        <f t="array" aca="1" ref="D7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32" s="2">
        <f t="shared" ca="1" si="117"/>
        <v>30.010802848813437</v>
      </c>
      <c r="F732" s="4" t="str" cm="1">
        <f t="array" aca="1" ref="F7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32" s="2">
        <f t="shared" ca="1" si="118"/>
        <v>40.008100558958596</v>
      </c>
      <c r="H732" s="47" t="str" cm="1">
        <f t="array" aca="1" ref="H7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33" spans="1:8" x14ac:dyDescent="0.25">
      <c r="A733" s="2">
        <f t="shared" ca="1" si="115"/>
        <v>3.0083739780045864</v>
      </c>
      <c r="B733" s="4" cm="1">
        <f t="array" aca="1" ref="B7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733" s="2">
        <f t="shared" ca="1" si="116"/>
        <v>3.0292299507987783</v>
      </c>
      <c r="D733" s="4" t="str" cm="1">
        <f t="array" aca="1" ref="D7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33" s="2">
        <f t="shared" ca="1" si="117"/>
        <v>30.00905113792399</v>
      </c>
      <c r="F733" s="4" t="str" cm="1">
        <f t="array" aca="1" ref="F7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33" s="2">
        <f t="shared" ca="1" si="118"/>
        <v>40.029946084932405</v>
      </c>
      <c r="H733" s="47" t="str" cm="1">
        <f t="array" aca="1" ref="H7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34" spans="1:8" x14ac:dyDescent="0.25">
      <c r="A734" s="2">
        <f t="shared" ca="1" si="115"/>
        <v>3.0084084690068913</v>
      </c>
      <c r="B734" s="4" cm="1">
        <f t="array" aca="1" ref="B7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734" s="2">
        <f t="shared" ca="1" si="116"/>
        <v>3.014150202067333</v>
      </c>
      <c r="D734" s="4" t="str" cm="1">
        <f t="array" aca="1" ref="D7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34" s="2">
        <f t="shared" ca="1" si="117"/>
        <v>30.02294892482757</v>
      </c>
      <c r="F734" s="4" t="str" cm="1">
        <f t="array" aca="1" ref="F7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34" s="2">
        <f t="shared" ca="1" si="118"/>
        <v>40.002116547520373</v>
      </c>
      <c r="H734" s="47" t="str" cm="1">
        <f t="array" aca="1" ref="H7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35" spans="1:8" x14ac:dyDescent="0.25">
      <c r="A735" s="2">
        <f t="shared" ca="1" si="115"/>
        <v>3.0087402549201427</v>
      </c>
      <c r="B735" s="4" cm="1">
        <f t="array" aca="1" ref="B7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735" s="2">
        <f t="shared" ca="1" si="116"/>
        <v>3.0053450242761564</v>
      </c>
      <c r="D735" s="4" t="str" cm="1">
        <f t="array" aca="1" ref="D7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35" s="2">
        <f t="shared" ca="1" si="117"/>
        <v>30.006540271062857</v>
      </c>
      <c r="F735" s="4" t="str" cm="1">
        <f t="array" aca="1" ref="F7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35" s="2">
        <f t="shared" ca="1" si="118"/>
        <v>40.004195604140229</v>
      </c>
      <c r="H735" s="47" t="str" cm="1">
        <f t="array" aca="1" ref="H7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36" spans="1:8" x14ac:dyDescent="0.25">
      <c r="A736" s="2">
        <f t="shared" ca="1" si="115"/>
        <v>3.0018000844533343</v>
      </c>
      <c r="B736" s="4" cm="1">
        <f t="array" aca="1" ref="B7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736" s="2">
        <f t="shared" ca="1" si="116"/>
        <v>3.0048672252093591</v>
      </c>
      <c r="D736" s="4" t="str" cm="1">
        <f t="array" aca="1" ref="D7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36" s="2">
        <f t="shared" ca="1" si="117"/>
        <v>30.029490127948485</v>
      </c>
      <c r="F736" s="4" t="str" cm="1">
        <f t="array" aca="1" ref="F7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36" s="2">
        <f t="shared" ca="1" si="118"/>
        <v>40.018131287969688</v>
      </c>
      <c r="H736" s="47" t="str" cm="1">
        <f t="array" aca="1" ref="H7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37" spans="1:8" x14ac:dyDescent="0.25">
      <c r="A737" s="2">
        <f t="shared" ca="1" si="115"/>
        <v>3.0063746984275528</v>
      </c>
      <c r="B737" s="4" cm="1">
        <f t="array" aca="1" ref="B7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737" s="2">
        <f t="shared" ca="1" si="116"/>
        <v>3.0021014701081721</v>
      </c>
      <c r="D737" s="4" t="str" cm="1">
        <f t="array" aca="1" ref="D7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37" s="2">
        <f t="shared" ca="1" si="117"/>
        <v>30.012363677519581</v>
      </c>
      <c r="F737" s="4" t="str" cm="1">
        <f t="array" aca="1" ref="F7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37" s="2">
        <f t="shared" ca="1" si="118"/>
        <v>40.022892398916852</v>
      </c>
      <c r="H737" s="47" t="str" cm="1">
        <f t="array" aca="1" ref="H7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38" spans="1:8" x14ac:dyDescent="0.25">
      <c r="A738" s="2">
        <f t="shared" ca="1" si="115"/>
        <v>3.0002429068960002</v>
      </c>
      <c r="B738" s="4" cm="1">
        <f t="array" aca="1" ref="B7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738" s="2">
        <f t="shared" ca="1" si="116"/>
        <v>3.0162125220197962</v>
      </c>
      <c r="D738" s="4" t="str" cm="1">
        <f t="array" aca="1" ref="D7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38" s="2">
        <f t="shared" ca="1" si="117"/>
        <v>30.023589308222146</v>
      </c>
      <c r="F738" s="4" t="str" cm="1">
        <f t="array" aca="1" ref="F7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38" s="2">
        <f t="shared" ca="1" si="118"/>
        <v>40.028069560261791</v>
      </c>
      <c r="H738" s="47" t="str" cm="1">
        <f t="array" aca="1" ref="H7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39" spans="1:8" x14ac:dyDescent="0.25">
      <c r="A739" s="2">
        <f t="shared" ca="1" si="115"/>
        <v>3.0060268792876252</v>
      </c>
      <c r="B739" s="4" cm="1">
        <f t="array" aca="1" ref="B7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739" s="2">
        <f t="shared" ca="1" si="116"/>
        <v>3.0074428949145657</v>
      </c>
      <c r="D739" s="4" t="str" cm="1">
        <f t="array" aca="1" ref="D7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39" s="2">
        <f t="shared" ca="1" si="117"/>
        <v>30.005014410686268</v>
      </c>
      <c r="F739" s="4" t="str" cm="1">
        <f t="array" aca="1" ref="F7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39" s="2">
        <f t="shared" ca="1" si="118"/>
        <v>40.008394568640874</v>
      </c>
      <c r="H739" s="47" t="str" cm="1">
        <f t="array" aca="1" ref="H7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40" spans="1:8" x14ac:dyDescent="0.25">
      <c r="A740" s="2">
        <f t="shared" ca="1" si="115"/>
        <v>3.0084992804681212</v>
      </c>
      <c r="B740" s="4" cm="1">
        <f t="array" aca="1" ref="B7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740" s="2">
        <f t="shared" ca="1" si="116"/>
        <v>3.0054771033930021</v>
      </c>
      <c r="D740" s="4" t="str" cm="1">
        <f t="array" aca="1" ref="D7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40" s="2">
        <f t="shared" ca="1" si="117"/>
        <v>30.010265834805487</v>
      </c>
      <c r="F740" s="4" t="str" cm="1">
        <f t="array" aca="1" ref="F7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40" s="2">
        <f t="shared" ca="1" si="118"/>
        <v>40.000054725972618</v>
      </c>
      <c r="H740" s="47" t="str" cm="1">
        <f t="array" aca="1" ref="H7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41" spans="1:8" x14ac:dyDescent="0.25">
      <c r="A741" s="2">
        <f t="shared" ca="1" si="115"/>
        <v>3.0079681658212811</v>
      </c>
      <c r="B741" s="4" cm="1">
        <f t="array" aca="1" ref="B7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741" s="2">
        <f t="shared" ca="1" si="116"/>
        <v>3.0194265294853126</v>
      </c>
      <c r="D741" s="4" t="str" cm="1">
        <f t="array" aca="1" ref="D7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41" s="2">
        <f t="shared" ca="1" si="117"/>
        <v>30.025922052938778</v>
      </c>
      <c r="F741" s="4" t="str" cm="1">
        <f t="array" aca="1" ref="F7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41" s="2">
        <f t="shared" ca="1" si="118"/>
        <v>40.024838248376916</v>
      </c>
      <c r="H741" s="47" t="str" cm="1">
        <f t="array" aca="1" ref="H7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42" spans="1:8" x14ac:dyDescent="0.25">
      <c r="A742" s="2">
        <f t="shared" ca="1" si="115"/>
        <v>3.0010643582944878</v>
      </c>
      <c r="B742" s="4" cm="1">
        <f t="array" aca="1" ref="B7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742" s="2">
        <f t="shared" ca="1" si="116"/>
        <v>3.0075513217014302</v>
      </c>
      <c r="D742" s="4" t="str" cm="1">
        <f t="array" aca="1" ref="D7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42" s="2">
        <f t="shared" ca="1" si="117"/>
        <v>30.007116233310981</v>
      </c>
      <c r="F742" s="4" t="str" cm="1">
        <f t="array" aca="1" ref="F7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42" s="2">
        <f t="shared" ca="1" si="118"/>
        <v>40.024845283308863</v>
      </c>
      <c r="H742" s="47" t="str" cm="1">
        <f t="array" aca="1" ref="H7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43" spans="1:8" x14ac:dyDescent="0.25">
      <c r="A743" s="2">
        <f t="shared" ca="1" si="115"/>
        <v>3.009931731084738</v>
      </c>
      <c r="B743" s="4" cm="1">
        <f t="array" aca="1" ref="B7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743" s="2">
        <f t="shared" ca="1" si="116"/>
        <v>3.0027034237175059</v>
      </c>
      <c r="D743" s="4" t="str" cm="1">
        <f t="array" aca="1" ref="D7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43" s="2">
        <f t="shared" ca="1" si="117"/>
        <v>30.01627622836595</v>
      </c>
      <c r="F743" s="4" t="str" cm="1">
        <f t="array" aca="1" ref="F7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43" s="2">
        <f t="shared" ca="1" si="118"/>
        <v>40.018172078415823</v>
      </c>
      <c r="H743" s="47" t="str" cm="1">
        <f t="array" aca="1" ref="H7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44" spans="1:8" x14ac:dyDescent="0.25">
      <c r="A744" s="2">
        <f t="shared" ca="1" si="115"/>
        <v>3.0037487496556916</v>
      </c>
      <c r="B744" s="4" cm="1">
        <f t="array" aca="1" ref="B7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744" s="2">
        <f t="shared" ca="1" si="116"/>
        <v>3.0267650328018645</v>
      </c>
      <c r="D744" s="4" t="str" cm="1">
        <f t="array" aca="1" ref="D7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44" s="2">
        <f t="shared" ca="1" si="117"/>
        <v>30.002022151240659</v>
      </c>
      <c r="F744" s="4" t="str" cm="1">
        <f t="array" aca="1" ref="F7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44" s="2">
        <f t="shared" ca="1" si="118"/>
        <v>40.015066548911406</v>
      </c>
      <c r="H744" s="47" t="str" cm="1">
        <f t="array" aca="1" ref="H7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45" spans="1:8" x14ac:dyDescent="0.25">
      <c r="A745" s="2">
        <f t="shared" ca="1" si="115"/>
        <v>3.006216203598552</v>
      </c>
      <c r="B745" s="4" cm="1">
        <f t="array" aca="1" ref="B7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745" s="2">
        <f t="shared" ca="1" si="116"/>
        <v>3.0103088335821777</v>
      </c>
      <c r="D745" s="4" t="str" cm="1">
        <f t="array" aca="1" ref="D7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45" s="2">
        <f t="shared" ca="1" si="117"/>
        <v>30.019979741790586</v>
      </c>
      <c r="F745" s="4" t="str" cm="1">
        <f t="array" aca="1" ref="F7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45" s="2">
        <f t="shared" ca="1" si="118"/>
        <v>40.001439062496061</v>
      </c>
      <c r="H745" s="47" t="str" cm="1">
        <f t="array" aca="1" ref="H7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46" spans="1:8" x14ac:dyDescent="0.25">
      <c r="A746" s="2">
        <f t="shared" ca="1" si="115"/>
        <v>3.0033996158749239</v>
      </c>
      <c r="B746" s="4" cm="1">
        <f t="array" aca="1" ref="B7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746" s="2">
        <f t="shared" ca="1" si="116"/>
        <v>3.0260927921299428</v>
      </c>
      <c r="D746" s="4" t="str" cm="1">
        <f t="array" aca="1" ref="D7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46" s="2">
        <f t="shared" ca="1" si="117"/>
        <v>30.007081411840609</v>
      </c>
      <c r="F746" s="4" t="str" cm="1">
        <f t="array" aca="1" ref="F7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46" s="2">
        <f t="shared" ca="1" si="118"/>
        <v>40.013725594552888</v>
      </c>
      <c r="H746" s="47" t="str" cm="1">
        <f t="array" aca="1" ref="H7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47" spans="1:8" x14ac:dyDescent="0.25">
      <c r="A747" s="2">
        <f t="shared" ca="1" si="115"/>
        <v>3.0054575651409672</v>
      </c>
      <c r="B747" s="4" cm="1">
        <f t="array" aca="1" ref="B7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747" s="2">
        <f t="shared" ca="1" si="116"/>
        <v>3.0144619290541201</v>
      </c>
      <c r="D747" s="4" t="str" cm="1">
        <f t="array" aca="1" ref="D7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47" s="2">
        <f t="shared" ca="1" si="117"/>
        <v>30.005375503509768</v>
      </c>
      <c r="F747" s="4" t="str" cm="1">
        <f t="array" aca="1" ref="F7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47" s="2">
        <f t="shared" ca="1" si="118"/>
        <v>40.014435585641614</v>
      </c>
      <c r="H747" s="47" t="str" cm="1">
        <f t="array" aca="1" ref="H7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48" spans="1:8" x14ac:dyDescent="0.25">
      <c r="A748" s="2">
        <f t="shared" ca="1" si="115"/>
        <v>3.0079783284736585</v>
      </c>
      <c r="B748" s="4" cm="1">
        <f t="array" aca="1" ref="B7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748" s="2">
        <f t="shared" ca="1" si="116"/>
        <v>3.0144451397689425</v>
      </c>
      <c r="D748" s="4" t="str" cm="1">
        <f t="array" aca="1" ref="D7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48" s="2">
        <f t="shared" ca="1" si="117"/>
        <v>30.001522537253237</v>
      </c>
      <c r="F748" s="4" t="str" cm="1">
        <f t="array" aca="1" ref="F7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48" s="2">
        <f t="shared" ca="1" si="118"/>
        <v>40.000571485592801</v>
      </c>
      <c r="H748" s="47" t="str" cm="1">
        <f t="array" aca="1" ref="H7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49" spans="1:8" x14ac:dyDescent="0.25">
      <c r="A749" s="2">
        <f t="shared" ca="1" si="115"/>
        <v>3.0023937511439796</v>
      </c>
      <c r="B749" s="4" cm="1">
        <f t="array" aca="1" ref="B7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749" s="2">
        <f t="shared" ca="1" si="116"/>
        <v>3.0131463695325031</v>
      </c>
      <c r="D749" s="4" t="str" cm="1">
        <f t="array" aca="1" ref="D7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49" s="2">
        <f t="shared" ca="1" si="117"/>
        <v>30.012512637732783</v>
      </c>
      <c r="F749" s="4" t="str" cm="1">
        <f t="array" aca="1" ref="F7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49" s="2">
        <f t="shared" ca="1" si="118"/>
        <v>40.020165672083294</v>
      </c>
      <c r="H749" s="47" t="str" cm="1">
        <f t="array" aca="1" ref="H7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50" spans="1:8" x14ac:dyDescent="0.25">
      <c r="A750" s="2">
        <f t="shared" ca="1" si="115"/>
        <v>3.0085552773012361</v>
      </c>
      <c r="B750" s="4" cm="1">
        <f t="array" aca="1" ref="B7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750" s="2">
        <f t="shared" ca="1" si="116"/>
        <v>3.0066919962526142</v>
      </c>
      <c r="D750" s="4" t="str" cm="1">
        <f t="array" aca="1" ref="D7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50" s="2">
        <f t="shared" ca="1" si="117"/>
        <v>30.010382526896091</v>
      </c>
      <c r="F750" s="4" t="str" cm="1">
        <f t="array" aca="1" ref="F7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50" s="2">
        <f t="shared" ca="1" si="118"/>
        <v>40.026750494908491</v>
      </c>
      <c r="H750" s="47" t="str" cm="1">
        <f t="array" aca="1" ref="H7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51" spans="1:8" x14ac:dyDescent="0.25">
      <c r="A751" s="2">
        <f t="shared" ca="1" si="115"/>
        <v>3.0034908746850797</v>
      </c>
      <c r="B751" s="4" cm="1">
        <f t="array" aca="1" ref="B7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751" s="2">
        <f t="shared" ca="1" si="116"/>
        <v>3.0201074600778992</v>
      </c>
      <c r="D751" s="4" t="str" cm="1">
        <f t="array" aca="1" ref="D7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51" s="2">
        <f t="shared" ca="1" si="117"/>
        <v>30.025589284811488</v>
      </c>
      <c r="F751" s="4" t="str" cm="1">
        <f t="array" aca="1" ref="F7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51" s="2">
        <f t="shared" ca="1" si="118"/>
        <v>40.007241736129068</v>
      </c>
      <c r="H751" s="47" t="str" cm="1">
        <f t="array" aca="1" ref="H7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52" spans="1:8" x14ac:dyDescent="0.25">
      <c r="A752" s="2">
        <f t="shared" ca="1" si="115"/>
        <v>3.0082777737580741</v>
      </c>
      <c r="B752" s="4" cm="1">
        <f t="array" aca="1" ref="B7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752" s="2">
        <f t="shared" ca="1" si="116"/>
        <v>3.0188461429833158</v>
      </c>
      <c r="D752" s="4" t="str" cm="1">
        <f t="array" aca="1" ref="D7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52" s="2">
        <f t="shared" ca="1" si="117"/>
        <v>30.024485417993859</v>
      </c>
      <c r="F752" s="4" t="str" cm="1">
        <f t="array" aca="1" ref="F7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52" s="2">
        <f t="shared" ca="1" si="118"/>
        <v>40.014663859751515</v>
      </c>
      <c r="H752" s="47" t="str" cm="1">
        <f t="array" aca="1" ref="H7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53" spans="1:8" x14ac:dyDescent="0.25">
      <c r="A753" s="2">
        <f t="shared" ca="1" si="115"/>
        <v>3.0012603331177279</v>
      </c>
      <c r="B753" s="4" cm="1">
        <f t="array" aca="1" ref="B7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753" s="2">
        <f t="shared" ca="1" si="116"/>
        <v>3.0093623749857974</v>
      </c>
      <c r="D753" s="4" t="str" cm="1">
        <f t="array" aca="1" ref="D7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53" s="2">
        <f t="shared" ca="1" si="117"/>
        <v>30.008997134260696</v>
      </c>
      <c r="F753" s="4" t="str" cm="1">
        <f t="array" aca="1" ref="F7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53" s="2">
        <f t="shared" ca="1" si="118"/>
        <v>40.001624758221567</v>
      </c>
      <c r="H753" s="47" t="str" cm="1">
        <f t="array" aca="1" ref="H7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54" spans="1:8" x14ac:dyDescent="0.25">
      <c r="A754" s="2">
        <f t="shared" ca="1" si="115"/>
        <v>3.0075747067921066</v>
      </c>
      <c r="B754" s="4" cm="1">
        <f t="array" aca="1" ref="B7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754" s="2">
        <f t="shared" ca="1" si="116"/>
        <v>3.0149621658378614</v>
      </c>
      <c r="D754" s="4" t="str" cm="1">
        <f t="array" aca="1" ref="D7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54" s="2">
        <f t="shared" ca="1" si="117"/>
        <v>30.006101780338561</v>
      </c>
      <c r="F754" s="4" t="str" cm="1">
        <f t="array" aca="1" ref="F7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54" s="2">
        <f t="shared" ca="1" si="118"/>
        <v>40.02239854025742</v>
      </c>
      <c r="H754" s="47" t="str" cm="1">
        <f t="array" aca="1" ref="H7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55" spans="1:8" x14ac:dyDescent="0.25">
      <c r="A755" s="2">
        <f t="shared" ca="1" si="115"/>
        <v>3.0071258987873675</v>
      </c>
      <c r="B755" s="4" cm="1">
        <f t="array" aca="1" ref="B7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755" s="2">
        <f t="shared" ca="1" si="116"/>
        <v>3.0295568077756294</v>
      </c>
      <c r="D755" s="4" t="str" cm="1">
        <f t="array" aca="1" ref="D7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55" s="2">
        <f t="shared" ca="1" si="117"/>
        <v>30.011296815359071</v>
      </c>
      <c r="F755" s="4" t="str" cm="1">
        <f t="array" aca="1" ref="F7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55" s="2">
        <f t="shared" ca="1" si="118"/>
        <v>40.004453245862415</v>
      </c>
      <c r="H755" s="47" t="str" cm="1">
        <f t="array" aca="1" ref="H7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56" spans="1:8" x14ac:dyDescent="0.25">
      <c r="A756" s="2">
        <f t="shared" ca="1" si="115"/>
        <v>3.0057103840824206</v>
      </c>
      <c r="B756" s="4" cm="1">
        <f t="array" aca="1" ref="B7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756" s="2">
        <f t="shared" ca="1" si="116"/>
        <v>3.0042301850333786</v>
      </c>
      <c r="D756" s="4" t="str" cm="1">
        <f t="array" aca="1" ref="D7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56" s="2">
        <f t="shared" ca="1" si="117"/>
        <v>30.018402511275134</v>
      </c>
      <c r="F756" s="4" t="str" cm="1">
        <f t="array" aca="1" ref="F7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56" s="2">
        <f t="shared" ca="1" si="118"/>
        <v>40.022783136402467</v>
      </c>
      <c r="H756" s="47" t="str" cm="1">
        <f t="array" aca="1" ref="H7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57" spans="1:8" x14ac:dyDescent="0.25">
      <c r="A757" s="2">
        <f t="shared" ca="1" si="115"/>
        <v>3.0009499078807433</v>
      </c>
      <c r="B757" s="4" cm="1">
        <f t="array" aca="1" ref="B7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757" s="2">
        <f t="shared" ca="1" si="116"/>
        <v>3.0096360837477008</v>
      </c>
      <c r="D757" s="4" t="str" cm="1">
        <f t="array" aca="1" ref="D7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57" s="2">
        <f t="shared" ca="1" si="117"/>
        <v>30.012863095171841</v>
      </c>
      <c r="F757" s="4" t="str" cm="1">
        <f t="array" aca="1" ref="F7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57" s="2">
        <f t="shared" ca="1" si="118"/>
        <v>40.000743942301931</v>
      </c>
      <c r="H757" s="47" t="str" cm="1">
        <f t="array" aca="1" ref="H7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58" spans="1:8" x14ac:dyDescent="0.25">
      <c r="A758" s="2">
        <f t="shared" ca="1" si="115"/>
        <v>3.0021764516503753</v>
      </c>
      <c r="B758" s="4" cm="1">
        <f t="array" aca="1" ref="B7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758" s="2">
        <f t="shared" ca="1" si="116"/>
        <v>3.0223869761071547</v>
      </c>
      <c r="D758" s="4" t="str" cm="1">
        <f t="array" aca="1" ref="D7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58" s="2">
        <f t="shared" ca="1" si="117"/>
        <v>30.015643376443141</v>
      </c>
      <c r="F758" s="4" t="str" cm="1">
        <f t="array" aca="1" ref="F7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58" s="2">
        <f t="shared" ca="1" si="118"/>
        <v>40.018720728326265</v>
      </c>
      <c r="H758" s="47" t="str" cm="1">
        <f t="array" aca="1" ref="H7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59" spans="1:8" x14ac:dyDescent="0.25">
      <c r="A759" s="2">
        <f t="shared" ca="1" si="115"/>
        <v>3.0091524252753001</v>
      </c>
      <c r="B759" s="4" cm="1">
        <f t="array" aca="1" ref="B7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759" s="2">
        <f t="shared" ca="1" si="116"/>
        <v>3.0192318496700765</v>
      </c>
      <c r="D759" s="4" t="str" cm="1">
        <f t="array" aca="1" ref="D7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59" s="2">
        <f t="shared" ca="1" si="117"/>
        <v>30.010504900927362</v>
      </c>
      <c r="F759" s="4" t="str" cm="1">
        <f t="array" aca="1" ref="F7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59" s="2">
        <f t="shared" ca="1" si="118"/>
        <v>40.023974630040996</v>
      </c>
      <c r="H759" s="47" t="str" cm="1">
        <f t="array" aca="1" ref="H7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60" spans="1:8" x14ac:dyDescent="0.25">
      <c r="A760" s="2">
        <f t="shared" ca="1" si="115"/>
        <v>3.0031549993847522</v>
      </c>
      <c r="B760" s="4" cm="1">
        <f t="array" aca="1" ref="B7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760" s="2">
        <f t="shared" ca="1" si="116"/>
        <v>3.0174247709395847</v>
      </c>
      <c r="D760" s="4" t="str" cm="1">
        <f t="array" aca="1" ref="D7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60" s="2">
        <f t="shared" ca="1" si="117"/>
        <v>30.01231340215627</v>
      </c>
      <c r="F760" s="4" t="str" cm="1">
        <f t="array" aca="1" ref="F7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60" s="2">
        <f t="shared" ca="1" si="118"/>
        <v>40.027443311694689</v>
      </c>
      <c r="H760" s="47" t="str" cm="1">
        <f t="array" aca="1" ref="H7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61" spans="1:8" x14ac:dyDescent="0.25">
      <c r="A761" s="2">
        <f t="shared" ca="1" si="115"/>
        <v>3.0078767637703843</v>
      </c>
      <c r="B761" s="4" cm="1">
        <f t="array" aca="1" ref="B7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761" s="2">
        <f t="shared" ca="1" si="116"/>
        <v>3.0065835465664241</v>
      </c>
      <c r="D761" s="4" t="str" cm="1">
        <f t="array" aca="1" ref="D7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61" s="2">
        <f t="shared" ca="1" si="117"/>
        <v>30.018449308536539</v>
      </c>
      <c r="F761" s="4" t="str" cm="1">
        <f t="array" aca="1" ref="F7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61" s="2">
        <f t="shared" ca="1" si="118"/>
        <v>40.01922047625591</v>
      </c>
      <c r="H761" s="47" t="str" cm="1">
        <f t="array" aca="1" ref="H7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62" spans="1:8" x14ac:dyDescent="0.25">
      <c r="A762" s="2">
        <f t="shared" ca="1" si="115"/>
        <v>3.0048089221595116</v>
      </c>
      <c r="B762" s="4" cm="1">
        <f t="array" aca="1" ref="B7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762" s="2">
        <f t="shared" ca="1" si="116"/>
        <v>3.003426437474781</v>
      </c>
      <c r="D762" s="4" t="str" cm="1">
        <f t="array" aca="1" ref="D7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62" s="2">
        <f t="shared" ca="1" si="117"/>
        <v>30.009705219947392</v>
      </c>
      <c r="F762" s="4" t="str" cm="1">
        <f t="array" aca="1" ref="F7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62" s="2">
        <f t="shared" ca="1" si="118"/>
        <v>40.028546721030722</v>
      </c>
      <c r="H762" s="47" t="str" cm="1">
        <f t="array" aca="1" ref="H7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63" spans="1:8" x14ac:dyDescent="0.25">
      <c r="A763" s="2">
        <f t="shared" ca="1" si="115"/>
        <v>3.0025536711279375</v>
      </c>
      <c r="B763" s="4" cm="1">
        <f t="array" aca="1" ref="B7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763" s="2">
        <f t="shared" ca="1" si="116"/>
        <v>3.0224205378437019</v>
      </c>
      <c r="D763" s="4" t="str" cm="1">
        <f t="array" aca="1" ref="D7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63" s="2">
        <f t="shared" ca="1" si="117"/>
        <v>30.013704038138904</v>
      </c>
      <c r="F763" s="4" t="str" cm="1">
        <f t="array" aca="1" ref="F7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63" s="2">
        <f t="shared" ca="1" si="118"/>
        <v>40.004121452395822</v>
      </c>
      <c r="H763" s="47" t="str" cm="1">
        <f t="array" aca="1" ref="H7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64" spans="1:8" x14ac:dyDescent="0.25">
      <c r="A764" s="2">
        <f t="shared" ca="1" si="115"/>
        <v>3.0086436382377197</v>
      </c>
      <c r="B764" s="4" cm="1">
        <f t="array" aca="1" ref="B7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764" s="2">
        <f t="shared" ca="1" si="116"/>
        <v>3.0106242178214506</v>
      </c>
      <c r="D764" s="4" t="str" cm="1">
        <f t="array" aca="1" ref="D7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64" s="2">
        <f t="shared" ca="1" si="117"/>
        <v>30.025753728233113</v>
      </c>
      <c r="F764" s="4" t="str" cm="1">
        <f t="array" aca="1" ref="F7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64" s="2">
        <f t="shared" ca="1" si="118"/>
        <v>40.027723497318433</v>
      </c>
      <c r="H764" s="47" t="str" cm="1">
        <f t="array" aca="1" ref="H7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65" spans="1:8" x14ac:dyDescent="0.25">
      <c r="A765" s="2">
        <f t="shared" ca="1" si="115"/>
        <v>3.00120349297744</v>
      </c>
      <c r="B765" s="4" cm="1">
        <f t="array" aca="1" ref="B7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765" s="2">
        <f t="shared" ca="1" si="116"/>
        <v>3.0240931753447891</v>
      </c>
      <c r="D765" s="4" t="str" cm="1">
        <f t="array" aca="1" ref="D7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65" s="2">
        <f t="shared" ca="1" si="117"/>
        <v>30.0248937285244</v>
      </c>
      <c r="F765" s="4" t="str" cm="1">
        <f t="array" aca="1" ref="F7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65" s="2">
        <f t="shared" ca="1" si="118"/>
        <v>40.009873133744264</v>
      </c>
      <c r="H765" s="47" t="str" cm="1">
        <f t="array" aca="1" ref="H7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66" spans="1:8" x14ac:dyDescent="0.25">
      <c r="A766" s="2">
        <f t="shared" ca="1" si="115"/>
        <v>3.0017821637131501</v>
      </c>
      <c r="B766" s="4" cm="1">
        <f t="array" aca="1" ref="B7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766" s="2">
        <f t="shared" ca="1" si="116"/>
        <v>3.0209221511320314</v>
      </c>
      <c r="D766" s="4" t="str" cm="1">
        <f t="array" aca="1" ref="D7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66" s="2">
        <f t="shared" ca="1" si="117"/>
        <v>30.014172460896841</v>
      </c>
      <c r="F766" s="4" t="str" cm="1">
        <f t="array" aca="1" ref="F7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66" s="2">
        <f t="shared" ca="1" si="118"/>
        <v>40.029690134975269</v>
      </c>
      <c r="H766" s="47" t="str" cm="1">
        <f t="array" aca="1" ref="H7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67" spans="1:8" x14ac:dyDescent="0.25">
      <c r="A767" s="2">
        <f t="shared" ca="1" si="115"/>
        <v>3.0078693385948583</v>
      </c>
      <c r="B767" s="4" cm="1">
        <f t="array" aca="1" ref="B7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767" s="2">
        <f t="shared" ca="1" si="116"/>
        <v>3.0205736501718796</v>
      </c>
      <c r="D767" s="4" t="str" cm="1">
        <f t="array" aca="1" ref="D7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67" s="2">
        <f t="shared" ca="1" si="117"/>
        <v>30.028694940439255</v>
      </c>
      <c r="F767" s="4" t="str" cm="1">
        <f t="array" aca="1" ref="F7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67" s="2">
        <f t="shared" ca="1" si="118"/>
        <v>40.012606753658602</v>
      </c>
      <c r="H767" s="47" t="str" cm="1">
        <f t="array" aca="1" ref="H7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68" spans="1:8" x14ac:dyDescent="0.25">
      <c r="A768" s="2">
        <f t="shared" ca="1" si="115"/>
        <v>3.0039473591374839</v>
      </c>
      <c r="B768" s="4" cm="1">
        <f t="array" aca="1" ref="B7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768" s="2">
        <f t="shared" ca="1" si="116"/>
        <v>3.0250885635571154</v>
      </c>
      <c r="D768" s="4" t="str" cm="1">
        <f t="array" aca="1" ref="D7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68" s="2">
        <f t="shared" ca="1" si="117"/>
        <v>30.024495499653771</v>
      </c>
      <c r="F768" s="4" t="str" cm="1">
        <f t="array" aca="1" ref="F7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68" s="2">
        <f t="shared" ca="1" si="118"/>
        <v>40.011227657261209</v>
      </c>
      <c r="H768" s="47" t="str" cm="1">
        <f t="array" aca="1" ref="H7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69" spans="1:8" x14ac:dyDescent="0.25">
      <c r="A769" s="2">
        <f t="shared" ca="1" si="115"/>
        <v>3.0029892829955642</v>
      </c>
      <c r="B769" s="4" cm="1">
        <f t="array" aca="1" ref="B7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769" s="2">
        <f t="shared" ca="1" si="116"/>
        <v>3.0173240939942998</v>
      </c>
      <c r="D769" s="4" t="str" cm="1">
        <f t="array" aca="1" ref="D7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69" s="2">
        <f t="shared" ca="1" si="117"/>
        <v>30.016289055975282</v>
      </c>
      <c r="F769" s="4" t="str" cm="1">
        <f t="array" aca="1" ref="F7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69" s="2">
        <f t="shared" ca="1" si="118"/>
        <v>40.02196704494758</v>
      </c>
      <c r="H769" s="47" t="str" cm="1">
        <f t="array" aca="1" ref="H7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70" spans="1:8" x14ac:dyDescent="0.25">
      <c r="A770" s="2">
        <f t="shared" ref="A770:A833" ca="1" si="119">3+RAND()*0.01</f>
        <v>3.0071049894274102</v>
      </c>
      <c r="B770" s="4" cm="1">
        <f t="array" aca="1" ref="B7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770" s="2">
        <f t="shared" ref="C770:C833" ca="1" si="120">3+RAND()*0.03</f>
        <v>3.006125164521265</v>
      </c>
      <c r="D770" s="4" t="str" cm="1">
        <f t="array" aca="1" ref="D7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70" s="2">
        <f t="shared" ref="E770:E833" ca="1" si="121">30+RAND()*0.03</f>
        <v>30.028185904334482</v>
      </c>
      <c r="F770" s="4" t="str" cm="1">
        <f t="array" aca="1" ref="F7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70" s="2">
        <f t="shared" ref="G770:G833" ca="1" si="122">40+RAND()*0.03</f>
        <v>40.009479459645767</v>
      </c>
      <c r="H770" s="47" t="str" cm="1">
        <f t="array" aca="1" ref="H7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71" spans="1:8" x14ac:dyDescent="0.25">
      <c r="A771" s="2">
        <f t="shared" ca="1" si="119"/>
        <v>3.0086918552291584</v>
      </c>
      <c r="B771" s="4" cm="1">
        <f t="array" aca="1" ref="B7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771" s="2">
        <f t="shared" ca="1" si="120"/>
        <v>3.0140120020581516</v>
      </c>
      <c r="D771" s="4" t="str" cm="1">
        <f t="array" aca="1" ref="D7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71" s="2">
        <f t="shared" ca="1" si="121"/>
        <v>30.029663167433799</v>
      </c>
      <c r="F771" s="4" t="str" cm="1">
        <f t="array" aca="1" ref="F7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71" s="2">
        <f t="shared" ca="1" si="122"/>
        <v>40.029634154896812</v>
      </c>
      <c r="H771" s="47" t="str" cm="1">
        <f t="array" aca="1" ref="H7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72" spans="1:8" x14ac:dyDescent="0.25">
      <c r="A772" s="2">
        <f t="shared" ca="1" si="119"/>
        <v>3.0077276323774784</v>
      </c>
      <c r="B772" s="4" cm="1">
        <f t="array" aca="1" ref="B7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772" s="2">
        <f t="shared" ca="1" si="120"/>
        <v>3.0258713949759453</v>
      </c>
      <c r="D772" s="4" t="str" cm="1">
        <f t="array" aca="1" ref="D7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72" s="2">
        <f t="shared" ca="1" si="121"/>
        <v>30.022431416187391</v>
      </c>
      <c r="F772" s="4" t="str" cm="1">
        <f t="array" aca="1" ref="F7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72" s="2">
        <f t="shared" ca="1" si="122"/>
        <v>40.006671817614311</v>
      </c>
      <c r="H772" s="47" t="str" cm="1">
        <f t="array" aca="1" ref="H7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73" spans="1:8" x14ac:dyDescent="0.25">
      <c r="A773" s="2">
        <f t="shared" ca="1" si="119"/>
        <v>3.0038861973653619</v>
      </c>
      <c r="B773" s="4" cm="1">
        <f t="array" aca="1" ref="B7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773" s="2">
        <f t="shared" ca="1" si="120"/>
        <v>3.0118187274070465</v>
      </c>
      <c r="D773" s="4" t="str" cm="1">
        <f t="array" aca="1" ref="D7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73" s="2">
        <f t="shared" ca="1" si="121"/>
        <v>30.001793124372369</v>
      </c>
      <c r="F773" s="4" t="str" cm="1">
        <f t="array" aca="1" ref="F7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73" s="2">
        <f t="shared" ca="1" si="122"/>
        <v>40.002802552090202</v>
      </c>
      <c r="H773" s="47" t="str" cm="1">
        <f t="array" aca="1" ref="H7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74" spans="1:8" x14ac:dyDescent="0.25">
      <c r="A774" s="2">
        <f t="shared" ca="1" si="119"/>
        <v>3.0083629479145007</v>
      </c>
      <c r="B774" s="4" cm="1">
        <f t="array" aca="1" ref="B7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774" s="2">
        <f t="shared" ca="1" si="120"/>
        <v>3.0285606899446371</v>
      </c>
      <c r="D774" s="4" t="str" cm="1">
        <f t="array" aca="1" ref="D7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74" s="2">
        <f t="shared" ca="1" si="121"/>
        <v>30.010828625828143</v>
      </c>
      <c r="F774" s="4" t="str" cm="1">
        <f t="array" aca="1" ref="F7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74" s="2">
        <f t="shared" ca="1" si="122"/>
        <v>40.015666542845402</v>
      </c>
      <c r="H774" s="47" t="str" cm="1">
        <f t="array" aca="1" ref="H7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75" spans="1:8" x14ac:dyDescent="0.25">
      <c r="A775" s="2">
        <f t="shared" ca="1" si="119"/>
        <v>3.0010527425574702</v>
      </c>
      <c r="B775" s="4" cm="1">
        <f t="array" aca="1" ref="B7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775" s="2">
        <f t="shared" ca="1" si="120"/>
        <v>3.0067781957857114</v>
      </c>
      <c r="D775" s="4" t="str" cm="1">
        <f t="array" aca="1" ref="D7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75" s="2">
        <f t="shared" ca="1" si="121"/>
        <v>30.006682673102567</v>
      </c>
      <c r="F775" s="4" t="str" cm="1">
        <f t="array" aca="1" ref="F7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75" s="2">
        <f t="shared" ca="1" si="122"/>
        <v>40.002611125255626</v>
      </c>
      <c r="H775" s="47" t="str" cm="1">
        <f t="array" aca="1" ref="H7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76" spans="1:8" x14ac:dyDescent="0.25">
      <c r="A776" s="2">
        <f t="shared" ca="1" si="119"/>
        <v>3.0006068320269459</v>
      </c>
      <c r="B776" s="4" cm="1">
        <f t="array" aca="1" ref="B7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776" s="2">
        <f t="shared" ca="1" si="120"/>
        <v>3.0134972270376541</v>
      </c>
      <c r="D776" s="4" t="str" cm="1">
        <f t="array" aca="1" ref="D7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76" s="2">
        <f t="shared" ca="1" si="121"/>
        <v>30.012805814785523</v>
      </c>
      <c r="F776" s="4" t="str" cm="1">
        <f t="array" aca="1" ref="F7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76" s="2">
        <f t="shared" ca="1" si="122"/>
        <v>40.002285992623406</v>
      </c>
      <c r="H776" s="47" t="str" cm="1">
        <f t="array" aca="1" ref="H7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77" spans="1:8" x14ac:dyDescent="0.25">
      <c r="A777" s="2">
        <f t="shared" ca="1" si="119"/>
        <v>3.0029618888393803</v>
      </c>
      <c r="B777" s="4" cm="1">
        <f t="array" aca="1" ref="B7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777" s="2">
        <f t="shared" ca="1" si="120"/>
        <v>3.0173813699612482</v>
      </c>
      <c r="D777" s="4" t="str" cm="1">
        <f t="array" aca="1" ref="D7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77" s="2">
        <f t="shared" ca="1" si="121"/>
        <v>30.000234876876377</v>
      </c>
      <c r="F777" s="4" t="str" cm="1">
        <f t="array" aca="1" ref="F7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77" s="2">
        <f t="shared" ca="1" si="122"/>
        <v>40.016828833948196</v>
      </c>
      <c r="H777" s="47" t="str" cm="1">
        <f t="array" aca="1" ref="H7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78" spans="1:8" x14ac:dyDescent="0.25">
      <c r="A778" s="2">
        <f t="shared" ca="1" si="119"/>
        <v>3.0062217559016191</v>
      </c>
      <c r="B778" s="4" cm="1">
        <f t="array" aca="1" ref="B7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778" s="2">
        <f t="shared" ca="1" si="120"/>
        <v>3.0254092719876851</v>
      </c>
      <c r="D778" s="4" t="str" cm="1">
        <f t="array" aca="1" ref="D7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78" s="2">
        <f t="shared" ca="1" si="121"/>
        <v>30.010138555351482</v>
      </c>
      <c r="F778" s="4" t="str" cm="1">
        <f t="array" aca="1" ref="F7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78" s="2">
        <f t="shared" ca="1" si="122"/>
        <v>40.014974514721992</v>
      </c>
      <c r="H778" s="47" t="str" cm="1">
        <f t="array" aca="1" ref="H7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79" spans="1:8" x14ac:dyDescent="0.25">
      <c r="A779" s="2">
        <f t="shared" ca="1" si="119"/>
        <v>3.0051707566249162</v>
      </c>
      <c r="B779" s="4" cm="1">
        <f t="array" aca="1" ref="B7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779" s="2">
        <f t="shared" ca="1" si="120"/>
        <v>3.02733080285764</v>
      </c>
      <c r="D779" s="4" t="str" cm="1">
        <f t="array" aca="1" ref="D7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79" s="2">
        <f t="shared" ca="1" si="121"/>
        <v>30.016069632060088</v>
      </c>
      <c r="F779" s="4" t="str" cm="1">
        <f t="array" aca="1" ref="F7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79" s="2">
        <f t="shared" ca="1" si="122"/>
        <v>40.006767938706822</v>
      </c>
      <c r="H779" s="47" t="str" cm="1">
        <f t="array" aca="1" ref="H7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80" spans="1:8" x14ac:dyDescent="0.25">
      <c r="A780" s="2">
        <f t="shared" ca="1" si="119"/>
        <v>3.0062974192340399</v>
      </c>
      <c r="B780" s="4" cm="1">
        <f t="array" aca="1" ref="B7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780" s="2">
        <f t="shared" ca="1" si="120"/>
        <v>3.0222854210931325</v>
      </c>
      <c r="D780" s="4" t="str" cm="1">
        <f t="array" aca="1" ref="D7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80" s="2">
        <f t="shared" ca="1" si="121"/>
        <v>30.017690899904512</v>
      </c>
      <c r="F780" s="4" t="str" cm="1">
        <f t="array" aca="1" ref="F7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80" s="2">
        <f t="shared" ca="1" si="122"/>
        <v>40.017911173601334</v>
      </c>
      <c r="H780" s="47" t="str" cm="1">
        <f t="array" aca="1" ref="H7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81" spans="1:8" x14ac:dyDescent="0.25">
      <c r="A781" s="2">
        <f t="shared" ca="1" si="119"/>
        <v>3.0035081084888486</v>
      </c>
      <c r="B781" s="4" cm="1">
        <f t="array" aca="1" ref="B7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781" s="2">
        <f t="shared" ca="1" si="120"/>
        <v>3.0266188814486852</v>
      </c>
      <c r="D781" s="4" t="str" cm="1">
        <f t="array" aca="1" ref="D7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81" s="2">
        <f t="shared" ca="1" si="121"/>
        <v>30.002389050961991</v>
      </c>
      <c r="F781" s="4" t="str" cm="1">
        <f t="array" aca="1" ref="F7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81" s="2">
        <f t="shared" ca="1" si="122"/>
        <v>40.010926898373526</v>
      </c>
      <c r="H781" s="47" t="str" cm="1">
        <f t="array" aca="1" ref="H7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82" spans="1:8" x14ac:dyDescent="0.25">
      <c r="A782" s="2">
        <f t="shared" ca="1" si="119"/>
        <v>3.000502802408239</v>
      </c>
      <c r="B782" s="4" cm="1">
        <f t="array" aca="1" ref="B7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782" s="2">
        <f t="shared" ca="1" si="120"/>
        <v>3.0094210923594389</v>
      </c>
      <c r="D782" s="4" t="str" cm="1">
        <f t="array" aca="1" ref="D7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82" s="2">
        <f t="shared" ca="1" si="121"/>
        <v>30.009349754939933</v>
      </c>
      <c r="F782" s="4" t="str" cm="1">
        <f t="array" aca="1" ref="F7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82" s="2">
        <f t="shared" ca="1" si="122"/>
        <v>40.018200359487366</v>
      </c>
      <c r="H782" s="47" t="str" cm="1">
        <f t="array" aca="1" ref="H7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83" spans="1:8" x14ac:dyDescent="0.25">
      <c r="A783" s="2">
        <f t="shared" ca="1" si="119"/>
        <v>3.0083017624480073</v>
      </c>
      <c r="B783" s="4" cm="1">
        <f t="array" aca="1" ref="B7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783" s="2">
        <f t="shared" ca="1" si="120"/>
        <v>3.0297733021793221</v>
      </c>
      <c r="D783" s="4" t="str" cm="1">
        <f t="array" aca="1" ref="D7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83" s="2">
        <f t="shared" ca="1" si="121"/>
        <v>30.022672833538909</v>
      </c>
      <c r="F783" s="4" t="str" cm="1">
        <f t="array" aca="1" ref="F7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83" s="2">
        <f t="shared" ca="1" si="122"/>
        <v>40.026464427709094</v>
      </c>
      <c r="H783" s="47" t="str" cm="1">
        <f t="array" aca="1" ref="H7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84" spans="1:8" x14ac:dyDescent="0.25">
      <c r="A784" s="2">
        <f t="shared" ca="1" si="119"/>
        <v>3.0065200763120354</v>
      </c>
      <c r="B784" s="4" cm="1">
        <f t="array" aca="1" ref="B7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784" s="2">
        <f t="shared" ca="1" si="120"/>
        <v>3.0068761979152487</v>
      </c>
      <c r="D784" s="4" t="str" cm="1">
        <f t="array" aca="1" ref="D7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84" s="2">
        <f t="shared" ca="1" si="121"/>
        <v>30.028551525285952</v>
      </c>
      <c r="F784" s="4" t="str" cm="1">
        <f t="array" aca="1" ref="F7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84" s="2">
        <f t="shared" ca="1" si="122"/>
        <v>40.004012502932007</v>
      </c>
      <c r="H784" s="47" t="str" cm="1">
        <f t="array" aca="1" ref="H7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85" spans="1:8" x14ac:dyDescent="0.25">
      <c r="A785" s="2">
        <f t="shared" ca="1" si="119"/>
        <v>3.003508606493285</v>
      </c>
      <c r="B785" s="4" cm="1">
        <f t="array" aca="1" ref="B7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785" s="2">
        <f t="shared" ca="1" si="120"/>
        <v>3.0187640662995032</v>
      </c>
      <c r="D785" s="4" t="str" cm="1">
        <f t="array" aca="1" ref="D7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85" s="2">
        <f t="shared" ca="1" si="121"/>
        <v>30.003238486036828</v>
      </c>
      <c r="F785" s="4" t="str" cm="1">
        <f t="array" aca="1" ref="F7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85" s="2">
        <f t="shared" ca="1" si="122"/>
        <v>40.023667705229954</v>
      </c>
      <c r="H785" s="47" t="str" cm="1">
        <f t="array" aca="1" ref="H7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86" spans="1:8" x14ac:dyDescent="0.25">
      <c r="A786" s="2">
        <f t="shared" ca="1" si="119"/>
        <v>3.003661522613243</v>
      </c>
      <c r="B786" s="4" cm="1">
        <f t="array" aca="1" ref="B7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786" s="2">
        <f t="shared" ca="1" si="120"/>
        <v>3.0272081715780201</v>
      </c>
      <c r="D786" s="4" t="str" cm="1">
        <f t="array" aca="1" ref="D7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86" s="2">
        <f t="shared" ca="1" si="121"/>
        <v>30.008480801275784</v>
      </c>
      <c r="F786" s="4" t="str" cm="1">
        <f t="array" aca="1" ref="F7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86" s="2">
        <f t="shared" ca="1" si="122"/>
        <v>40.00790496780224</v>
      </c>
      <c r="H786" s="47" t="str" cm="1">
        <f t="array" aca="1" ref="H7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87" spans="1:8" x14ac:dyDescent="0.25">
      <c r="A787" s="2">
        <f t="shared" ca="1" si="119"/>
        <v>3.0081601670196441</v>
      </c>
      <c r="B787" s="4" cm="1">
        <f t="array" aca="1" ref="B7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787" s="2">
        <f t="shared" ca="1" si="120"/>
        <v>3.0009341523934245</v>
      </c>
      <c r="D787" s="4" t="str" cm="1">
        <f t="array" aca="1" ref="D7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87" s="2">
        <f t="shared" ca="1" si="121"/>
        <v>30.001553482383933</v>
      </c>
      <c r="F787" s="4" t="str" cm="1">
        <f t="array" aca="1" ref="F7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87" s="2">
        <f t="shared" ca="1" si="122"/>
        <v>40.008180457186711</v>
      </c>
      <c r="H787" s="47" t="str" cm="1">
        <f t="array" aca="1" ref="H7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88" spans="1:8" x14ac:dyDescent="0.25">
      <c r="A788" s="2">
        <f t="shared" ca="1" si="119"/>
        <v>3.0079371358280702</v>
      </c>
      <c r="B788" s="4" cm="1">
        <f t="array" aca="1" ref="B7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788" s="2">
        <f t="shared" ca="1" si="120"/>
        <v>3.014386584158534</v>
      </c>
      <c r="D788" s="4" t="str" cm="1">
        <f t="array" aca="1" ref="D7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88" s="2">
        <f t="shared" ca="1" si="121"/>
        <v>30.011848470795531</v>
      </c>
      <c r="F788" s="4" t="str" cm="1">
        <f t="array" aca="1" ref="F7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88" s="2">
        <f t="shared" ca="1" si="122"/>
        <v>40.004455666339354</v>
      </c>
      <c r="H788" s="47" t="str" cm="1">
        <f t="array" aca="1" ref="H7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89" spans="1:8" x14ac:dyDescent="0.25">
      <c r="A789" s="2">
        <f t="shared" ca="1" si="119"/>
        <v>3.0060088830257778</v>
      </c>
      <c r="B789" s="4" cm="1">
        <f t="array" aca="1" ref="B7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789" s="2">
        <f t="shared" ca="1" si="120"/>
        <v>3.0296112638093544</v>
      </c>
      <c r="D789" s="4" t="str" cm="1">
        <f t="array" aca="1" ref="D7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89" s="2">
        <f t="shared" ca="1" si="121"/>
        <v>30.010092118795882</v>
      </c>
      <c r="F789" s="4" t="str" cm="1">
        <f t="array" aca="1" ref="F7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89" s="2">
        <f t="shared" ca="1" si="122"/>
        <v>40.014337071682483</v>
      </c>
      <c r="H789" s="47" t="str" cm="1">
        <f t="array" aca="1" ref="H7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90" spans="1:8" x14ac:dyDescent="0.25">
      <c r="A790" s="2">
        <f t="shared" ca="1" si="119"/>
        <v>3.0044858324598018</v>
      </c>
      <c r="B790" s="4" cm="1">
        <f t="array" aca="1" ref="B7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790" s="2">
        <f t="shared" ca="1" si="120"/>
        <v>3.0214414908094112</v>
      </c>
      <c r="D790" s="4" t="str" cm="1">
        <f t="array" aca="1" ref="D7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90" s="2">
        <f t="shared" ca="1" si="121"/>
        <v>30.00303996517053</v>
      </c>
      <c r="F790" s="4" t="str" cm="1">
        <f t="array" aca="1" ref="F7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790" s="2">
        <f t="shared" ca="1" si="122"/>
        <v>40.01003405368408</v>
      </c>
      <c r="H790" s="47" t="str" cm="1">
        <f t="array" aca="1" ref="H7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91" spans="1:8" x14ac:dyDescent="0.25">
      <c r="A791" s="2">
        <f t="shared" ca="1" si="119"/>
        <v>3.0004686978965807</v>
      </c>
      <c r="B791" s="4" cm="1">
        <f t="array" aca="1" ref="B7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791" s="2">
        <f t="shared" ca="1" si="120"/>
        <v>3.020401863821788</v>
      </c>
      <c r="D791" s="4" t="str" cm="1">
        <f t="array" aca="1" ref="D7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791" s="2">
        <f t="shared" ca="1" si="121"/>
        <v>30.016013758150997</v>
      </c>
      <c r="F791" s="4" t="str" cm="1">
        <f t="array" aca="1" ref="F7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91" s="2">
        <f t="shared" ca="1" si="122"/>
        <v>40.015194760602682</v>
      </c>
      <c r="H791" s="47" t="str" cm="1">
        <f t="array" aca="1" ref="H7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92" spans="1:8" x14ac:dyDescent="0.25">
      <c r="A792" s="2">
        <f t="shared" ca="1" si="119"/>
        <v>3.0059336976081572</v>
      </c>
      <c r="B792" s="4" cm="1">
        <f t="array" aca="1" ref="B7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792" s="2">
        <f t="shared" ca="1" si="120"/>
        <v>3.0168345945988349</v>
      </c>
      <c r="D792" s="4" t="str" cm="1">
        <f t="array" aca="1" ref="D7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92" s="2">
        <f t="shared" ca="1" si="121"/>
        <v>30.026155627925228</v>
      </c>
      <c r="F792" s="4" t="str" cm="1">
        <f t="array" aca="1" ref="F7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92" s="2">
        <f t="shared" ca="1" si="122"/>
        <v>40.02744284405334</v>
      </c>
      <c r="H792" s="47" t="str" cm="1">
        <f t="array" aca="1" ref="H7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93" spans="1:8" x14ac:dyDescent="0.25">
      <c r="A793" s="2">
        <f t="shared" ca="1" si="119"/>
        <v>3.0024990933037832</v>
      </c>
      <c r="B793" s="4" cm="1">
        <f t="array" aca="1" ref="B7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793" s="2">
        <f t="shared" ca="1" si="120"/>
        <v>3.0188675770728728</v>
      </c>
      <c r="D793" s="4" t="str" cm="1">
        <f t="array" aca="1" ref="D7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93" s="2">
        <f t="shared" ca="1" si="121"/>
        <v>30.024905353606414</v>
      </c>
      <c r="F793" s="4" t="str" cm="1">
        <f t="array" aca="1" ref="F7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93" s="2">
        <f t="shared" ca="1" si="122"/>
        <v>40.017314085635839</v>
      </c>
      <c r="H793" s="47" t="str" cm="1">
        <f t="array" aca="1" ref="H7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94" spans="1:8" x14ac:dyDescent="0.25">
      <c r="A794" s="2">
        <f t="shared" ca="1" si="119"/>
        <v>3.0006023220983686</v>
      </c>
      <c r="B794" s="4" cm="1">
        <f t="array" aca="1" ref="B7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794" s="2">
        <f t="shared" ca="1" si="120"/>
        <v>3.0141267549602939</v>
      </c>
      <c r="D794" s="4" t="str" cm="1">
        <f t="array" aca="1" ref="D7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94" s="2">
        <f t="shared" ca="1" si="121"/>
        <v>30.02330778684707</v>
      </c>
      <c r="F794" s="4" t="str" cm="1">
        <f t="array" aca="1" ref="F7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94" s="2">
        <f t="shared" ca="1" si="122"/>
        <v>40.026794006498335</v>
      </c>
      <c r="H794" s="47" t="str" cm="1">
        <f t="array" aca="1" ref="H7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95" spans="1:8" x14ac:dyDescent="0.25">
      <c r="A795" s="2">
        <f t="shared" ca="1" si="119"/>
        <v>3.0058543342321875</v>
      </c>
      <c r="B795" s="4" cm="1">
        <f t="array" aca="1" ref="B7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795" s="2">
        <f t="shared" ca="1" si="120"/>
        <v>3.0114345512696969</v>
      </c>
      <c r="D795" s="4" t="str" cm="1">
        <f t="array" aca="1" ref="D7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95" s="2">
        <f t="shared" ca="1" si="121"/>
        <v>30.013038883984642</v>
      </c>
      <c r="F795" s="4" t="str" cm="1">
        <f t="array" aca="1" ref="F7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95" s="2">
        <f t="shared" ca="1" si="122"/>
        <v>40.008260390635982</v>
      </c>
      <c r="H795" s="47" t="str" cm="1">
        <f t="array" aca="1" ref="H7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96" spans="1:8" x14ac:dyDescent="0.25">
      <c r="A796" s="2">
        <f t="shared" ca="1" si="119"/>
        <v>3.0008113971805574</v>
      </c>
      <c r="B796" s="4" cm="1">
        <f t="array" aca="1" ref="B7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796" s="2">
        <f t="shared" ca="1" si="120"/>
        <v>3.0046417255516342</v>
      </c>
      <c r="D796" s="4" t="str" cm="1">
        <f t="array" aca="1" ref="D7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96" s="2">
        <f t="shared" ca="1" si="121"/>
        <v>30.023484875262316</v>
      </c>
      <c r="F796" s="4" t="str" cm="1">
        <f t="array" aca="1" ref="F7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96" s="2">
        <f t="shared" ca="1" si="122"/>
        <v>40.017714241524672</v>
      </c>
      <c r="H796" s="47" t="str" cm="1">
        <f t="array" aca="1" ref="H7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797" spans="1:8" x14ac:dyDescent="0.25">
      <c r="A797" s="2">
        <f t="shared" ca="1" si="119"/>
        <v>3.0071462400839786</v>
      </c>
      <c r="B797" s="4" cm="1">
        <f t="array" aca="1" ref="B7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797" s="2">
        <f t="shared" ca="1" si="120"/>
        <v>3.0042856178787241</v>
      </c>
      <c r="D797" s="4" t="str" cm="1">
        <f t="array" aca="1" ref="D7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97" s="2">
        <f t="shared" ca="1" si="121"/>
        <v>30.010459165511044</v>
      </c>
      <c r="F797" s="4" t="str" cm="1">
        <f t="array" aca="1" ref="F7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97" s="2">
        <f t="shared" ca="1" si="122"/>
        <v>40.009086551650945</v>
      </c>
      <c r="H797" s="47" t="str" cm="1">
        <f t="array" aca="1" ref="H7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798" spans="1:8" x14ac:dyDescent="0.25">
      <c r="A798" s="2">
        <f t="shared" ca="1" si="119"/>
        <v>3.0017281502646749</v>
      </c>
      <c r="B798" s="4" cm="1">
        <f t="array" aca="1" ref="B7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798" s="2">
        <f t="shared" ca="1" si="120"/>
        <v>3.0118730326691665</v>
      </c>
      <c r="D798" s="4" t="str" cm="1">
        <f t="array" aca="1" ref="D7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798" s="2">
        <f t="shared" ca="1" si="121"/>
        <v>30.010555529799134</v>
      </c>
      <c r="F798" s="4" t="str" cm="1">
        <f t="array" aca="1" ref="F7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798" s="2">
        <f t="shared" ca="1" si="122"/>
        <v>40.029104287876173</v>
      </c>
      <c r="H798" s="47" t="str" cm="1">
        <f t="array" aca="1" ref="H7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799" spans="1:8" x14ac:dyDescent="0.25">
      <c r="A799" s="2">
        <f t="shared" ca="1" si="119"/>
        <v>3.0044179939660318</v>
      </c>
      <c r="B799" s="4" cm="1">
        <f t="array" aca="1" ref="B7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799" s="2">
        <f t="shared" ca="1" si="120"/>
        <v>3.0075723159441896</v>
      </c>
      <c r="D799" s="4" t="str" cm="1">
        <f t="array" aca="1" ref="D7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799" s="2">
        <f t="shared" ca="1" si="121"/>
        <v>30.02797328238411</v>
      </c>
      <c r="F799" s="4" t="str" cm="1">
        <f t="array" aca="1" ref="F7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799" s="2">
        <f t="shared" ca="1" si="122"/>
        <v>40.017060509881311</v>
      </c>
      <c r="H799" s="47" t="str" cm="1">
        <f t="array" aca="1" ref="H7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00" spans="1:8" x14ac:dyDescent="0.25">
      <c r="A800" s="2">
        <f t="shared" ca="1" si="119"/>
        <v>3.0091769348569182</v>
      </c>
      <c r="B800" s="4" cm="1">
        <f t="array" aca="1" ref="B8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800" s="2">
        <f t="shared" ca="1" si="120"/>
        <v>3.0038501982276191</v>
      </c>
      <c r="D800" s="4" t="str" cm="1">
        <f t="array" aca="1" ref="D8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00" s="2">
        <f t="shared" ca="1" si="121"/>
        <v>30.027870019489285</v>
      </c>
      <c r="F800" s="4" t="str" cm="1">
        <f t="array" aca="1" ref="F8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00" s="2">
        <f t="shared" ca="1" si="122"/>
        <v>40.022297140486373</v>
      </c>
      <c r="H800" s="47" t="str" cm="1">
        <f t="array" aca="1" ref="H8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01" spans="1:8" x14ac:dyDescent="0.25">
      <c r="A801" s="2">
        <f t="shared" ca="1" si="119"/>
        <v>3.0095598459501174</v>
      </c>
      <c r="B801" s="4" cm="1">
        <f t="array" aca="1" ref="B8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801" s="2">
        <f t="shared" ca="1" si="120"/>
        <v>3.0123939719190242</v>
      </c>
      <c r="D801" s="4" t="str" cm="1">
        <f t="array" aca="1" ref="D8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01" s="2">
        <f t="shared" ca="1" si="121"/>
        <v>30.004259797350144</v>
      </c>
      <c r="F801" s="4" t="str" cm="1">
        <f t="array" aca="1" ref="F8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01" s="2">
        <f t="shared" ca="1" si="122"/>
        <v>40.000428458641593</v>
      </c>
      <c r="H801" s="47" t="str" cm="1">
        <f t="array" aca="1" ref="H8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02" spans="1:8" x14ac:dyDescent="0.25">
      <c r="A802" s="2">
        <f t="shared" ca="1" si="119"/>
        <v>3.0018322971611449</v>
      </c>
      <c r="B802" s="4" cm="1">
        <f t="array" aca="1" ref="B8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802" s="2">
        <f t="shared" ca="1" si="120"/>
        <v>3.0218513522571886</v>
      </c>
      <c r="D802" s="4" t="str" cm="1">
        <f t="array" aca="1" ref="D8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02" s="2">
        <f t="shared" ca="1" si="121"/>
        <v>30.014205312038797</v>
      </c>
      <c r="F802" s="4" t="str" cm="1">
        <f t="array" aca="1" ref="F8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02" s="2">
        <f t="shared" ca="1" si="122"/>
        <v>40.028463473659521</v>
      </c>
      <c r="H802" s="47" t="str" cm="1">
        <f t="array" aca="1" ref="H8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03" spans="1:8" x14ac:dyDescent="0.25">
      <c r="A803" s="2">
        <f t="shared" ca="1" si="119"/>
        <v>3.0065725793553542</v>
      </c>
      <c r="B803" s="4" cm="1">
        <f t="array" aca="1" ref="B8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803" s="2">
        <f t="shared" ca="1" si="120"/>
        <v>3.0136692037659154</v>
      </c>
      <c r="D803" s="4" t="str" cm="1">
        <f t="array" aca="1" ref="D8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03" s="2">
        <f t="shared" ca="1" si="121"/>
        <v>30.014694295677813</v>
      </c>
      <c r="F803" s="4" t="str" cm="1">
        <f t="array" aca="1" ref="F8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03" s="2">
        <f t="shared" ca="1" si="122"/>
        <v>40.008902382741198</v>
      </c>
      <c r="H803" s="47" t="str" cm="1">
        <f t="array" aca="1" ref="H8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04" spans="1:8" x14ac:dyDescent="0.25">
      <c r="A804" s="2">
        <f t="shared" ca="1" si="119"/>
        <v>3.0018875989972713</v>
      </c>
      <c r="B804" s="4" cm="1">
        <f t="array" aca="1" ref="B8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804" s="2">
        <f t="shared" ca="1" si="120"/>
        <v>3.02873009145849</v>
      </c>
      <c r="D804" s="4" t="str" cm="1">
        <f t="array" aca="1" ref="D8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04" s="2">
        <f t="shared" ca="1" si="121"/>
        <v>30.013906217293588</v>
      </c>
      <c r="F804" s="4" t="str" cm="1">
        <f t="array" aca="1" ref="F8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04" s="2">
        <f t="shared" ca="1" si="122"/>
        <v>40.025790614564869</v>
      </c>
      <c r="H804" s="47" t="str" cm="1">
        <f t="array" aca="1" ref="H8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05" spans="1:8" x14ac:dyDescent="0.25">
      <c r="A805" s="2">
        <f t="shared" ca="1" si="119"/>
        <v>3.004870773347879</v>
      </c>
      <c r="B805" s="4" cm="1">
        <f t="array" aca="1" ref="B8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805" s="2">
        <f t="shared" ca="1" si="120"/>
        <v>3.0099847418723309</v>
      </c>
      <c r="D805" s="4" t="str" cm="1">
        <f t="array" aca="1" ref="D8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05" s="2">
        <f t="shared" ca="1" si="121"/>
        <v>30.002795321134315</v>
      </c>
      <c r="F805" s="4" t="str" cm="1">
        <f t="array" aca="1" ref="F8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05" s="2">
        <f t="shared" ca="1" si="122"/>
        <v>40.022572852028496</v>
      </c>
      <c r="H805" s="47" t="str" cm="1">
        <f t="array" aca="1" ref="H8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06" spans="1:8" x14ac:dyDescent="0.25">
      <c r="A806" s="2">
        <f t="shared" ca="1" si="119"/>
        <v>3.0032062625500475</v>
      </c>
      <c r="B806" s="4" cm="1">
        <f t="array" aca="1" ref="B8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806" s="2">
        <f t="shared" ca="1" si="120"/>
        <v>3.008081656302267</v>
      </c>
      <c r="D806" s="4" t="str" cm="1">
        <f t="array" aca="1" ref="D8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06" s="2">
        <f t="shared" ca="1" si="121"/>
        <v>30.01205382252968</v>
      </c>
      <c r="F806" s="4" t="str" cm="1">
        <f t="array" aca="1" ref="F8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06" s="2">
        <f t="shared" ca="1" si="122"/>
        <v>40.004726837740058</v>
      </c>
      <c r="H806" s="47" t="str" cm="1">
        <f t="array" aca="1" ref="H8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07" spans="1:8" x14ac:dyDescent="0.25">
      <c r="A807" s="2">
        <f t="shared" ca="1" si="119"/>
        <v>3.0060081216580392</v>
      </c>
      <c r="B807" s="4" cm="1">
        <f t="array" aca="1" ref="B8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807" s="2">
        <f t="shared" ca="1" si="120"/>
        <v>3.0026605477351533</v>
      </c>
      <c r="D807" s="4" t="str" cm="1">
        <f t="array" aca="1" ref="D8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07" s="2">
        <f t="shared" ca="1" si="121"/>
        <v>30.028568918647821</v>
      </c>
      <c r="F807" s="4" t="str" cm="1">
        <f t="array" aca="1" ref="F8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07" s="2">
        <f t="shared" ca="1" si="122"/>
        <v>40.014745563812987</v>
      </c>
      <c r="H807" s="47" t="str" cm="1">
        <f t="array" aca="1" ref="H8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08" spans="1:8" x14ac:dyDescent="0.25">
      <c r="A808" s="2">
        <f t="shared" ca="1" si="119"/>
        <v>3.0066881594773949</v>
      </c>
      <c r="B808" s="4" cm="1">
        <f t="array" aca="1" ref="B8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808" s="2">
        <f t="shared" ca="1" si="120"/>
        <v>3.0144459436912512</v>
      </c>
      <c r="D808" s="4" t="str" cm="1">
        <f t="array" aca="1" ref="D8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08" s="2">
        <f t="shared" ca="1" si="121"/>
        <v>30.013762941698772</v>
      </c>
      <c r="F808" s="4" t="str" cm="1">
        <f t="array" aca="1" ref="F8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08" s="2">
        <f t="shared" ca="1" si="122"/>
        <v>40.003364294614407</v>
      </c>
      <c r="H808" s="47" t="str" cm="1">
        <f t="array" aca="1" ref="H8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09" spans="1:8" x14ac:dyDescent="0.25">
      <c r="A809" s="2">
        <f t="shared" ca="1" si="119"/>
        <v>3.0012754652333213</v>
      </c>
      <c r="B809" s="4" cm="1">
        <f t="array" aca="1" ref="B8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809" s="2">
        <f t="shared" ca="1" si="120"/>
        <v>3.0032742074448548</v>
      </c>
      <c r="D809" s="4" t="str" cm="1">
        <f t="array" aca="1" ref="D8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09" s="2">
        <f t="shared" ca="1" si="121"/>
        <v>30.000114924440471</v>
      </c>
      <c r="F809" s="4" t="str" cm="1">
        <f t="array" aca="1" ref="F8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09" s="2">
        <f t="shared" ca="1" si="122"/>
        <v>40.009510545018408</v>
      </c>
      <c r="H809" s="47" t="str" cm="1">
        <f t="array" aca="1" ref="H8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10" spans="1:8" x14ac:dyDescent="0.25">
      <c r="A810" s="2">
        <f t="shared" ca="1" si="119"/>
        <v>3.0054321404936601</v>
      </c>
      <c r="B810" s="4" cm="1">
        <f t="array" aca="1" ref="B8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810" s="2">
        <f t="shared" ca="1" si="120"/>
        <v>3.0251826966386939</v>
      </c>
      <c r="D810" s="4" t="str" cm="1">
        <f t="array" aca="1" ref="D8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10" s="2">
        <f t="shared" ca="1" si="121"/>
        <v>30.019869750203206</v>
      </c>
      <c r="F810" s="4" t="str" cm="1">
        <f t="array" aca="1" ref="F8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10" s="2">
        <f t="shared" ca="1" si="122"/>
        <v>40.000351747078959</v>
      </c>
      <c r="H810" s="47" t="str" cm="1">
        <f t="array" aca="1" ref="H8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11" spans="1:8" x14ac:dyDescent="0.25">
      <c r="A811" s="2">
        <f t="shared" ca="1" si="119"/>
        <v>3.0012729756490519</v>
      </c>
      <c r="B811" s="4" cm="1">
        <f t="array" aca="1" ref="B8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811" s="2">
        <f t="shared" ca="1" si="120"/>
        <v>3.0178456398814477</v>
      </c>
      <c r="D811" s="4" t="str" cm="1">
        <f t="array" aca="1" ref="D8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11" s="2">
        <f t="shared" ca="1" si="121"/>
        <v>30.011683744070059</v>
      </c>
      <c r="F811" s="4" t="str" cm="1">
        <f t="array" aca="1" ref="F8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11" s="2">
        <f t="shared" ca="1" si="122"/>
        <v>40.008151294629265</v>
      </c>
      <c r="H811" s="47" t="str" cm="1">
        <f t="array" aca="1" ref="H8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12" spans="1:8" x14ac:dyDescent="0.25">
      <c r="A812" s="2">
        <f t="shared" ca="1" si="119"/>
        <v>3.0074421214150764</v>
      </c>
      <c r="B812" s="4" cm="1">
        <f t="array" aca="1" ref="B8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812" s="2">
        <f t="shared" ca="1" si="120"/>
        <v>3.0225996029635089</v>
      </c>
      <c r="D812" s="4" t="str" cm="1">
        <f t="array" aca="1" ref="D8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12" s="2">
        <f t="shared" ca="1" si="121"/>
        <v>30.013350936615936</v>
      </c>
      <c r="F812" s="4" t="str" cm="1">
        <f t="array" aca="1" ref="F8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12" s="2">
        <f t="shared" ca="1" si="122"/>
        <v>40.021291552959077</v>
      </c>
      <c r="H812" s="47" t="str" cm="1">
        <f t="array" aca="1" ref="H8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13" spans="1:8" x14ac:dyDescent="0.25">
      <c r="A813" s="2">
        <f t="shared" ca="1" si="119"/>
        <v>3.0023953888983943</v>
      </c>
      <c r="B813" s="4" cm="1">
        <f t="array" aca="1" ref="B8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813" s="2">
        <f t="shared" ca="1" si="120"/>
        <v>3.0292725803258218</v>
      </c>
      <c r="D813" s="4" t="str" cm="1">
        <f t="array" aca="1" ref="D8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13" s="2">
        <f t="shared" ca="1" si="121"/>
        <v>30.021440030505222</v>
      </c>
      <c r="F813" s="4" t="str" cm="1">
        <f t="array" aca="1" ref="F8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13" s="2">
        <f t="shared" ca="1" si="122"/>
        <v>40.017353911675727</v>
      </c>
      <c r="H813" s="47" t="str" cm="1">
        <f t="array" aca="1" ref="H8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14" spans="1:8" x14ac:dyDescent="0.25">
      <c r="A814" s="2">
        <f t="shared" ca="1" si="119"/>
        <v>3.0069829150308371</v>
      </c>
      <c r="B814" s="4" cm="1">
        <f t="array" aca="1" ref="B8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814" s="2">
        <f t="shared" ca="1" si="120"/>
        <v>3.023498036554094</v>
      </c>
      <c r="D814" s="4" t="str" cm="1">
        <f t="array" aca="1" ref="D8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14" s="2">
        <f t="shared" ca="1" si="121"/>
        <v>30.002090975080765</v>
      </c>
      <c r="F814" s="4" t="str" cm="1">
        <f t="array" aca="1" ref="F8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14" s="2">
        <f t="shared" ca="1" si="122"/>
        <v>40.018313359130381</v>
      </c>
      <c r="H814" s="47" t="str" cm="1">
        <f t="array" aca="1" ref="H8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15" spans="1:8" x14ac:dyDescent="0.25">
      <c r="A815" s="2">
        <f t="shared" ca="1" si="119"/>
        <v>3.0047911754735259</v>
      </c>
      <c r="B815" s="4" cm="1">
        <f t="array" aca="1" ref="B8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815" s="2">
        <f t="shared" ca="1" si="120"/>
        <v>3.0026897814404356</v>
      </c>
      <c r="D815" s="4" t="str" cm="1">
        <f t="array" aca="1" ref="D8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15" s="2">
        <f t="shared" ca="1" si="121"/>
        <v>30.004831634512637</v>
      </c>
      <c r="F815" s="4" t="str" cm="1">
        <f t="array" aca="1" ref="F8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15" s="2">
        <f t="shared" ca="1" si="122"/>
        <v>40.002446197222199</v>
      </c>
      <c r="H815" s="47" t="str" cm="1">
        <f t="array" aca="1" ref="H8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16" spans="1:8" x14ac:dyDescent="0.25">
      <c r="A816" s="2">
        <f t="shared" ca="1" si="119"/>
        <v>3.0079331854602471</v>
      </c>
      <c r="B816" s="4" cm="1">
        <f t="array" aca="1" ref="B8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816" s="2">
        <f t="shared" ca="1" si="120"/>
        <v>3.0234484088935369</v>
      </c>
      <c r="D816" s="4" t="str" cm="1">
        <f t="array" aca="1" ref="D8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16" s="2">
        <f t="shared" ca="1" si="121"/>
        <v>30.011849969721215</v>
      </c>
      <c r="F816" s="4" t="str" cm="1">
        <f t="array" aca="1" ref="F8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16" s="2">
        <f t="shared" ca="1" si="122"/>
        <v>40.02119402223213</v>
      </c>
      <c r="H816" s="47" t="str" cm="1">
        <f t="array" aca="1" ref="H8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17" spans="1:8" x14ac:dyDescent="0.25">
      <c r="A817" s="2">
        <f t="shared" ca="1" si="119"/>
        <v>3.0013719810077344</v>
      </c>
      <c r="B817" s="4" cm="1">
        <f t="array" aca="1" ref="B8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817" s="2">
        <f t="shared" ca="1" si="120"/>
        <v>3.0028202326563789</v>
      </c>
      <c r="D817" s="4" t="str" cm="1">
        <f t="array" aca="1" ref="D8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17" s="2">
        <f t="shared" ca="1" si="121"/>
        <v>30.017647743747972</v>
      </c>
      <c r="F817" s="4" t="str" cm="1">
        <f t="array" aca="1" ref="F8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17" s="2">
        <f t="shared" ca="1" si="122"/>
        <v>40.02735594079239</v>
      </c>
      <c r="H817" s="47" t="str" cm="1">
        <f t="array" aca="1" ref="H8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18" spans="1:8" x14ac:dyDescent="0.25">
      <c r="A818" s="2">
        <f t="shared" ca="1" si="119"/>
        <v>3.0083424601902213</v>
      </c>
      <c r="B818" s="4" cm="1">
        <f t="array" aca="1" ref="B8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818" s="2">
        <f t="shared" ca="1" si="120"/>
        <v>3.0221274190461678</v>
      </c>
      <c r="D818" s="4" t="str" cm="1">
        <f t="array" aca="1" ref="D8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18" s="2">
        <f t="shared" ca="1" si="121"/>
        <v>30.008259352100804</v>
      </c>
      <c r="F818" s="4" t="str" cm="1">
        <f t="array" aca="1" ref="F8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18" s="2">
        <f t="shared" ca="1" si="122"/>
        <v>40.021483750585311</v>
      </c>
      <c r="H818" s="47" t="str" cm="1">
        <f t="array" aca="1" ref="H8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19" spans="1:8" x14ac:dyDescent="0.25">
      <c r="A819" s="2">
        <f t="shared" ca="1" si="119"/>
        <v>3.0052832288914408</v>
      </c>
      <c r="B819" s="4" cm="1">
        <f t="array" aca="1" ref="B8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819" s="2">
        <f t="shared" ca="1" si="120"/>
        <v>3.0237260042145566</v>
      </c>
      <c r="D819" s="4" t="str" cm="1">
        <f t="array" aca="1" ref="D8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19" s="2">
        <f t="shared" ca="1" si="121"/>
        <v>30.003948337991059</v>
      </c>
      <c r="F819" s="4" t="str" cm="1">
        <f t="array" aca="1" ref="F8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19" s="2">
        <f t="shared" ca="1" si="122"/>
        <v>40.013615213473351</v>
      </c>
      <c r="H819" s="47" t="str" cm="1">
        <f t="array" aca="1" ref="H8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20" spans="1:8" x14ac:dyDescent="0.25">
      <c r="A820" s="2">
        <f t="shared" ca="1" si="119"/>
        <v>3.001078516441483</v>
      </c>
      <c r="B820" s="4" cm="1">
        <f t="array" aca="1" ref="B8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820" s="2">
        <f t="shared" ca="1" si="120"/>
        <v>3.0256384243380814</v>
      </c>
      <c r="D820" s="4" t="str" cm="1">
        <f t="array" aca="1" ref="D8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20" s="2">
        <f t="shared" ca="1" si="121"/>
        <v>30.018444364840569</v>
      </c>
      <c r="F820" s="4" t="str" cm="1">
        <f t="array" aca="1" ref="F8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20" s="2">
        <f t="shared" ca="1" si="122"/>
        <v>40.002666913125374</v>
      </c>
      <c r="H820" s="47" t="str" cm="1">
        <f t="array" aca="1" ref="H8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21" spans="1:8" x14ac:dyDescent="0.25">
      <c r="A821" s="2">
        <f t="shared" ca="1" si="119"/>
        <v>3.0075976046748547</v>
      </c>
      <c r="B821" s="4" cm="1">
        <f t="array" aca="1" ref="B8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821" s="2">
        <f t="shared" ca="1" si="120"/>
        <v>3.0185155742210887</v>
      </c>
      <c r="D821" s="4" t="str" cm="1">
        <f t="array" aca="1" ref="D8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21" s="2">
        <f t="shared" ca="1" si="121"/>
        <v>30.003921436358691</v>
      </c>
      <c r="F821" s="4" t="str" cm="1">
        <f t="array" aca="1" ref="F8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21" s="2">
        <f t="shared" ca="1" si="122"/>
        <v>40.018611514259334</v>
      </c>
      <c r="H821" s="47" t="str" cm="1">
        <f t="array" aca="1" ref="H8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22" spans="1:8" x14ac:dyDescent="0.25">
      <c r="A822" s="2">
        <f t="shared" ca="1" si="119"/>
        <v>3.0005438030348537</v>
      </c>
      <c r="B822" s="4" cm="1">
        <f t="array" aca="1" ref="B8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822" s="2">
        <f t="shared" ca="1" si="120"/>
        <v>3.0269643705901461</v>
      </c>
      <c r="D822" s="4" t="str" cm="1">
        <f t="array" aca="1" ref="D8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22" s="2">
        <f t="shared" ca="1" si="121"/>
        <v>30.020711821006813</v>
      </c>
      <c r="F822" s="4" t="str" cm="1">
        <f t="array" aca="1" ref="F8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22" s="2">
        <f t="shared" ca="1" si="122"/>
        <v>40.005656705531827</v>
      </c>
      <c r="H822" s="47" t="str" cm="1">
        <f t="array" aca="1" ref="H8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23" spans="1:8" x14ac:dyDescent="0.25">
      <c r="A823" s="2">
        <f t="shared" ca="1" si="119"/>
        <v>3.0056707378354779</v>
      </c>
      <c r="B823" s="4" cm="1">
        <f t="array" aca="1" ref="B8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823" s="2">
        <f t="shared" ca="1" si="120"/>
        <v>3.012691002791005</v>
      </c>
      <c r="D823" s="4" t="str" cm="1">
        <f t="array" aca="1" ref="D8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23" s="2">
        <f t="shared" ca="1" si="121"/>
        <v>30.028099752473736</v>
      </c>
      <c r="F823" s="4" t="str" cm="1">
        <f t="array" aca="1" ref="F8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23" s="2">
        <f t="shared" ca="1" si="122"/>
        <v>40.022602611759517</v>
      </c>
      <c r="H823" s="47" t="str" cm="1">
        <f t="array" aca="1" ref="H8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24" spans="1:8" x14ac:dyDescent="0.25">
      <c r="A824" s="2">
        <f t="shared" ca="1" si="119"/>
        <v>3.0050642114894113</v>
      </c>
      <c r="B824" s="4" cm="1">
        <f t="array" aca="1" ref="B8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824" s="2">
        <f t="shared" ca="1" si="120"/>
        <v>3.0195636806722774</v>
      </c>
      <c r="D824" s="4" t="str" cm="1">
        <f t="array" aca="1" ref="D8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24" s="2">
        <f t="shared" ca="1" si="121"/>
        <v>30.012267028471083</v>
      </c>
      <c r="F824" s="4" t="str" cm="1">
        <f t="array" aca="1" ref="F8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24" s="2">
        <f t="shared" ca="1" si="122"/>
        <v>40.008016962396105</v>
      </c>
      <c r="H824" s="47" t="str" cm="1">
        <f t="array" aca="1" ref="H8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25" spans="1:8" x14ac:dyDescent="0.25">
      <c r="A825" s="2">
        <f t="shared" ca="1" si="119"/>
        <v>3.0089397456819018</v>
      </c>
      <c r="B825" s="4" cm="1">
        <f t="array" aca="1" ref="B8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825" s="2">
        <f t="shared" ca="1" si="120"/>
        <v>3.0185628159941484</v>
      </c>
      <c r="D825" s="4" t="str" cm="1">
        <f t="array" aca="1" ref="D8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25" s="2">
        <f t="shared" ca="1" si="121"/>
        <v>30.022773874900356</v>
      </c>
      <c r="F825" s="4" t="str" cm="1">
        <f t="array" aca="1" ref="F8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25" s="2">
        <f t="shared" ca="1" si="122"/>
        <v>40.016208385622839</v>
      </c>
      <c r="H825" s="47" t="str" cm="1">
        <f t="array" aca="1" ref="H8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26" spans="1:8" x14ac:dyDescent="0.25">
      <c r="A826" s="2">
        <f t="shared" ca="1" si="119"/>
        <v>3.0013891750975938</v>
      </c>
      <c r="B826" s="4" cm="1">
        <f t="array" aca="1" ref="B8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826" s="2">
        <f t="shared" ca="1" si="120"/>
        <v>3.0068848994073174</v>
      </c>
      <c r="D826" s="4" t="str" cm="1">
        <f t="array" aca="1" ref="D8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26" s="2">
        <f t="shared" ca="1" si="121"/>
        <v>30.017603603913944</v>
      </c>
      <c r="F826" s="4" t="str" cm="1">
        <f t="array" aca="1" ref="F8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26" s="2">
        <f t="shared" ca="1" si="122"/>
        <v>40.029746138644974</v>
      </c>
      <c r="H826" s="47" t="str" cm="1">
        <f t="array" aca="1" ref="H8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27" spans="1:8" x14ac:dyDescent="0.25">
      <c r="A827" s="2">
        <f t="shared" ca="1" si="119"/>
        <v>3.0091074551834063</v>
      </c>
      <c r="B827" s="4" cm="1">
        <f t="array" aca="1" ref="B8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827" s="2">
        <f t="shared" ca="1" si="120"/>
        <v>3.019692833479013</v>
      </c>
      <c r="D827" s="4" t="str" cm="1">
        <f t="array" aca="1" ref="D8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27" s="2">
        <f t="shared" ca="1" si="121"/>
        <v>30.005257039812236</v>
      </c>
      <c r="F827" s="4" t="str" cm="1">
        <f t="array" aca="1" ref="F8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27" s="2">
        <f t="shared" ca="1" si="122"/>
        <v>40.023415897449368</v>
      </c>
      <c r="H827" s="47" t="str" cm="1">
        <f t="array" aca="1" ref="H8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28" spans="1:8" x14ac:dyDescent="0.25">
      <c r="A828" s="2">
        <f t="shared" ca="1" si="119"/>
        <v>3.0057765284935076</v>
      </c>
      <c r="B828" s="4" cm="1">
        <f t="array" aca="1" ref="B8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828" s="2">
        <f t="shared" ca="1" si="120"/>
        <v>3.0261827895867843</v>
      </c>
      <c r="D828" s="4" t="str" cm="1">
        <f t="array" aca="1" ref="D8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28" s="2">
        <f t="shared" ca="1" si="121"/>
        <v>30.008968274919592</v>
      </c>
      <c r="F828" s="4" t="str" cm="1">
        <f t="array" aca="1" ref="F8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28" s="2">
        <f t="shared" ca="1" si="122"/>
        <v>40.017032363750488</v>
      </c>
      <c r="H828" s="47" t="str" cm="1">
        <f t="array" aca="1" ref="H8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29" spans="1:8" x14ac:dyDescent="0.25">
      <c r="A829" s="2">
        <f t="shared" ca="1" si="119"/>
        <v>3.0052380995907599</v>
      </c>
      <c r="B829" s="4" cm="1">
        <f t="array" aca="1" ref="B8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829" s="2">
        <f t="shared" ca="1" si="120"/>
        <v>3.0271333355250576</v>
      </c>
      <c r="D829" s="4" t="str" cm="1">
        <f t="array" aca="1" ref="D8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29" s="2">
        <f t="shared" ca="1" si="121"/>
        <v>30.018060337254841</v>
      </c>
      <c r="F829" s="4" t="str" cm="1">
        <f t="array" aca="1" ref="F8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29" s="2">
        <f t="shared" ca="1" si="122"/>
        <v>40.001889379783677</v>
      </c>
      <c r="H829" s="47" t="str" cm="1">
        <f t="array" aca="1" ref="H8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30" spans="1:8" x14ac:dyDescent="0.25">
      <c r="A830" s="2">
        <f t="shared" ca="1" si="119"/>
        <v>3.0056771178502015</v>
      </c>
      <c r="B830" s="4" cm="1">
        <f t="array" aca="1" ref="B8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830" s="2">
        <f t="shared" ca="1" si="120"/>
        <v>3.0250662368482142</v>
      </c>
      <c r="D830" s="4" t="str" cm="1">
        <f t="array" aca="1" ref="D8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30" s="2">
        <f t="shared" ca="1" si="121"/>
        <v>30.005057905594914</v>
      </c>
      <c r="F830" s="4" t="str" cm="1">
        <f t="array" aca="1" ref="F8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30" s="2">
        <f t="shared" ca="1" si="122"/>
        <v>40.004988042582021</v>
      </c>
      <c r="H830" s="47" t="str" cm="1">
        <f t="array" aca="1" ref="H8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31" spans="1:8" x14ac:dyDescent="0.25">
      <c r="A831" s="2">
        <f t="shared" ca="1" si="119"/>
        <v>3.0031899714974499</v>
      </c>
      <c r="B831" s="4" cm="1">
        <f t="array" aca="1" ref="B8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831" s="2">
        <f t="shared" ca="1" si="120"/>
        <v>3.0072898337927834</v>
      </c>
      <c r="D831" s="4" t="str" cm="1">
        <f t="array" aca="1" ref="D8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31" s="2">
        <f t="shared" ca="1" si="121"/>
        <v>30.010531388161866</v>
      </c>
      <c r="F831" s="4" t="str" cm="1">
        <f t="array" aca="1" ref="F8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31" s="2">
        <f t="shared" ca="1" si="122"/>
        <v>40.022135119777083</v>
      </c>
      <c r="H831" s="47" t="str" cm="1">
        <f t="array" aca="1" ref="H8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32" spans="1:8" x14ac:dyDescent="0.25">
      <c r="A832" s="2">
        <f t="shared" ca="1" si="119"/>
        <v>3.0003650497931384</v>
      </c>
      <c r="B832" s="4" cm="1">
        <f t="array" aca="1" ref="B8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832" s="2">
        <f t="shared" ca="1" si="120"/>
        <v>3.0064313721075124</v>
      </c>
      <c r="D832" s="4" t="str" cm="1">
        <f t="array" aca="1" ref="D8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32" s="2">
        <f t="shared" ca="1" si="121"/>
        <v>30.008096585676924</v>
      </c>
      <c r="F832" s="4" t="str" cm="1">
        <f t="array" aca="1" ref="F8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32" s="2">
        <f t="shared" ca="1" si="122"/>
        <v>40.008296467985872</v>
      </c>
      <c r="H832" s="47" t="str" cm="1">
        <f t="array" aca="1" ref="H8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33" spans="1:8" x14ac:dyDescent="0.25">
      <c r="A833" s="2">
        <f t="shared" ca="1" si="119"/>
        <v>3.0071726855477152</v>
      </c>
      <c r="B833" s="4" cm="1">
        <f t="array" aca="1" ref="B8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833" s="2">
        <f t="shared" ca="1" si="120"/>
        <v>3.0284876804947576</v>
      </c>
      <c r="D833" s="4" t="str" cm="1">
        <f t="array" aca="1" ref="D8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33" s="2">
        <f t="shared" ca="1" si="121"/>
        <v>30.022278461984531</v>
      </c>
      <c r="F833" s="4" t="str" cm="1">
        <f t="array" aca="1" ref="F8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33" s="2">
        <f t="shared" ca="1" si="122"/>
        <v>40.011428335533147</v>
      </c>
      <c r="H833" s="47" t="str" cm="1">
        <f t="array" aca="1" ref="H8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34" spans="1:8" x14ac:dyDescent="0.25">
      <c r="A834" s="2">
        <f t="shared" ref="A834:A897" ca="1" si="123">3+RAND()*0.01</f>
        <v>3.0016679680791989</v>
      </c>
      <c r="B834" s="4" cm="1">
        <f t="array" aca="1" ref="B8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834" s="2">
        <f t="shared" ref="C834:C897" ca="1" si="124">3+RAND()*0.03</f>
        <v>3.0280596766910235</v>
      </c>
      <c r="D834" s="4" t="str" cm="1">
        <f t="array" aca="1" ref="D8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34" s="2">
        <f t="shared" ref="E834:E897" ca="1" si="125">30+RAND()*0.03</f>
        <v>30.02898426560046</v>
      </c>
      <c r="F834" s="4" t="str" cm="1">
        <f t="array" aca="1" ref="F8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34" s="2">
        <f t="shared" ref="G834:G897" ca="1" si="126">40+RAND()*0.03</f>
        <v>40.021246723075251</v>
      </c>
      <c r="H834" s="47" t="str" cm="1">
        <f t="array" aca="1" ref="H8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35" spans="1:8" x14ac:dyDescent="0.25">
      <c r="A835" s="2">
        <f t="shared" ca="1" si="123"/>
        <v>3.0054344643691508</v>
      </c>
      <c r="B835" s="4" cm="1">
        <f t="array" aca="1" ref="B8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835" s="2">
        <f t="shared" ca="1" si="124"/>
        <v>3.0273169776898201</v>
      </c>
      <c r="D835" s="4" t="str" cm="1">
        <f t="array" aca="1" ref="D8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35" s="2">
        <f t="shared" ca="1" si="125"/>
        <v>30.001435045643699</v>
      </c>
      <c r="F835" s="4" t="str" cm="1">
        <f t="array" aca="1" ref="F8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35" s="2">
        <f t="shared" ca="1" si="126"/>
        <v>40.006449765103035</v>
      </c>
      <c r="H835" s="47" t="str" cm="1">
        <f t="array" aca="1" ref="H8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36" spans="1:8" x14ac:dyDescent="0.25">
      <c r="A836" s="2">
        <f t="shared" ca="1" si="123"/>
        <v>3.0021073242301344</v>
      </c>
      <c r="B836" s="4" cm="1">
        <f t="array" aca="1" ref="B8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836" s="2">
        <f t="shared" ca="1" si="124"/>
        <v>3.0138763690897097</v>
      </c>
      <c r="D836" s="4" t="str" cm="1">
        <f t="array" aca="1" ref="D8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36" s="2">
        <f t="shared" ca="1" si="125"/>
        <v>30.00271933871316</v>
      </c>
      <c r="F836" s="4" t="str" cm="1">
        <f t="array" aca="1" ref="F8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36" s="2">
        <f t="shared" ca="1" si="126"/>
        <v>40.021097876392282</v>
      </c>
      <c r="H836" s="47" t="str" cm="1">
        <f t="array" aca="1" ref="H8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37" spans="1:8" x14ac:dyDescent="0.25">
      <c r="A837" s="2">
        <f t="shared" ca="1" si="123"/>
        <v>3.0090244579347329</v>
      </c>
      <c r="B837" s="4" cm="1">
        <f t="array" aca="1" ref="B8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837" s="2">
        <f t="shared" ca="1" si="124"/>
        <v>3.0123881392475012</v>
      </c>
      <c r="D837" s="4" t="str" cm="1">
        <f t="array" aca="1" ref="D8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37" s="2">
        <f t="shared" ca="1" si="125"/>
        <v>30.021825869768044</v>
      </c>
      <c r="F837" s="4" t="str" cm="1">
        <f t="array" aca="1" ref="F8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37" s="2">
        <f t="shared" ca="1" si="126"/>
        <v>40.009745346000543</v>
      </c>
      <c r="H837" s="47" t="str" cm="1">
        <f t="array" aca="1" ref="H8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38" spans="1:8" x14ac:dyDescent="0.25">
      <c r="A838" s="2">
        <f t="shared" ca="1" si="123"/>
        <v>3.0073759694514965</v>
      </c>
      <c r="B838" s="4" cm="1">
        <f t="array" aca="1" ref="B8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838" s="2">
        <f t="shared" ca="1" si="124"/>
        <v>3.0232258406183816</v>
      </c>
      <c r="D838" s="4" t="str" cm="1">
        <f t="array" aca="1" ref="D8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38" s="2">
        <f t="shared" ca="1" si="125"/>
        <v>30.000602323541148</v>
      </c>
      <c r="F838" s="4" t="str" cm="1">
        <f t="array" aca="1" ref="F8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38" s="2">
        <f t="shared" ca="1" si="126"/>
        <v>40.001775364456172</v>
      </c>
      <c r="H838" s="47" t="str" cm="1">
        <f t="array" aca="1" ref="H8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39" spans="1:8" x14ac:dyDescent="0.25">
      <c r="A839" s="2">
        <f t="shared" ca="1" si="123"/>
        <v>3.004762442454457</v>
      </c>
      <c r="B839" s="4" cm="1">
        <f t="array" aca="1" ref="B8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839" s="2">
        <f t="shared" ca="1" si="124"/>
        <v>3.0278686003458564</v>
      </c>
      <c r="D839" s="4" t="str" cm="1">
        <f t="array" aca="1" ref="D8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39" s="2">
        <f t="shared" ca="1" si="125"/>
        <v>30.004193526221869</v>
      </c>
      <c r="F839" s="4" t="str" cm="1">
        <f t="array" aca="1" ref="F8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39" s="2">
        <f t="shared" ca="1" si="126"/>
        <v>40.016997560462173</v>
      </c>
      <c r="H839" s="47" t="str" cm="1">
        <f t="array" aca="1" ref="H8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40" spans="1:8" x14ac:dyDescent="0.25">
      <c r="A840" s="2">
        <f t="shared" ca="1" si="123"/>
        <v>3.0023945099274352</v>
      </c>
      <c r="B840" s="4" cm="1">
        <f t="array" aca="1" ref="B8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840" s="2">
        <f t="shared" ca="1" si="124"/>
        <v>3.0148126569452773</v>
      </c>
      <c r="D840" s="4" t="str" cm="1">
        <f t="array" aca="1" ref="D8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40" s="2">
        <f t="shared" ca="1" si="125"/>
        <v>30.011317344284553</v>
      </c>
      <c r="F840" s="4" t="str" cm="1">
        <f t="array" aca="1" ref="F8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40" s="2">
        <f t="shared" ca="1" si="126"/>
        <v>40.021536192540516</v>
      </c>
      <c r="H840" s="47" t="str" cm="1">
        <f t="array" aca="1" ref="H8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41" spans="1:8" x14ac:dyDescent="0.25">
      <c r="A841" s="2">
        <f t="shared" ca="1" si="123"/>
        <v>3.0014343635585918</v>
      </c>
      <c r="B841" s="4" cm="1">
        <f t="array" aca="1" ref="B8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841" s="2">
        <f t="shared" ca="1" si="124"/>
        <v>3.0294314857292735</v>
      </c>
      <c r="D841" s="4" t="str" cm="1">
        <f t="array" aca="1" ref="D8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41" s="2">
        <f t="shared" ca="1" si="125"/>
        <v>30.027804675605839</v>
      </c>
      <c r="F841" s="4" t="str" cm="1">
        <f t="array" aca="1" ref="F8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41" s="2">
        <f t="shared" ca="1" si="126"/>
        <v>40.027537261136317</v>
      </c>
      <c r="H841" s="47" t="str" cm="1">
        <f t="array" aca="1" ref="H8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42" spans="1:8" x14ac:dyDescent="0.25">
      <c r="A842" s="2">
        <f t="shared" ca="1" si="123"/>
        <v>3.0060509392429151</v>
      </c>
      <c r="B842" s="4" cm="1">
        <f t="array" aca="1" ref="B8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842" s="2">
        <f t="shared" ca="1" si="124"/>
        <v>3.0223273621352291</v>
      </c>
      <c r="D842" s="4" t="str" cm="1">
        <f t="array" aca="1" ref="D8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42" s="2">
        <f t="shared" ca="1" si="125"/>
        <v>30.01908745717493</v>
      </c>
      <c r="F842" s="4" t="str" cm="1">
        <f t="array" aca="1" ref="F8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42" s="2">
        <f t="shared" ca="1" si="126"/>
        <v>40.015510994946091</v>
      </c>
      <c r="H842" s="47" t="str" cm="1">
        <f t="array" aca="1" ref="H8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43" spans="1:8" x14ac:dyDescent="0.25">
      <c r="A843" s="2">
        <f t="shared" ca="1" si="123"/>
        <v>3.0054950249726566</v>
      </c>
      <c r="B843" s="4" cm="1">
        <f t="array" aca="1" ref="B8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843" s="2">
        <f t="shared" ca="1" si="124"/>
        <v>3.028673904000426</v>
      </c>
      <c r="D843" s="4" t="str" cm="1">
        <f t="array" aca="1" ref="D8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43" s="2">
        <f t="shared" ca="1" si="125"/>
        <v>30.020415663045011</v>
      </c>
      <c r="F843" s="4" t="str" cm="1">
        <f t="array" aca="1" ref="F8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43" s="2">
        <f t="shared" ca="1" si="126"/>
        <v>40.024912076416697</v>
      </c>
      <c r="H843" s="47" t="str" cm="1">
        <f t="array" aca="1" ref="H8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44" spans="1:8" x14ac:dyDescent="0.25">
      <c r="A844" s="2">
        <f t="shared" ca="1" si="123"/>
        <v>3.0088689990942568</v>
      </c>
      <c r="B844" s="4" cm="1">
        <f t="array" aca="1" ref="B8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844" s="2">
        <f t="shared" ca="1" si="124"/>
        <v>3.0045277800160171</v>
      </c>
      <c r="D844" s="4" t="str" cm="1">
        <f t="array" aca="1" ref="D8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44" s="2">
        <f t="shared" ca="1" si="125"/>
        <v>30.028249054240987</v>
      </c>
      <c r="F844" s="4" t="str" cm="1">
        <f t="array" aca="1" ref="F8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44" s="2">
        <f t="shared" ca="1" si="126"/>
        <v>40.022389173568392</v>
      </c>
      <c r="H844" s="47" t="str" cm="1">
        <f t="array" aca="1" ref="H8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45" spans="1:8" x14ac:dyDescent="0.25">
      <c r="A845" s="2">
        <f t="shared" ca="1" si="123"/>
        <v>3.0093809595674377</v>
      </c>
      <c r="B845" s="4" cm="1">
        <f t="array" aca="1" ref="B8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845" s="2">
        <f t="shared" ca="1" si="124"/>
        <v>3.0118526171279751</v>
      </c>
      <c r="D845" s="4" t="str" cm="1">
        <f t="array" aca="1" ref="D8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45" s="2">
        <f t="shared" ca="1" si="125"/>
        <v>30.019416815764377</v>
      </c>
      <c r="F845" s="4" t="str" cm="1">
        <f t="array" aca="1" ref="F8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45" s="2">
        <f t="shared" ca="1" si="126"/>
        <v>40.012896517865556</v>
      </c>
      <c r="H845" s="47" t="str" cm="1">
        <f t="array" aca="1" ref="H8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46" spans="1:8" x14ac:dyDescent="0.25">
      <c r="A846" s="2">
        <f t="shared" ca="1" si="123"/>
        <v>3.0014497248644796</v>
      </c>
      <c r="B846" s="4" cm="1">
        <f t="array" aca="1" ref="B8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846" s="2">
        <f t="shared" ca="1" si="124"/>
        <v>3.0141811174899451</v>
      </c>
      <c r="D846" s="4" t="str" cm="1">
        <f t="array" aca="1" ref="D8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46" s="2">
        <f t="shared" ca="1" si="125"/>
        <v>30.006889272895457</v>
      </c>
      <c r="F846" s="4" t="str" cm="1">
        <f t="array" aca="1" ref="F8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46" s="2">
        <f t="shared" ca="1" si="126"/>
        <v>40.026417781048124</v>
      </c>
      <c r="H846" s="47" t="str" cm="1">
        <f t="array" aca="1" ref="H8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47" spans="1:8" x14ac:dyDescent="0.25">
      <c r="A847" s="2">
        <f t="shared" ca="1" si="123"/>
        <v>3.0096967646123969</v>
      </c>
      <c r="B847" s="4" cm="1">
        <f t="array" aca="1" ref="B8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847" s="2">
        <f t="shared" ca="1" si="124"/>
        <v>3.0045502014303045</v>
      </c>
      <c r="D847" s="4" t="str" cm="1">
        <f t="array" aca="1" ref="D8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47" s="2">
        <f t="shared" ca="1" si="125"/>
        <v>30.023560755684539</v>
      </c>
      <c r="F847" s="4" t="str" cm="1">
        <f t="array" aca="1" ref="F8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47" s="2">
        <f t="shared" ca="1" si="126"/>
        <v>40.016565336490359</v>
      </c>
      <c r="H847" s="47" t="str" cm="1">
        <f t="array" aca="1" ref="H8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48" spans="1:8" x14ac:dyDescent="0.25">
      <c r="A848" s="2">
        <f t="shared" ca="1" si="123"/>
        <v>3.0077309243736083</v>
      </c>
      <c r="B848" s="4" cm="1">
        <f t="array" aca="1" ref="B8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848" s="2">
        <f t="shared" ca="1" si="124"/>
        <v>3.0093391788216142</v>
      </c>
      <c r="D848" s="4" t="str" cm="1">
        <f t="array" aca="1" ref="D8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48" s="2">
        <f t="shared" ca="1" si="125"/>
        <v>30.024347517018942</v>
      </c>
      <c r="F848" s="4" t="str" cm="1">
        <f t="array" aca="1" ref="F8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48" s="2">
        <f t="shared" ca="1" si="126"/>
        <v>40.00711921912805</v>
      </c>
      <c r="H848" s="47" t="str" cm="1">
        <f t="array" aca="1" ref="H8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49" spans="1:8" x14ac:dyDescent="0.25">
      <c r="A849" s="2">
        <f t="shared" ca="1" si="123"/>
        <v>3.0031583771587722</v>
      </c>
      <c r="B849" s="4" cm="1">
        <f t="array" aca="1" ref="B8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849" s="2">
        <f t="shared" ca="1" si="124"/>
        <v>3.0073069581058047</v>
      </c>
      <c r="D849" s="4" t="str" cm="1">
        <f t="array" aca="1" ref="D8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49" s="2">
        <f t="shared" ca="1" si="125"/>
        <v>30.002997172501235</v>
      </c>
      <c r="F849" s="4" t="str" cm="1">
        <f t="array" aca="1" ref="F8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49" s="2">
        <f t="shared" ca="1" si="126"/>
        <v>40.015055201051531</v>
      </c>
      <c r="H849" s="47" t="str" cm="1">
        <f t="array" aca="1" ref="H8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50" spans="1:8" x14ac:dyDescent="0.25">
      <c r="A850" s="2">
        <f t="shared" ca="1" si="123"/>
        <v>3.0015561133230486</v>
      </c>
      <c r="B850" s="4" cm="1">
        <f t="array" aca="1" ref="B8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850" s="2">
        <f t="shared" ca="1" si="124"/>
        <v>3.0169072811638991</v>
      </c>
      <c r="D850" s="4" t="str" cm="1">
        <f t="array" aca="1" ref="D8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50" s="2">
        <f t="shared" ca="1" si="125"/>
        <v>30.007865080952961</v>
      </c>
      <c r="F850" s="4" t="str" cm="1">
        <f t="array" aca="1" ref="F8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50" s="2">
        <f t="shared" ca="1" si="126"/>
        <v>40.020556130078148</v>
      </c>
      <c r="H850" s="47" t="str" cm="1">
        <f t="array" aca="1" ref="H8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51" spans="1:8" x14ac:dyDescent="0.25">
      <c r="A851" s="2">
        <f t="shared" ca="1" si="123"/>
        <v>3.0071034468288089</v>
      </c>
      <c r="B851" s="4" cm="1">
        <f t="array" aca="1" ref="B8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851" s="2">
        <f t="shared" ca="1" si="124"/>
        <v>3.024907569925225</v>
      </c>
      <c r="D851" s="4" t="str" cm="1">
        <f t="array" aca="1" ref="D8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51" s="2">
        <f t="shared" ca="1" si="125"/>
        <v>30.008617468490264</v>
      </c>
      <c r="F851" s="4" t="str" cm="1">
        <f t="array" aca="1" ref="F8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51" s="2">
        <f t="shared" ca="1" si="126"/>
        <v>40.015329117595002</v>
      </c>
      <c r="H851" s="47" t="str" cm="1">
        <f t="array" aca="1" ref="H8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52" spans="1:8" x14ac:dyDescent="0.25">
      <c r="A852" s="2">
        <f t="shared" ca="1" si="123"/>
        <v>3.0045205519178619</v>
      </c>
      <c r="B852" s="4" cm="1">
        <f t="array" aca="1" ref="B8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852" s="2">
        <f t="shared" ca="1" si="124"/>
        <v>3.0133817077964125</v>
      </c>
      <c r="D852" s="4" t="str" cm="1">
        <f t="array" aca="1" ref="D8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52" s="2">
        <f t="shared" ca="1" si="125"/>
        <v>30.025301075255424</v>
      </c>
      <c r="F852" s="4" t="str" cm="1">
        <f t="array" aca="1" ref="F8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52" s="2">
        <f t="shared" ca="1" si="126"/>
        <v>40.011204835958296</v>
      </c>
      <c r="H852" s="47" t="str" cm="1">
        <f t="array" aca="1" ref="H8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53" spans="1:8" x14ac:dyDescent="0.25">
      <c r="A853" s="2">
        <f t="shared" ca="1" si="123"/>
        <v>3.0007224626691769</v>
      </c>
      <c r="B853" s="4" cm="1">
        <f t="array" aca="1" ref="B8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853" s="2">
        <f t="shared" ca="1" si="124"/>
        <v>3.0181655552369646</v>
      </c>
      <c r="D853" s="4" t="str" cm="1">
        <f t="array" aca="1" ref="D8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53" s="2">
        <f t="shared" ca="1" si="125"/>
        <v>30.008626924659509</v>
      </c>
      <c r="F853" s="4" t="str" cm="1">
        <f t="array" aca="1" ref="F8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53" s="2">
        <f t="shared" ca="1" si="126"/>
        <v>40.029774513529517</v>
      </c>
      <c r="H853" s="47" t="str" cm="1">
        <f t="array" aca="1" ref="H8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54" spans="1:8" x14ac:dyDescent="0.25">
      <c r="A854" s="2">
        <f t="shared" ca="1" si="123"/>
        <v>3.0056409500868093</v>
      </c>
      <c r="B854" s="4" cm="1">
        <f t="array" aca="1" ref="B8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854" s="2">
        <f t="shared" ca="1" si="124"/>
        <v>3.0213607159307996</v>
      </c>
      <c r="D854" s="4" t="str" cm="1">
        <f t="array" aca="1" ref="D8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54" s="2">
        <f t="shared" ca="1" si="125"/>
        <v>30.018909831478442</v>
      </c>
      <c r="F854" s="4" t="str" cm="1">
        <f t="array" aca="1" ref="F8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54" s="2">
        <f t="shared" ca="1" si="126"/>
        <v>40.02860632691926</v>
      </c>
      <c r="H854" s="47" t="str" cm="1">
        <f t="array" aca="1" ref="H8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55" spans="1:8" x14ac:dyDescent="0.25">
      <c r="A855" s="2">
        <f t="shared" ca="1" si="123"/>
        <v>3.0084616492161369</v>
      </c>
      <c r="B855" s="4" cm="1">
        <f t="array" aca="1" ref="B8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855" s="2">
        <f t="shared" ca="1" si="124"/>
        <v>3.010146649006531</v>
      </c>
      <c r="D855" s="4" t="str" cm="1">
        <f t="array" aca="1" ref="D8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55" s="2">
        <f t="shared" ca="1" si="125"/>
        <v>30.024016427433629</v>
      </c>
      <c r="F855" s="4" t="str" cm="1">
        <f t="array" aca="1" ref="F8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55" s="2">
        <f t="shared" ca="1" si="126"/>
        <v>40.008796017862458</v>
      </c>
      <c r="H855" s="47" t="str" cm="1">
        <f t="array" aca="1" ref="H8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56" spans="1:8" x14ac:dyDescent="0.25">
      <c r="A856" s="2">
        <f t="shared" ca="1" si="123"/>
        <v>3.0094691441350219</v>
      </c>
      <c r="B856" s="4" cm="1">
        <f t="array" aca="1" ref="B8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856" s="2">
        <f t="shared" ca="1" si="124"/>
        <v>3.0067673784924609</v>
      </c>
      <c r="D856" s="4" t="str" cm="1">
        <f t="array" aca="1" ref="D8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56" s="2">
        <f t="shared" ca="1" si="125"/>
        <v>30.022368648476299</v>
      </c>
      <c r="F856" s="4" t="str" cm="1">
        <f t="array" aca="1" ref="F8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56" s="2">
        <f t="shared" ca="1" si="126"/>
        <v>40.029974274125685</v>
      </c>
      <c r="H856" s="47" t="str" cm="1">
        <f t="array" aca="1" ref="H8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57" spans="1:8" x14ac:dyDescent="0.25">
      <c r="A857" s="2">
        <f t="shared" ca="1" si="123"/>
        <v>3.0058662935532405</v>
      </c>
      <c r="B857" s="4" cm="1">
        <f t="array" aca="1" ref="B8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857" s="2">
        <f t="shared" ca="1" si="124"/>
        <v>3.0095969513799679</v>
      </c>
      <c r="D857" s="4" t="str" cm="1">
        <f t="array" aca="1" ref="D8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57" s="2">
        <f t="shared" ca="1" si="125"/>
        <v>30.007906537857604</v>
      </c>
      <c r="F857" s="4" t="str" cm="1">
        <f t="array" aca="1" ref="F8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57" s="2">
        <f t="shared" ca="1" si="126"/>
        <v>40.026062611235417</v>
      </c>
      <c r="H857" s="47" t="str" cm="1">
        <f t="array" aca="1" ref="H8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58" spans="1:8" x14ac:dyDescent="0.25">
      <c r="A858" s="2">
        <f t="shared" ca="1" si="123"/>
        <v>3.0074466073387849</v>
      </c>
      <c r="B858" s="4" cm="1">
        <f t="array" aca="1" ref="B8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858" s="2">
        <f t="shared" ca="1" si="124"/>
        <v>3.0017342283702595</v>
      </c>
      <c r="D858" s="4" t="str" cm="1">
        <f t="array" aca="1" ref="D8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58" s="2">
        <f t="shared" ca="1" si="125"/>
        <v>30.010478315599993</v>
      </c>
      <c r="F858" s="4" t="str" cm="1">
        <f t="array" aca="1" ref="F8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58" s="2">
        <f t="shared" ca="1" si="126"/>
        <v>40.009769716772247</v>
      </c>
      <c r="H858" s="47" t="str" cm="1">
        <f t="array" aca="1" ref="H8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59" spans="1:8" x14ac:dyDescent="0.25">
      <c r="A859" s="2">
        <f t="shared" ca="1" si="123"/>
        <v>3.0023063549461804</v>
      </c>
      <c r="B859" s="4" cm="1">
        <f t="array" aca="1" ref="B8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859" s="2">
        <f t="shared" ca="1" si="124"/>
        <v>3.0034241540986013</v>
      </c>
      <c r="D859" s="4" t="str" cm="1">
        <f t="array" aca="1" ref="D8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59" s="2">
        <f t="shared" ca="1" si="125"/>
        <v>30.007429121515436</v>
      </c>
      <c r="F859" s="4" t="str" cm="1">
        <f t="array" aca="1" ref="F8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59" s="2">
        <f t="shared" ca="1" si="126"/>
        <v>40.002271770216559</v>
      </c>
      <c r="H859" s="47" t="str" cm="1">
        <f t="array" aca="1" ref="H8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60" spans="1:8" x14ac:dyDescent="0.25">
      <c r="A860" s="2">
        <f t="shared" ca="1" si="123"/>
        <v>3.0087121614522667</v>
      </c>
      <c r="B860" s="4" cm="1">
        <f t="array" aca="1" ref="B8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860" s="2">
        <f t="shared" ca="1" si="124"/>
        <v>3.0030119213367024</v>
      </c>
      <c r="D860" s="4" t="str" cm="1">
        <f t="array" aca="1" ref="D8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60" s="2">
        <f t="shared" ca="1" si="125"/>
        <v>30.006149236921434</v>
      </c>
      <c r="F860" s="4" t="str" cm="1">
        <f t="array" aca="1" ref="F8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60" s="2">
        <f t="shared" ca="1" si="126"/>
        <v>40.010232962412779</v>
      </c>
      <c r="H860" s="47" t="str" cm="1">
        <f t="array" aca="1" ref="H8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61" spans="1:8" x14ac:dyDescent="0.25">
      <c r="A861" s="2">
        <f t="shared" ca="1" si="123"/>
        <v>3.0057201235439011</v>
      </c>
      <c r="B861" s="4" cm="1">
        <f t="array" aca="1" ref="B8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861" s="2">
        <f t="shared" ca="1" si="124"/>
        <v>3.01422203595732</v>
      </c>
      <c r="D861" s="4" t="str" cm="1">
        <f t="array" aca="1" ref="D8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61" s="2">
        <f t="shared" ca="1" si="125"/>
        <v>30.016071005867275</v>
      </c>
      <c r="F861" s="4" t="str" cm="1">
        <f t="array" aca="1" ref="F8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61" s="2">
        <f t="shared" ca="1" si="126"/>
        <v>40.005750045770135</v>
      </c>
      <c r="H861" s="47" t="str" cm="1">
        <f t="array" aca="1" ref="H8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62" spans="1:8" x14ac:dyDescent="0.25">
      <c r="A862" s="2">
        <f t="shared" ca="1" si="123"/>
        <v>3.0031943591852968</v>
      </c>
      <c r="B862" s="4" cm="1">
        <f t="array" aca="1" ref="B8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862" s="2">
        <f t="shared" ca="1" si="124"/>
        <v>3.0235762912395381</v>
      </c>
      <c r="D862" s="4" t="str" cm="1">
        <f t="array" aca="1" ref="D8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62" s="2">
        <f t="shared" ca="1" si="125"/>
        <v>30.003932075876239</v>
      </c>
      <c r="F862" s="4" t="str" cm="1">
        <f t="array" aca="1" ref="F8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62" s="2">
        <f t="shared" ca="1" si="126"/>
        <v>40.00848072497152</v>
      </c>
      <c r="H862" s="47" t="str" cm="1">
        <f t="array" aca="1" ref="H8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63" spans="1:8" x14ac:dyDescent="0.25">
      <c r="A863" s="2">
        <f t="shared" ca="1" si="123"/>
        <v>3.0011814077465635</v>
      </c>
      <c r="B863" s="4" cm="1">
        <f t="array" aca="1" ref="B8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863" s="2">
        <f t="shared" ca="1" si="124"/>
        <v>3.0046565822289115</v>
      </c>
      <c r="D863" s="4" t="str" cm="1">
        <f t="array" aca="1" ref="D8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63" s="2">
        <f t="shared" ca="1" si="125"/>
        <v>30.015508300282455</v>
      </c>
      <c r="F863" s="4" t="str" cm="1">
        <f t="array" aca="1" ref="F8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63" s="2">
        <f t="shared" ca="1" si="126"/>
        <v>40.004488340334262</v>
      </c>
      <c r="H863" s="47" t="str" cm="1">
        <f t="array" aca="1" ref="H8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64" spans="1:8" x14ac:dyDescent="0.25">
      <c r="A864" s="2">
        <f t="shared" ca="1" si="123"/>
        <v>3.0013072769653246</v>
      </c>
      <c r="B864" s="4" cm="1">
        <f t="array" aca="1" ref="B8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864" s="2">
        <f t="shared" ca="1" si="124"/>
        <v>3.0238024202566813</v>
      </c>
      <c r="D864" s="4" t="str" cm="1">
        <f t="array" aca="1" ref="D8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64" s="2">
        <f t="shared" ca="1" si="125"/>
        <v>30.026991214889485</v>
      </c>
      <c r="F864" s="4" t="str" cm="1">
        <f t="array" aca="1" ref="F8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64" s="2">
        <f t="shared" ca="1" si="126"/>
        <v>40.014002494466872</v>
      </c>
      <c r="H864" s="47" t="str" cm="1">
        <f t="array" aca="1" ref="H8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65" spans="1:8" x14ac:dyDescent="0.25">
      <c r="A865" s="2">
        <f t="shared" ca="1" si="123"/>
        <v>3.0087117298031396</v>
      </c>
      <c r="B865" s="4" cm="1">
        <f t="array" aca="1" ref="B8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865" s="2">
        <f t="shared" ca="1" si="124"/>
        <v>3.0016990677204674</v>
      </c>
      <c r="D865" s="4" t="str" cm="1">
        <f t="array" aca="1" ref="D8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65" s="2">
        <f t="shared" ca="1" si="125"/>
        <v>30.010474340584842</v>
      </c>
      <c r="F865" s="4" t="str" cm="1">
        <f t="array" aca="1" ref="F8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65" s="2">
        <f t="shared" ca="1" si="126"/>
        <v>40.029766105153023</v>
      </c>
      <c r="H865" s="47" t="str" cm="1">
        <f t="array" aca="1" ref="H8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66" spans="1:8" x14ac:dyDescent="0.25">
      <c r="A866" s="2">
        <f t="shared" ca="1" si="123"/>
        <v>3.0028858813785768</v>
      </c>
      <c r="B866" s="4" cm="1">
        <f t="array" aca="1" ref="B8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866" s="2">
        <f t="shared" ca="1" si="124"/>
        <v>3.0002817166664202</v>
      </c>
      <c r="D866" s="4" t="str" cm="1">
        <f t="array" aca="1" ref="D8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66" s="2">
        <f t="shared" ca="1" si="125"/>
        <v>30.015377632293067</v>
      </c>
      <c r="F866" s="4" t="str" cm="1">
        <f t="array" aca="1" ref="F8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66" s="2">
        <f t="shared" ca="1" si="126"/>
        <v>40.020502642334208</v>
      </c>
      <c r="H866" s="47" t="str" cm="1">
        <f t="array" aca="1" ref="H8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67" spans="1:8" x14ac:dyDescent="0.25">
      <c r="A867" s="2">
        <f t="shared" ca="1" si="123"/>
        <v>3.0006567903750376</v>
      </c>
      <c r="B867" s="4" cm="1">
        <f t="array" aca="1" ref="B8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867" s="2">
        <f t="shared" ca="1" si="124"/>
        <v>3.0219272933284205</v>
      </c>
      <c r="D867" s="4" t="str" cm="1">
        <f t="array" aca="1" ref="D8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67" s="2">
        <f t="shared" ca="1" si="125"/>
        <v>30.027360018713235</v>
      </c>
      <c r="F867" s="4" t="str" cm="1">
        <f t="array" aca="1" ref="F8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67" s="2">
        <f t="shared" ca="1" si="126"/>
        <v>40.003307574192924</v>
      </c>
      <c r="H867" s="47" t="str" cm="1">
        <f t="array" aca="1" ref="H8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68" spans="1:8" x14ac:dyDescent="0.25">
      <c r="A868" s="2">
        <f t="shared" ca="1" si="123"/>
        <v>3.0088480095548173</v>
      </c>
      <c r="B868" s="4" cm="1">
        <f t="array" aca="1" ref="B8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868" s="2">
        <f t="shared" ca="1" si="124"/>
        <v>3.0202179769645654</v>
      </c>
      <c r="D868" s="4" t="str" cm="1">
        <f t="array" aca="1" ref="D8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68" s="2">
        <f t="shared" ca="1" si="125"/>
        <v>30.001211232195644</v>
      </c>
      <c r="F868" s="4" t="str" cm="1">
        <f t="array" aca="1" ref="F8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68" s="2">
        <f t="shared" ca="1" si="126"/>
        <v>40.001815794148783</v>
      </c>
      <c r="H868" s="47" t="str" cm="1">
        <f t="array" aca="1" ref="H8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69" spans="1:8" x14ac:dyDescent="0.25">
      <c r="A869" s="2">
        <f t="shared" ca="1" si="123"/>
        <v>3.0058952776994841</v>
      </c>
      <c r="B869" s="4" cm="1">
        <f t="array" aca="1" ref="B8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869" s="2">
        <f t="shared" ca="1" si="124"/>
        <v>3.0289776556093702</v>
      </c>
      <c r="D869" s="4" t="str" cm="1">
        <f t="array" aca="1" ref="D8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69" s="2">
        <f t="shared" ca="1" si="125"/>
        <v>30.008983295608957</v>
      </c>
      <c r="F869" s="4" t="str" cm="1">
        <f t="array" aca="1" ref="F8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69" s="2">
        <f t="shared" ca="1" si="126"/>
        <v>40.027500099901076</v>
      </c>
      <c r="H869" s="47" t="str" cm="1">
        <f t="array" aca="1" ref="H8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70" spans="1:8" x14ac:dyDescent="0.25">
      <c r="A870" s="2">
        <f t="shared" ca="1" si="123"/>
        <v>3.0043361733440572</v>
      </c>
      <c r="B870" s="4" cm="1">
        <f t="array" aca="1" ref="B8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870" s="2">
        <f t="shared" ca="1" si="124"/>
        <v>3.026628697618432</v>
      </c>
      <c r="D870" s="4" t="str" cm="1">
        <f t="array" aca="1" ref="D8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70" s="2">
        <f t="shared" ca="1" si="125"/>
        <v>30.002129542239125</v>
      </c>
      <c r="F870" s="4" t="str" cm="1">
        <f t="array" aca="1" ref="F8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70" s="2">
        <f t="shared" ca="1" si="126"/>
        <v>40.028439949004614</v>
      </c>
      <c r="H870" s="47" t="str" cm="1">
        <f t="array" aca="1" ref="H8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71" spans="1:8" x14ac:dyDescent="0.25">
      <c r="A871" s="2">
        <f t="shared" ca="1" si="123"/>
        <v>3.0078622157054107</v>
      </c>
      <c r="B871" s="4" cm="1">
        <f t="array" aca="1" ref="B8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871" s="2">
        <f t="shared" ca="1" si="124"/>
        <v>3.0103338301929936</v>
      </c>
      <c r="D871" s="4" t="str" cm="1">
        <f t="array" aca="1" ref="D8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71" s="2">
        <f t="shared" ca="1" si="125"/>
        <v>30.01731868296817</v>
      </c>
      <c r="F871" s="4" t="str" cm="1">
        <f t="array" aca="1" ref="F8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71" s="2">
        <f t="shared" ca="1" si="126"/>
        <v>40.028436884887817</v>
      </c>
      <c r="H871" s="47" t="str" cm="1">
        <f t="array" aca="1" ref="H8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72" spans="1:8" x14ac:dyDescent="0.25">
      <c r="A872" s="2">
        <f t="shared" ca="1" si="123"/>
        <v>3.0031416342364832</v>
      </c>
      <c r="B872" s="4" cm="1">
        <f t="array" aca="1" ref="B8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872" s="2">
        <f t="shared" ca="1" si="124"/>
        <v>3.0115471182421283</v>
      </c>
      <c r="D872" s="4" t="str" cm="1">
        <f t="array" aca="1" ref="D8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72" s="2">
        <f t="shared" ca="1" si="125"/>
        <v>30.020748544834525</v>
      </c>
      <c r="F872" s="4" t="str" cm="1">
        <f t="array" aca="1" ref="F8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72" s="2">
        <f t="shared" ca="1" si="126"/>
        <v>40.012551322958373</v>
      </c>
      <c r="H872" s="47" t="str" cm="1">
        <f t="array" aca="1" ref="H8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73" spans="1:8" x14ac:dyDescent="0.25">
      <c r="A873" s="2">
        <f t="shared" ca="1" si="123"/>
        <v>3.0049612261209684</v>
      </c>
      <c r="B873" s="4" cm="1">
        <f t="array" aca="1" ref="B8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873" s="2">
        <f t="shared" ca="1" si="124"/>
        <v>3.0034032484763302</v>
      </c>
      <c r="D873" s="4" t="str" cm="1">
        <f t="array" aca="1" ref="D8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73" s="2">
        <f t="shared" ca="1" si="125"/>
        <v>30.004094017915445</v>
      </c>
      <c r="F873" s="4" t="str" cm="1">
        <f t="array" aca="1" ref="F8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73" s="2">
        <f t="shared" ca="1" si="126"/>
        <v>40.006778726869499</v>
      </c>
      <c r="H873" s="47" t="str" cm="1">
        <f t="array" aca="1" ref="H8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74" spans="1:8" x14ac:dyDescent="0.25">
      <c r="A874" s="2">
        <f t="shared" ca="1" si="123"/>
        <v>3.0014022628730221</v>
      </c>
      <c r="B874" s="4" cm="1">
        <f t="array" aca="1" ref="B8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874" s="2">
        <f t="shared" ca="1" si="124"/>
        <v>3.0297949985598063</v>
      </c>
      <c r="D874" s="4" t="str" cm="1">
        <f t="array" aca="1" ref="D8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74" s="2">
        <f t="shared" ca="1" si="125"/>
        <v>30.021408181244073</v>
      </c>
      <c r="F874" s="4" t="str" cm="1">
        <f t="array" aca="1" ref="F8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74" s="2">
        <f t="shared" ca="1" si="126"/>
        <v>40.001279818069456</v>
      </c>
      <c r="H874" s="47" t="str" cm="1">
        <f t="array" aca="1" ref="H8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75" spans="1:8" x14ac:dyDescent="0.25">
      <c r="A875" s="2">
        <f t="shared" ca="1" si="123"/>
        <v>3.0093265434943088</v>
      </c>
      <c r="B875" s="4" cm="1">
        <f t="array" aca="1" ref="B8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875" s="2">
        <f t="shared" ca="1" si="124"/>
        <v>3.0140096885494905</v>
      </c>
      <c r="D875" s="4" t="str" cm="1">
        <f t="array" aca="1" ref="D8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75" s="2">
        <f t="shared" ca="1" si="125"/>
        <v>30.008150020774959</v>
      </c>
      <c r="F875" s="4" t="str" cm="1">
        <f t="array" aca="1" ref="F8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75" s="2">
        <f t="shared" ca="1" si="126"/>
        <v>40.01936542768167</v>
      </c>
      <c r="H875" s="47" t="str" cm="1">
        <f t="array" aca="1" ref="H8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76" spans="1:8" x14ac:dyDescent="0.25">
      <c r="A876" s="2">
        <f t="shared" ca="1" si="123"/>
        <v>3.00656006633394</v>
      </c>
      <c r="B876" s="4" cm="1">
        <f t="array" aca="1" ref="B8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876" s="2">
        <f t="shared" ca="1" si="124"/>
        <v>3.0153719704457074</v>
      </c>
      <c r="D876" s="4" t="str" cm="1">
        <f t="array" aca="1" ref="D8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76" s="2">
        <f t="shared" ca="1" si="125"/>
        <v>30.022944312454825</v>
      </c>
      <c r="F876" s="4" t="str" cm="1">
        <f t="array" aca="1" ref="F8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76" s="2">
        <f t="shared" ca="1" si="126"/>
        <v>40.0013547844447</v>
      </c>
      <c r="H876" s="47" t="str" cm="1">
        <f t="array" aca="1" ref="H8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77" spans="1:8" x14ac:dyDescent="0.25">
      <c r="A877" s="2">
        <f t="shared" ca="1" si="123"/>
        <v>3.0056123539433042</v>
      </c>
      <c r="B877" s="4" cm="1">
        <f t="array" aca="1" ref="B8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877" s="2">
        <f t="shared" ca="1" si="124"/>
        <v>3.0243531538821977</v>
      </c>
      <c r="D877" s="4" t="str" cm="1">
        <f t="array" aca="1" ref="D8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77" s="2">
        <f t="shared" ca="1" si="125"/>
        <v>30.008905109775309</v>
      </c>
      <c r="F877" s="4" t="str" cm="1">
        <f t="array" aca="1" ref="F8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77" s="2">
        <f t="shared" ca="1" si="126"/>
        <v>40.005729559524802</v>
      </c>
      <c r="H877" s="47" t="str" cm="1">
        <f t="array" aca="1" ref="H8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78" spans="1:8" x14ac:dyDescent="0.25">
      <c r="A878" s="2">
        <f t="shared" ca="1" si="123"/>
        <v>3.001877922631476</v>
      </c>
      <c r="B878" s="4" cm="1">
        <f t="array" aca="1" ref="B8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878" s="2">
        <f t="shared" ca="1" si="124"/>
        <v>3.0029595174825126</v>
      </c>
      <c r="D878" s="4" t="str" cm="1">
        <f t="array" aca="1" ref="D8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78" s="2">
        <f t="shared" ca="1" si="125"/>
        <v>30.00960900139345</v>
      </c>
      <c r="F878" s="4" t="str" cm="1">
        <f t="array" aca="1" ref="F8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78" s="2">
        <f t="shared" ca="1" si="126"/>
        <v>40.01241493919467</v>
      </c>
      <c r="H878" s="47" t="str" cm="1">
        <f t="array" aca="1" ref="H8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79" spans="1:8" x14ac:dyDescent="0.25">
      <c r="A879" s="2">
        <f t="shared" ca="1" si="123"/>
        <v>3.0021740774557166</v>
      </c>
      <c r="B879" s="4" cm="1">
        <f t="array" aca="1" ref="B8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879" s="2">
        <f t="shared" ca="1" si="124"/>
        <v>3.0024312413430452</v>
      </c>
      <c r="D879" s="4" t="str" cm="1">
        <f t="array" aca="1" ref="D8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79" s="2">
        <f t="shared" ca="1" si="125"/>
        <v>30.013852123520621</v>
      </c>
      <c r="F879" s="4" t="str" cm="1">
        <f t="array" aca="1" ref="F8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79" s="2">
        <f t="shared" ca="1" si="126"/>
        <v>40.017216519749553</v>
      </c>
      <c r="H879" s="47" t="str" cm="1">
        <f t="array" aca="1" ref="H8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80" spans="1:8" x14ac:dyDescent="0.25">
      <c r="A880" s="2">
        <f t="shared" ca="1" si="123"/>
        <v>3.0083073795463742</v>
      </c>
      <c r="B880" s="4" cm="1">
        <f t="array" aca="1" ref="B8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880" s="2">
        <f t="shared" ca="1" si="124"/>
        <v>3.0173814646460424</v>
      </c>
      <c r="D880" s="4" t="str" cm="1">
        <f t="array" aca="1" ref="D8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80" s="2">
        <f t="shared" ca="1" si="125"/>
        <v>30.011437898921368</v>
      </c>
      <c r="F880" s="4" t="str" cm="1">
        <f t="array" aca="1" ref="F8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80" s="2">
        <f t="shared" ca="1" si="126"/>
        <v>40.018441988786371</v>
      </c>
      <c r="H880" s="47" t="str" cm="1">
        <f t="array" aca="1" ref="H8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81" spans="1:8" x14ac:dyDescent="0.25">
      <c r="A881" s="2">
        <f t="shared" ca="1" si="123"/>
        <v>3.0092047502270094</v>
      </c>
      <c r="B881" s="4" cm="1">
        <f t="array" aca="1" ref="B8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881" s="2">
        <f t="shared" ca="1" si="124"/>
        <v>3.0254688886519494</v>
      </c>
      <c r="D881" s="4" t="str" cm="1">
        <f t="array" aca="1" ref="D8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81" s="2">
        <f t="shared" ca="1" si="125"/>
        <v>30.022533045258029</v>
      </c>
      <c r="F881" s="4" t="str" cm="1">
        <f t="array" aca="1" ref="F8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81" s="2">
        <f t="shared" ca="1" si="126"/>
        <v>40.028949500649141</v>
      </c>
      <c r="H881" s="47" t="str" cm="1">
        <f t="array" aca="1" ref="H8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82" spans="1:8" x14ac:dyDescent="0.25">
      <c r="A882" s="2">
        <f t="shared" ca="1" si="123"/>
        <v>3.0019593322465776</v>
      </c>
      <c r="B882" s="4" cm="1">
        <f t="array" aca="1" ref="B8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882" s="2">
        <f t="shared" ca="1" si="124"/>
        <v>3.0048552492977305</v>
      </c>
      <c r="D882" s="4" t="str" cm="1">
        <f t="array" aca="1" ref="D8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82" s="2">
        <f t="shared" ca="1" si="125"/>
        <v>30.02990319849695</v>
      </c>
      <c r="F882" s="4" t="str" cm="1">
        <f t="array" aca="1" ref="F8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82" s="2">
        <f t="shared" ca="1" si="126"/>
        <v>40.004525177739104</v>
      </c>
      <c r="H882" s="47" t="str" cm="1">
        <f t="array" aca="1" ref="H8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83" spans="1:8" x14ac:dyDescent="0.25">
      <c r="A883" s="2">
        <f t="shared" ca="1" si="123"/>
        <v>3.0045542817578896</v>
      </c>
      <c r="B883" s="4" cm="1">
        <f t="array" aca="1" ref="B8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883" s="2">
        <f t="shared" ca="1" si="124"/>
        <v>3.0199597140243233</v>
      </c>
      <c r="D883" s="4" t="str" cm="1">
        <f t="array" aca="1" ref="D8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83" s="2">
        <f t="shared" ca="1" si="125"/>
        <v>30.01486322091419</v>
      </c>
      <c r="F883" s="4" t="str" cm="1">
        <f t="array" aca="1" ref="F8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83" s="2">
        <f t="shared" ca="1" si="126"/>
        <v>40.02009674093587</v>
      </c>
      <c r="H883" s="47" t="str" cm="1">
        <f t="array" aca="1" ref="H8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84" spans="1:8" x14ac:dyDescent="0.25">
      <c r="A884" s="2">
        <f t="shared" ca="1" si="123"/>
        <v>3.0088352874564452</v>
      </c>
      <c r="B884" s="4" cm="1">
        <f t="array" aca="1" ref="B8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884" s="2">
        <f t="shared" ca="1" si="124"/>
        <v>3.004240911447646</v>
      </c>
      <c r="D884" s="4" t="str" cm="1">
        <f t="array" aca="1" ref="D8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84" s="2">
        <f t="shared" ca="1" si="125"/>
        <v>30.01307738194361</v>
      </c>
      <c r="F884" s="4" t="str" cm="1">
        <f t="array" aca="1" ref="F8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84" s="2">
        <f t="shared" ca="1" si="126"/>
        <v>40.023379323638594</v>
      </c>
      <c r="H884" s="47" t="str" cm="1">
        <f t="array" aca="1" ref="H8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85" spans="1:8" x14ac:dyDescent="0.25">
      <c r="A885" s="2">
        <f t="shared" ca="1" si="123"/>
        <v>3.0089250099402229</v>
      </c>
      <c r="B885" s="4" cm="1">
        <f t="array" aca="1" ref="B8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885" s="2">
        <f t="shared" ca="1" si="124"/>
        <v>3.0117288970436005</v>
      </c>
      <c r="D885" s="4" t="str" cm="1">
        <f t="array" aca="1" ref="D8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85" s="2">
        <f t="shared" ca="1" si="125"/>
        <v>30.020311876972329</v>
      </c>
      <c r="F885" s="4" t="str" cm="1">
        <f t="array" aca="1" ref="F8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85" s="2">
        <f t="shared" ca="1" si="126"/>
        <v>40.029021036323876</v>
      </c>
      <c r="H885" s="47" t="str" cm="1">
        <f t="array" aca="1" ref="H8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86" spans="1:8" x14ac:dyDescent="0.25">
      <c r="A886" s="2">
        <f t="shared" ca="1" si="123"/>
        <v>3.0028596907042191</v>
      </c>
      <c r="B886" s="4" cm="1">
        <f t="array" aca="1" ref="B8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886" s="2">
        <f t="shared" ca="1" si="124"/>
        <v>3.0136945744793797</v>
      </c>
      <c r="D886" s="4" t="str" cm="1">
        <f t="array" aca="1" ref="D8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86" s="2">
        <f t="shared" ca="1" si="125"/>
        <v>30.000557740364513</v>
      </c>
      <c r="F886" s="4" t="str" cm="1">
        <f t="array" aca="1" ref="F8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86" s="2">
        <f t="shared" ca="1" si="126"/>
        <v>40.007676119211695</v>
      </c>
      <c r="H886" s="47" t="str" cm="1">
        <f t="array" aca="1" ref="H8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87" spans="1:8" x14ac:dyDescent="0.25">
      <c r="A887" s="2">
        <f t="shared" ca="1" si="123"/>
        <v>3.0000789494970812</v>
      </c>
      <c r="B887" s="4" cm="1">
        <f t="array" aca="1" ref="B8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887" s="2">
        <f t="shared" ca="1" si="124"/>
        <v>3.009211134792265</v>
      </c>
      <c r="D887" s="4" t="str" cm="1">
        <f t="array" aca="1" ref="D8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87" s="2">
        <f t="shared" ca="1" si="125"/>
        <v>30.004966690010381</v>
      </c>
      <c r="F887" s="4" t="str" cm="1">
        <f t="array" aca="1" ref="F8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87" s="2">
        <f t="shared" ca="1" si="126"/>
        <v>40.028202744842559</v>
      </c>
      <c r="H887" s="47" t="str" cm="1">
        <f t="array" aca="1" ref="H8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88" spans="1:8" x14ac:dyDescent="0.25">
      <c r="A888" s="2">
        <f t="shared" ca="1" si="123"/>
        <v>3.009859330467715</v>
      </c>
      <c r="B888" s="4" cm="1">
        <f t="array" aca="1" ref="B8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888" s="2">
        <f t="shared" ca="1" si="124"/>
        <v>3.0129528783934179</v>
      </c>
      <c r="D888" s="4" t="str" cm="1">
        <f t="array" aca="1" ref="D8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88" s="2">
        <f t="shared" ca="1" si="125"/>
        <v>30.00357472823341</v>
      </c>
      <c r="F888" s="4" t="str" cm="1">
        <f t="array" aca="1" ref="F8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88" s="2">
        <f t="shared" ca="1" si="126"/>
        <v>40.004822863064476</v>
      </c>
      <c r="H888" s="47" t="str" cm="1">
        <f t="array" aca="1" ref="H8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89" spans="1:8" x14ac:dyDescent="0.25">
      <c r="A889" s="2">
        <f t="shared" ca="1" si="123"/>
        <v>3.0033898402204708</v>
      </c>
      <c r="B889" s="4" cm="1">
        <f t="array" aca="1" ref="B8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889" s="2">
        <f t="shared" ca="1" si="124"/>
        <v>3.0226375428866725</v>
      </c>
      <c r="D889" s="4" t="str" cm="1">
        <f t="array" aca="1" ref="D8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89" s="2">
        <f t="shared" ca="1" si="125"/>
        <v>30.006960532076448</v>
      </c>
      <c r="F889" s="4" t="str" cm="1">
        <f t="array" aca="1" ref="F8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89" s="2">
        <f t="shared" ca="1" si="126"/>
        <v>40.002023419850751</v>
      </c>
      <c r="H889" s="47" t="str" cm="1">
        <f t="array" aca="1" ref="H8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90" spans="1:8" x14ac:dyDescent="0.25">
      <c r="A890" s="2">
        <f t="shared" ca="1" si="123"/>
        <v>3.0077089702494386</v>
      </c>
      <c r="B890" s="4" cm="1">
        <f t="array" aca="1" ref="B8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890" s="2">
        <f t="shared" ca="1" si="124"/>
        <v>3.0217303134992362</v>
      </c>
      <c r="D890" s="4" t="str" cm="1">
        <f t="array" aca="1" ref="D8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90" s="2">
        <f t="shared" ca="1" si="125"/>
        <v>30.018075155463571</v>
      </c>
      <c r="F890" s="4" t="str" cm="1">
        <f t="array" aca="1" ref="F8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90" s="2">
        <f t="shared" ca="1" si="126"/>
        <v>40.011409707004759</v>
      </c>
      <c r="H890" s="47" t="str" cm="1">
        <f t="array" aca="1" ref="H8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91" spans="1:8" x14ac:dyDescent="0.25">
      <c r="A891" s="2">
        <f t="shared" ca="1" si="123"/>
        <v>3.004408428204004</v>
      </c>
      <c r="B891" s="4" cm="1">
        <f t="array" aca="1" ref="B8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891" s="2">
        <f t="shared" ca="1" si="124"/>
        <v>3.0236613630385465</v>
      </c>
      <c r="D891" s="4" t="str" cm="1">
        <f t="array" aca="1" ref="D8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91" s="2">
        <f t="shared" ca="1" si="125"/>
        <v>30.002505556629071</v>
      </c>
      <c r="F891" s="4" t="str" cm="1">
        <f t="array" aca="1" ref="F8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91" s="2">
        <f t="shared" ca="1" si="126"/>
        <v>40.024951131447125</v>
      </c>
      <c r="H891" s="47" t="str" cm="1">
        <f t="array" aca="1" ref="H8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92" spans="1:8" x14ac:dyDescent="0.25">
      <c r="A892" s="2">
        <f t="shared" ca="1" si="123"/>
        <v>3.0067524325600221</v>
      </c>
      <c r="B892" s="4" cm="1">
        <f t="array" aca="1" ref="B8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892" s="2">
        <f t="shared" ca="1" si="124"/>
        <v>3.0041874493663441</v>
      </c>
      <c r="D892" s="4" t="str" cm="1">
        <f t="array" aca="1" ref="D8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92" s="2">
        <f t="shared" ca="1" si="125"/>
        <v>30.00173194738597</v>
      </c>
      <c r="F892" s="4" t="str" cm="1">
        <f t="array" aca="1" ref="F8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92" s="2">
        <f t="shared" ca="1" si="126"/>
        <v>40.018804733273782</v>
      </c>
      <c r="H892" s="47" t="str" cm="1">
        <f t="array" aca="1" ref="H8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93" spans="1:8" x14ac:dyDescent="0.25">
      <c r="A893" s="2">
        <f t="shared" ca="1" si="123"/>
        <v>3.0003157462282117</v>
      </c>
      <c r="B893" s="4" cm="1">
        <f t="array" aca="1" ref="B8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893" s="2">
        <f t="shared" ca="1" si="124"/>
        <v>3.029006151469027</v>
      </c>
      <c r="D893" s="4" t="str" cm="1">
        <f t="array" aca="1" ref="D8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93" s="2">
        <f t="shared" ca="1" si="125"/>
        <v>30.019117798131163</v>
      </c>
      <c r="F893" s="4" t="str" cm="1">
        <f t="array" aca="1" ref="F8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93" s="2">
        <f t="shared" ca="1" si="126"/>
        <v>40.013309982767971</v>
      </c>
      <c r="H893" s="47" t="str" cm="1">
        <f t="array" aca="1" ref="H8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94" spans="1:8" x14ac:dyDescent="0.25">
      <c r="A894" s="2">
        <f t="shared" ca="1" si="123"/>
        <v>3.0054812542606948</v>
      </c>
      <c r="B894" s="4" cm="1">
        <f t="array" aca="1" ref="B8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894" s="2">
        <f t="shared" ca="1" si="124"/>
        <v>3.0078504645551352</v>
      </c>
      <c r="D894" s="4" t="str" cm="1">
        <f t="array" aca="1" ref="D8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894" s="2">
        <f t="shared" ca="1" si="125"/>
        <v>30.01574176650583</v>
      </c>
      <c r="F894" s="4" t="str" cm="1">
        <f t="array" aca="1" ref="F8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94" s="2">
        <f t="shared" ca="1" si="126"/>
        <v>40.023791829382596</v>
      </c>
      <c r="H894" s="47" t="str" cm="1">
        <f t="array" aca="1" ref="H8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95" spans="1:8" x14ac:dyDescent="0.25">
      <c r="A895" s="2">
        <f t="shared" ca="1" si="123"/>
        <v>3.0001825601019809</v>
      </c>
      <c r="B895" s="4" cm="1">
        <f t="array" aca="1" ref="B8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895" s="2">
        <f t="shared" ca="1" si="124"/>
        <v>3.0138951145862305</v>
      </c>
      <c r="D895" s="4" t="str" cm="1">
        <f t="array" aca="1" ref="D8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95" s="2">
        <f t="shared" ca="1" si="125"/>
        <v>30.026670589425098</v>
      </c>
      <c r="F895" s="4" t="str" cm="1">
        <f t="array" aca="1" ref="F8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95" s="2">
        <f t="shared" ca="1" si="126"/>
        <v>40.020640905177764</v>
      </c>
      <c r="H895" s="47" t="str" cm="1">
        <f t="array" aca="1" ref="H8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96" spans="1:8" x14ac:dyDescent="0.25">
      <c r="A896" s="2">
        <f t="shared" ca="1" si="123"/>
        <v>3.003573595446551</v>
      </c>
      <c r="B896" s="4" cm="1">
        <f t="array" aca="1" ref="B8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896" s="2">
        <f t="shared" ca="1" si="124"/>
        <v>3.0180814568515424</v>
      </c>
      <c r="D896" s="4" t="str" cm="1">
        <f t="array" aca="1" ref="D8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96" s="2">
        <f t="shared" ca="1" si="125"/>
        <v>30.001848237546756</v>
      </c>
      <c r="F896" s="4" t="str" cm="1">
        <f t="array" aca="1" ref="F8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96" s="2">
        <f t="shared" ca="1" si="126"/>
        <v>40.028040173457796</v>
      </c>
      <c r="H896" s="47" t="str" cm="1">
        <f t="array" aca="1" ref="H8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897" spans="1:8" x14ac:dyDescent="0.25">
      <c r="A897" s="2">
        <f t="shared" ca="1" si="123"/>
        <v>3.0079214150475724</v>
      </c>
      <c r="B897" s="4" cm="1">
        <f t="array" aca="1" ref="B8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897" s="2">
        <f t="shared" ca="1" si="124"/>
        <v>3.0240644337985501</v>
      </c>
      <c r="D897" s="4" t="str" cm="1">
        <f t="array" aca="1" ref="D8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97" s="2">
        <f t="shared" ca="1" si="125"/>
        <v>30.028083688505649</v>
      </c>
      <c r="F897" s="4" t="str" cm="1">
        <f t="array" aca="1" ref="F8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897" s="2">
        <f t="shared" ca="1" si="126"/>
        <v>40.015685121447056</v>
      </c>
      <c r="H897" s="47" t="str" cm="1">
        <f t="array" aca="1" ref="H8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898" spans="1:8" x14ac:dyDescent="0.25">
      <c r="A898" s="2">
        <f t="shared" ref="A898:A961" ca="1" si="127">3+RAND()*0.01</f>
        <v>3.0075691616652458</v>
      </c>
      <c r="B898" s="4" cm="1">
        <f t="array" aca="1" ref="B8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898" s="2">
        <f t="shared" ref="C898:C961" ca="1" si="128">3+RAND()*0.03</f>
        <v>3.0198196931209567</v>
      </c>
      <c r="D898" s="4" t="str" cm="1">
        <f t="array" aca="1" ref="D8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898" s="2">
        <f t="shared" ref="E898:E961" ca="1" si="129">30+RAND()*0.03</f>
        <v>30.007636343489569</v>
      </c>
      <c r="F898" s="4" t="str" cm="1">
        <f t="array" aca="1" ref="F8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898" s="2">
        <f t="shared" ref="G898:G961" ca="1" si="130">40+RAND()*0.03</f>
        <v>40.005987247713271</v>
      </c>
      <c r="H898" s="47" t="str" cm="1">
        <f t="array" aca="1" ref="H8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899" spans="1:8" x14ac:dyDescent="0.25">
      <c r="A899" s="2">
        <f t="shared" ca="1" si="127"/>
        <v>3.0036377023353342</v>
      </c>
      <c r="B899" s="4" cm="1">
        <f t="array" aca="1" ref="B8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899" s="2">
        <f t="shared" ca="1" si="128"/>
        <v>3.0278438168527662</v>
      </c>
      <c r="D899" s="4" t="str" cm="1">
        <f t="array" aca="1" ref="D8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899" s="2">
        <f t="shared" ca="1" si="129"/>
        <v>30.014406252190781</v>
      </c>
      <c r="F899" s="4" t="str" cm="1">
        <f t="array" aca="1" ref="F8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899" s="2">
        <f t="shared" ca="1" si="130"/>
        <v>40.010393715498232</v>
      </c>
      <c r="H899" s="47" t="str" cm="1">
        <f t="array" aca="1" ref="H8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00" spans="1:8" x14ac:dyDescent="0.25">
      <c r="A900" s="2">
        <f t="shared" ca="1" si="127"/>
        <v>3.0018789980685137</v>
      </c>
      <c r="B900" s="4" cm="1">
        <f t="array" aca="1" ref="B9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900" s="2">
        <f t="shared" ca="1" si="128"/>
        <v>3.0161877687275802</v>
      </c>
      <c r="D900" s="4" t="str" cm="1">
        <f t="array" aca="1" ref="D9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00" s="2">
        <f t="shared" ca="1" si="129"/>
        <v>30.00575982967942</v>
      </c>
      <c r="F900" s="4" t="str" cm="1">
        <f t="array" aca="1" ref="F9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00" s="2">
        <f t="shared" ca="1" si="130"/>
        <v>40.018912362308015</v>
      </c>
      <c r="H900" s="47" t="str" cm="1">
        <f t="array" aca="1" ref="H9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01" spans="1:8" x14ac:dyDescent="0.25">
      <c r="A901" s="2">
        <f t="shared" ca="1" si="127"/>
        <v>3.0002543957128847</v>
      </c>
      <c r="B901" s="4" cm="1">
        <f t="array" aca="1" ref="B9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901" s="2">
        <f t="shared" ca="1" si="128"/>
        <v>3.0156931337994504</v>
      </c>
      <c r="D901" s="4" t="str" cm="1">
        <f t="array" aca="1" ref="D9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01" s="2">
        <f t="shared" ca="1" si="129"/>
        <v>30.005842662447503</v>
      </c>
      <c r="F901" s="4" t="str" cm="1">
        <f t="array" aca="1" ref="F9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01" s="2">
        <f t="shared" ca="1" si="130"/>
        <v>40.01238629739791</v>
      </c>
      <c r="H901" s="47" t="str" cm="1">
        <f t="array" aca="1" ref="H9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02" spans="1:8" x14ac:dyDescent="0.25">
      <c r="A902" s="2">
        <f t="shared" ca="1" si="127"/>
        <v>3.0040307972008167</v>
      </c>
      <c r="B902" s="4" cm="1">
        <f t="array" aca="1" ref="B9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902" s="2">
        <f t="shared" ca="1" si="128"/>
        <v>3.0251741767768743</v>
      </c>
      <c r="D902" s="4" t="str" cm="1">
        <f t="array" aca="1" ref="D9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02" s="2">
        <f t="shared" ca="1" si="129"/>
        <v>30.00386755342868</v>
      </c>
      <c r="F902" s="4" t="str" cm="1">
        <f t="array" aca="1" ref="F9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02" s="2">
        <f t="shared" ca="1" si="130"/>
        <v>40.003375124656408</v>
      </c>
      <c r="H902" s="47" t="str" cm="1">
        <f t="array" aca="1" ref="H9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03" spans="1:8" x14ac:dyDescent="0.25">
      <c r="A903" s="2">
        <f t="shared" ca="1" si="127"/>
        <v>3.0095100502626471</v>
      </c>
      <c r="B903" s="4" cm="1">
        <f t="array" aca="1" ref="B9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903" s="2">
        <f t="shared" ca="1" si="128"/>
        <v>3.0175940206618552</v>
      </c>
      <c r="D903" s="4" t="str" cm="1">
        <f t="array" aca="1" ref="D9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03" s="2">
        <f t="shared" ca="1" si="129"/>
        <v>30.025676077881457</v>
      </c>
      <c r="F903" s="4" t="str" cm="1">
        <f t="array" aca="1" ref="F9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03" s="2">
        <f t="shared" ca="1" si="130"/>
        <v>40.008254471459288</v>
      </c>
      <c r="H903" s="47" t="str" cm="1">
        <f t="array" aca="1" ref="H9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04" spans="1:8" x14ac:dyDescent="0.25">
      <c r="A904" s="2">
        <f t="shared" ca="1" si="127"/>
        <v>3.0098046136660845</v>
      </c>
      <c r="B904" s="4" cm="1">
        <f t="array" aca="1" ref="B9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904" s="2">
        <f t="shared" ca="1" si="128"/>
        <v>3.0051860327261455</v>
      </c>
      <c r="D904" s="4" t="str" cm="1">
        <f t="array" aca="1" ref="D9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04" s="2">
        <f t="shared" ca="1" si="129"/>
        <v>30.015431240793621</v>
      </c>
      <c r="F904" s="4" t="str" cm="1">
        <f t="array" aca="1" ref="F9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04" s="2">
        <f t="shared" ca="1" si="130"/>
        <v>40.016098736562853</v>
      </c>
      <c r="H904" s="47" t="str" cm="1">
        <f t="array" aca="1" ref="H9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05" spans="1:8" x14ac:dyDescent="0.25">
      <c r="A905" s="2">
        <f t="shared" ca="1" si="127"/>
        <v>3.002280147966554</v>
      </c>
      <c r="B905" s="4" cm="1">
        <f t="array" aca="1" ref="B9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905" s="2">
        <f t="shared" ca="1" si="128"/>
        <v>3.0150050216013891</v>
      </c>
      <c r="D905" s="4" t="str" cm="1">
        <f t="array" aca="1" ref="D9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05" s="2">
        <f t="shared" ca="1" si="129"/>
        <v>30.020314558344165</v>
      </c>
      <c r="F905" s="4" t="str" cm="1">
        <f t="array" aca="1" ref="F9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05" s="2">
        <f t="shared" ca="1" si="130"/>
        <v>40.029650297636934</v>
      </c>
      <c r="H905" s="47" t="str" cm="1">
        <f t="array" aca="1" ref="H9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06" spans="1:8" x14ac:dyDescent="0.25">
      <c r="A906" s="2">
        <f t="shared" ca="1" si="127"/>
        <v>3.0018447619527509</v>
      </c>
      <c r="B906" s="4" cm="1">
        <f t="array" aca="1" ref="B9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906" s="2">
        <f t="shared" ca="1" si="128"/>
        <v>3.0125826926155721</v>
      </c>
      <c r="D906" s="4" t="str" cm="1">
        <f t="array" aca="1" ref="D9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06" s="2">
        <f t="shared" ca="1" si="129"/>
        <v>30.011262688316979</v>
      </c>
      <c r="F906" s="4" t="str" cm="1">
        <f t="array" aca="1" ref="F9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06" s="2">
        <f t="shared" ca="1" si="130"/>
        <v>40.028993211877669</v>
      </c>
      <c r="H906" s="47" t="str" cm="1">
        <f t="array" aca="1" ref="H9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07" spans="1:8" x14ac:dyDescent="0.25">
      <c r="A907" s="2">
        <f t="shared" ca="1" si="127"/>
        <v>3.0098035136482038</v>
      </c>
      <c r="B907" s="4" cm="1">
        <f t="array" aca="1" ref="B9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907" s="2">
        <f t="shared" ca="1" si="128"/>
        <v>3.0151384277304012</v>
      </c>
      <c r="D907" s="4" t="str" cm="1">
        <f t="array" aca="1" ref="D9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07" s="2">
        <f t="shared" ca="1" si="129"/>
        <v>30.028459495852541</v>
      </c>
      <c r="F907" s="4" t="str" cm="1">
        <f t="array" aca="1" ref="F9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07" s="2">
        <f t="shared" ca="1" si="130"/>
        <v>40.029480232447433</v>
      </c>
      <c r="H907" s="47" t="str" cm="1">
        <f t="array" aca="1" ref="H9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08" spans="1:8" x14ac:dyDescent="0.25">
      <c r="A908" s="2">
        <f t="shared" ca="1" si="127"/>
        <v>3.009815667439947</v>
      </c>
      <c r="B908" s="4" cm="1">
        <f t="array" aca="1" ref="B9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908" s="2">
        <f t="shared" ca="1" si="128"/>
        <v>3.0273905978212161</v>
      </c>
      <c r="D908" s="4" t="str" cm="1">
        <f t="array" aca="1" ref="D9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08" s="2">
        <f t="shared" ca="1" si="129"/>
        <v>30.007088183726655</v>
      </c>
      <c r="F908" s="4" t="str" cm="1">
        <f t="array" aca="1" ref="F9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08" s="2">
        <f t="shared" ca="1" si="130"/>
        <v>40.012071259406362</v>
      </c>
      <c r="H908" s="47" t="str" cm="1">
        <f t="array" aca="1" ref="H9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09" spans="1:8" x14ac:dyDescent="0.25">
      <c r="A909" s="2">
        <f t="shared" ca="1" si="127"/>
        <v>3.0071858006046845</v>
      </c>
      <c r="B909" s="4" cm="1">
        <f t="array" aca="1" ref="B9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909" s="2">
        <f t="shared" ca="1" si="128"/>
        <v>3.0036936829769609</v>
      </c>
      <c r="D909" s="4" t="str" cm="1">
        <f t="array" aca="1" ref="D9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09" s="2">
        <f t="shared" ca="1" si="129"/>
        <v>30.02010337612796</v>
      </c>
      <c r="F909" s="4" t="str" cm="1">
        <f t="array" aca="1" ref="F9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09" s="2">
        <f t="shared" ca="1" si="130"/>
        <v>40.000944122999307</v>
      </c>
      <c r="H909" s="47" t="str" cm="1">
        <f t="array" aca="1" ref="H9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10" spans="1:8" x14ac:dyDescent="0.25">
      <c r="A910" s="2">
        <f t="shared" ca="1" si="127"/>
        <v>3.0076332282930265</v>
      </c>
      <c r="B910" s="4" cm="1">
        <f t="array" aca="1" ref="B9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910" s="2">
        <f t="shared" ca="1" si="128"/>
        <v>3.0032361191400709</v>
      </c>
      <c r="D910" s="4" t="str" cm="1">
        <f t="array" aca="1" ref="D9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10" s="2">
        <f t="shared" ca="1" si="129"/>
        <v>30.00322571897723</v>
      </c>
      <c r="F910" s="4" t="str" cm="1">
        <f t="array" aca="1" ref="F9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10" s="2">
        <f t="shared" ca="1" si="130"/>
        <v>40.018706528389657</v>
      </c>
      <c r="H910" s="47" t="str" cm="1">
        <f t="array" aca="1" ref="H9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11" spans="1:8" x14ac:dyDescent="0.25">
      <c r="A911" s="2">
        <f t="shared" ca="1" si="127"/>
        <v>3.0058456780141056</v>
      </c>
      <c r="B911" s="4" cm="1">
        <f t="array" aca="1" ref="B9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911" s="2">
        <f t="shared" ca="1" si="128"/>
        <v>3.0201158762905331</v>
      </c>
      <c r="D911" s="4" t="str" cm="1">
        <f t="array" aca="1" ref="D9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11" s="2">
        <f t="shared" ca="1" si="129"/>
        <v>30.025449808566098</v>
      </c>
      <c r="F911" s="4" t="str" cm="1">
        <f t="array" aca="1" ref="F9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11" s="2">
        <f t="shared" ca="1" si="130"/>
        <v>40.015987319806314</v>
      </c>
      <c r="H911" s="47" t="str" cm="1">
        <f t="array" aca="1" ref="H9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12" spans="1:8" x14ac:dyDescent="0.25">
      <c r="A912" s="2">
        <f t="shared" ca="1" si="127"/>
        <v>3.0081821843644954</v>
      </c>
      <c r="B912" s="4" cm="1">
        <f t="array" aca="1" ref="B9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912" s="2">
        <f t="shared" ca="1" si="128"/>
        <v>3.0285927274882796</v>
      </c>
      <c r="D912" s="4" t="str" cm="1">
        <f t="array" aca="1" ref="D9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12" s="2">
        <f t="shared" ca="1" si="129"/>
        <v>30.00708614496989</v>
      </c>
      <c r="F912" s="4" t="str" cm="1">
        <f t="array" aca="1" ref="F9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12" s="2">
        <f t="shared" ca="1" si="130"/>
        <v>40.021182953067452</v>
      </c>
      <c r="H912" s="47" t="str" cm="1">
        <f t="array" aca="1" ref="H9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13" spans="1:8" x14ac:dyDescent="0.25">
      <c r="A913" s="2">
        <f t="shared" ca="1" si="127"/>
        <v>3.0093795455960541</v>
      </c>
      <c r="B913" s="4" cm="1">
        <f t="array" aca="1" ref="B9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913" s="2">
        <f t="shared" ca="1" si="128"/>
        <v>3.0015152372707803</v>
      </c>
      <c r="D913" s="4" t="str" cm="1">
        <f t="array" aca="1" ref="D9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13" s="2">
        <f t="shared" ca="1" si="129"/>
        <v>30.024750850752795</v>
      </c>
      <c r="F913" s="4" t="str" cm="1">
        <f t="array" aca="1" ref="F9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13" s="2">
        <f t="shared" ca="1" si="130"/>
        <v>40.027456357059044</v>
      </c>
      <c r="H913" s="47" t="str" cm="1">
        <f t="array" aca="1" ref="H9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14" spans="1:8" x14ac:dyDescent="0.25">
      <c r="A914" s="2">
        <f t="shared" ca="1" si="127"/>
        <v>3.0075562686684862</v>
      </c>
      <c r="B914" s="4" cm="1">
        <f t="array" aca="1" ref="B9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914" s="2">
        <f t="shared" ca="1" si="128"/>
        <v>3.0162803513976097</v>
      </c>
      <c r="D914" s="4" t="str" cm="1">
        <f t="array" aca="1" ref="D9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14" s="2">
        <f t="shared" ca="1" si="129"/>
        <v>30.006127117205288</v>
      </c>
      <c r="F914" s="4" t="str" cm="1">
        <f t="array" aca="1" ref="F9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14" s="2">
        <f t="shared" ca="1" si="130"/>
        <v>40.024221294008569</v>
      </c>
      <c r="H914" s="47" t="str" cm="1">
        <f t="array" aca="1" ref="H9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15" spans="1:8" x14ac:dyDescent="0.25">
      <c r="A915" s="2">
        <f t="shared" ca="1" si="127"/>
        <v>3.0035887771336469</v>
      </c>
      <c r="B915" s="4" cm="1">
        <f t="array" aca="1" ref="B9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915" s="2">
        <f t="shared" ca="1" si="128"/>
        <v>3.0275600777649987</v>
      </c>
      <c r="D915" s="4" t="str" cm="1">
        <f t="array" aca="1" ref="D9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15" s="2">
        <f t="shared" ca="1" si="129"/>
        <v>30.026199440792471</v>
      </c>
      <c r="F915" s="4" t="str" cm="1">
        <f t="array" aca="1" ref="F9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15" s="2">
        <f t="shared" ca="1" si="130"/>
        <v>40.001594563077376</v>
      </c>
      <c r="H915" s="47" t="str" cm="1">
        <f t="array" aca="1" ref="H9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16" spans="1:8" x14ac:dyDescent="0.25">
      <c r="A916" s="2">
        <f t="shared" ca="1" si="127"/>
        <v>3.0049946909174885</v>
      </c>
      <c r="B916" s="4" cm="1">
        <f t="array" aca="1" ref="B9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916" s="2">
        <f t="shared" ca="1" si="128"/>
        <v>3.0036641369670281</v>
      </c>
      <c r="D916" s="4" t="str" cm="1">
        <f t="array" aca="1" ref="D9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16" s="2">
        <f t="shared" ca="1" si="129"/>
        <v>30.010963976431338</v>
      </c>
      <c r="F916" s="4" t="str" cm="1">
        <f t="array" aca="1" ref="F9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16" s="2">
        <f t="shared" ca="1" si="130"/>
        <v>40.019636267091968</v>
      </c>
      <c r="H916" s="47" t="str" cm="1">
        <f t="array" aca="1" ref="H9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17" spans="1:8" x14ac:dyDescent="0.25">
      <c r="A917" s="2">
        <f t="shared" ca="1" si="127"/>
        <v>3.0042029143857221</v>
      </c>
      <c r="B917" s="4" cm="1">
        <f t="array" aca="1" ref="B9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917" s="2">
        <f t="shared" ca="1" si="128"/>
        <v>3.0100921755530301</v>
      </c>
      <c r="D917" s="4" t="str" cm="1">
        <f t="array" aca="1" ref="D9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17" s="2">
        <f t="shared" ca="1" si="129"/>
        <v>30.016177165405093</v>
      </c>
      <c r="F917" s="4" t="str" cm="1">
        <f t="array" aca="1" ref="F9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17" s="2">
        <f t="shared" ca="1" si="130"/>
        <v>40.02495797144045</v>
      </c>
      <c r="H917" s="47" t="str" cm="1">
        <f t="array" aca="1" ref="H9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18" spans="1:8" x14ac:dyDescent="0.25">
      <c r="A918" s="2">
        <f t="shared" ca="1" si="127"/>
        <v>3.0012618184029209</v>
      </c>
      <c r="B918" s="4" cm="1">
        <f t="array" aca="1" ref="B9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918" s="2">
        <f t="shared" ca="1" si="128"/>
        <v>3.005335112705223</v>
      </c>
      <c r="D918" s="4" t="str" cm="1">
        <f t="array" aca="1" ref="D9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18" s="2">
        <f t="shared" ca="1" si="129"/>
        <v>30.012257569149309</v>
      </c>
      <c r="F918" s="4" t="str" cm="1">
        <f t="array" aca="1" ref="F9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18" s="2">
        <f t="shared" ca="1" si="130"/>
        <v>40.028384185634089</v>
      </c>
      <c r="H918" s="47" t="str" cm="1">
        <f t="array" aca="1" ref="H9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19" spans="1:8" x14ac:dyDescent="0.25">
      <c r="A919" s="2">
        <f t="shared" ca="1" si="127"/>
        <v>3.0014486234396696</v>
      </c>
      <c r="B919" s="4" cm="1">
        <f t="array" aca="1" ref="B9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919" s="2">
        <f t="shared" ca="1" si="128"/>
        <v>3.0112789804356983</v>
      </c>
      <c r="D919" s="4" t="str" cm="1">
        <f t="array" aca="1" ref="D9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19" s="2">
        <f t="shared" ca="1" si="129"/>
        <v>30.007121682145627</v>
      </c>
      <c r="F919" s="4" t="str" cm="1">
        <f t="array" aca="1" ref="F9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19" s="2">
        <f t="shared" ca="1" si="130"/>
        <v>40.019447727980783</v>
      </c>
      <c r="H919" s="47" t="str" cm="1">
        <f t="array" aca="1" ref="H9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20" spans="1:8" x14ac:dyDescent="0.25">
      <c r="A920" s="2">
        <f t="shared" ca="1" si="127"/>
        <v>3.0029729708734521</v>
      </c>
      <c r="B920" s="4" cm="1">
        <f t="array" aca="1" ref="B9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920" s="2">
        <f t="shared" ca="1" si="128"/>
        <v>3.0001871596921199</v>
      </c>
      <c r="D920" s="4" t="str" cm="1">
        <f t="array" aca="1" ref="D9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20" s="2">
        <f t="shared" ca="1" si="129"/>
        <v>30.023320930988866</v>
      </c>
      <c r="F920" s="4" t="str" cm="1">
        <f t="array" aca="1" ref="F9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20" s="2">
        <f t="shared" ca="1" si="130"/>
        <v>40.029689841805862</v>
      </c>
      <c r="H920" s="47" t="str" cm="1">
        <f t="array" aca="1" ref="H9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21" spans="1:8" x14ac:dyDescent="0.25">
      <c r="A921" s="2">
        <f t="shared" ca="1" si="127"/>
        <v>3.0037052526940924</v>
      </c>
      <c r="B921" s="4" cm="1">
        <f t="array" aca="1" ref="B9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921" s="2">
        <f t="shared" ca="1" si="128"/>
        <v>3.009095727340025</v>
      </c>
      <c r="D921" s="4" t="str" cm="1">
        <f t="array" aca="1" ref="D9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21" s="2">
        <f t="shared" ca="1" si="129"/>
        <v>30.020022663085761</v>
      </c>
      <c r="F921" s="4" t="str" cm="1">
        <f t="array" aca="1" ref="F9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21" s="2">
        <f t="shared" ca="1" si="130"/>
        <v>40.016433208184708</v>
      </c>
      <c r="H921" s="47" t="str" cm="1">
        <f t="array" aca="1" ref="H9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22" spans="1:8" x14ac:dyDescent="0.25">
      <c r="A922" s="2">
        <f t="shared" ca="1" si="127"/>
        <v>3.0044225965509521</v>
      </c>
      <c r="B922" s="4" cm="1">
        <f t="array" aca="1" ref="B9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922" s="2">
        <f t="shared" ca="1" si="128"/>
        <v>3.0167218239520128</v>
      </c>
      <c r="D922" s="4" t="str" cm="1">
        <f t="array" aca="1" ref="D9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22" s="2">
        <f t="shared" ca="1" si="129"/>
        <v>30.011162204897154</v>
      </c>
      <c r="F922" s="4" t="str" cm="1">
        <f t="array" aca="1" ref="F9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22" s="2">
        <f t="shared" ca="1" si="130"/>
        <v>40.004544315382525</v>
      </c>
      <c r="H922" s="47" t="str" cm="1">
        <f t="array" aca="1" ref="H9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23" spans="1:8" x14ac:dyDescent="0.25">
      <c r="A923" s="2">
        <f t="shared" ca="1" si="127"/>
        <v>3.0039170772659705</v>
      </c>
      <c r="B923" s="4" cm="1">
        <f t="array" aca="1" ref="B9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923" s="2">
        <f t="shared" ca="1" si="128"/>
        <v>3.0172713042478825</v>
      </c>
      <c r="D923" s="4" t="str" cm="1">
        <f t="array" aca="1" ref="D9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23" s="2">
        <f t="shared" ca="1" si="129"/>
        <v>30.016208725304878</v>
      </c>
      <c r="F923" s="4" t="str" cm="1">
        <f t="array" aca="1" ref="F9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23" s="2">
        <f t="shared" ca="1" si="130"/>
        <v>40.029778389339263</v>
      </c>
      <c r="H923" s="47" t="str" cm="1">
        <f t="array" aca="1" ref="H9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24" spans="1:8" x14ac:dyDescent="0.25">
      <c r="A924" s="2">
        <f t="shared" ca="1" si="127"/>
        <v>3.0089580121432027</v>
      </c>
      <c r="B924" s="4" cm="1">
        <f t="array" aca="1" ref="B9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924" s="2">
        <f t="shared" ca="1" si="128"/>
        <v>3.0085927852448306</v>
      </c>
      <c r="D924" s="4" t="str" cm="1">
        <f t="array" aca="1" ref="D9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24" s="2">
        <f t="shared" ca="1" si="129"/>
        <v>30.022347154671174</v>
      </c>
      <c r="F924" s="4" t="str" cm="1">
        <f t="array" aca="1" ref="F9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24" s="2">
        <f t="shared" ca="1" si="130"/>
        <v>40.025348071976282</v>
      </c>
      <c r="H924" s="47" t="str" cm="1">
        <f t="array" aca="1" ref="H9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25" spans="1:8" x14ac:dyDescent="0.25">
      <c r="A925" s="2">
        <f t="shared" ca="1" si="127"/>
        <v>3.0052257247026901</v>
      </c>
      <c r="B925" s="4" cm="1">
        <f t="array" aca="1" ref="B9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925" s="2">
        <f t="shared" ca="1" si="128"/>
        <v>3.0255780635327563</v>
      </c>
      <c r="D925" s="4" t="str" cm="1">
        <f t="array" aca="1" ref="D9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25" s="2">
        <f t="shared" ca="1" si="129"/>
        <v>30.004074998868621</v>
      </c>
      <c r="F925" s="4" t="str" cm="1">
        <f t="array" aca="1" ref="F9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25" s="2">
        <f t="shared" ca="1" si="130"/>
        <v>40.01964577844852</v>
      </c>
      <c r="H925" s="47" t="str" cm="1">
        <f t="array" aca="1" ref="H9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26" spans="1:8" x14ac:dyDescent="0.25">
      <c r="A926" s="2">
        <f t="shared" ca="1" si="127"/>
        <v>3.0026632668826516</v>
      </c>
      <c r="B926" s="4" cm="1">
        <f t="array" aca="1" ref="B9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926" s="2">
        <f t="shared" ca="1" si="128"/>
        <v>3.0072877468107424</v>
      </c>
      <c r="D926" s="4" t="str" cm="1">
        <f t="array" aca="1" ref="D9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26" s="2">
        <f t="shared" ca="1" si="129"/>
        <v>30.006810923964792</v>
      </c>
      <c r="F926" s="4" t="str" cm="1">
        <f t="array" aca="1" ref="F9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26" s="2">
        <f t="shared" ca="1" si="130"/>
        <v>40.01477990988954</v>
      </c>
      <c r="H926" s="47" t="str" cm="1">
        <f t="array" aca="1" ref="H9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27" spans="1:8" x14ac:dyDescent="0.25">
      <c r="A927" s="2">
        <f t="shared" ca="1" si="127"/>
        <v>3.0094084194870803</v>
      </c>
      <c r="B927" s="4" cm="1">
        <f t="array" aca="1" ref="B9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927" s="2">
        <f t="shared" ca="1" si="128"/>
        <v>3.0204570574876244</v>
      </c>
      <c r="D927" s="4" t="str" cm="1">
        <f t="array" aca="1" ref="D9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27" s="2">
        <f t="shared" ca="1" si="129"/>
        <v>30.010163055721268</v>
      </c>
      <c r="F927" s="4" t="str" cm="1">
        <f t="array" aca="1" ref="F9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27" s="2">
        <f t="shared" ca="1" si="130"/>
        <v>40.001807715073198</v>
      </c>
      <c r="H927" s="47" t="str" cm="1">
        <f t="array" aca="1" ref="H9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28" spans="1:8" x14ac:dyDescent="0.25">
      <c r="A928" s="2">
        <f t="shared" ca="1" si="127"/>
        <v>3.0079793758102382</v>
      </c>
      <c r="B928" s="4" cm="1">
        <f t="array" aca="1" ref="B9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928" s="2">
        <f t="shared" ca="1" si="128"/>
        <v>3.0129086498088848</v>
      </c>
      <c r="D928" s="4" t="str" cm="1">
        <f t="array" aca="1" ref="D9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28" s="2">
        <f t="shared" ca="1" si="129"/>
        <v>30.009118991912622</v>
      </c>
      <c r="F928" s="4" t="str" cm="1">
        <f t="array" aca="1" ref="F9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28" s="2">
        <f t="shared" ca="1" si="130"/>
        <v>40.009104068920855</v>
      </c>
      <c r="H928" s="47" t="str" cm="1">
        <f t="array" aca="1" ref="H9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29" spans="1:8" x14ac:dyDescent="0.25">
      <c r="A929" s="2">
        <f t="shared" ca="1" si="127"/>
        <v>3.0007200790469386</v>
      </c>
      <c r="B929" s="4" cm="1">
        <f t="array" aca="1" ref="B9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929" s="2">
        <f t="shared" ca="1" si="128"/>
        <v>3.0081943486854028</v>
      </c>
      <c r="D929" s="4" t="str" cm="1">
        <f t="array" aca="1" ref="D9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29" s="2">
        <f t="shared" ca="1" si="129"/>
        <v>30.003871371876215</v>
      </c>
      <c r="F929" s="4" t="str" cm="1">
        <f t="array" aca="1" ref="F9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29" s="2">
        <f t="shared" ca="1" si="130"/>
        <v>40.007368376282464</v>
      </c>
      <c r="H929" s="47" t="str" cm="1">
        <f t="array" aca="1" ref="H9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30" spans="1:8" x14ac:dyDescent="0.25">
      <c r="A930" s="2">
        <f t="shared" ca="1" si="127"/>
        <v>3.0042746896297472</v>
      </c>
      <c r="B930" s="4" cm="1">
        <f t="array" aca="1" ref="B9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930" s="2">
        <f t="shared" ca="1" si="128"/>
        <v>3.0146674356521892</v>
      </c>
      <c r="D930" s="4" t="str" cm="1">
        <f t="array" aca="1" ref="D9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30" s="2">
        <f t="shared" ca="1" si="129"/>
        <v>30.004640905656029</v>
      </c>
      <c r="F930" s="4" t="str" cm="1">
        <f t="array" aca="1" ref="F9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30" s="2">
        <f t="shared" ca="1" si="130"/>
        <v>40.022066572441481</v>
      </c>
      <c r="H930" s="47" t="str" cm="1">
        <f t="array" aca="1" ref="H9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31" spans="1:8" x14ac:dyDescent="0.25">
      <c r="A931" s="2">
        <f t="shared" ca="1" si="127"/>
        <v>3.006236596129737</v>
      </c>
      <c r="B931" s="4" cm="1">
        <f t="array" aca="1" ref="B9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931" s="2">
        <f t="shared" ca="1" si="128"/>
        <v>3.0032505886111838</v>
      </c>
      <c r="D931" s="4" t="str" cm="1">
        <f t="array" aca="1" ref="D9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31" s="2">
        <f t="shared" ca="1" si="129"/>
        <v>30.007420495598122</v>
      </c>
      <c r="F931" s="4" t="str" cm="1">
        <f t="array" aca="1" ref="F9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31" s="2">
        <f t="shared" ca="1" si="130"/>
        <v>40.009260949382778</v>
      </c>
      <c r="H931" s="47" t="str" cm="1">
        <f t="array" aca="1" ref="H9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32" spans="1:8" x14ac:dyDescent="0.25">
      <c r="A932" s="2">
        <f t="shared" ca="1" si="127"/>
        <v>3.0092890665443215</v>
      </c>
      <c r="B932" s="4" cm="1">
        <f t="array" aca="1" ref="B9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932" s="2">
        <f t="shared" ca="1" si="128"/>
        <v>3.0247172767013666</v>
      </c>
      <c r="D932" s="4" t="str" cm="1">
        <f t="array" aca="1" ref="D9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32" s="2">
        <f t="shared" ca="1" si="129"/>
        <v>30.002530314175313</v>
      </c>
      <c r="F932" s="4" t="str" cm="1">
        <f t="array" aca="1" ref="F9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32" s="2">
        <f t="shared" ca="1" si="130"/>
        <v>40.007441932179276</v>
      </c>
      <c r="H932" s="47" t="str" cm="1">
        <f t="array" aca="1" ref="H9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33" spans="1:8" x14ac:dyDescent="0.25">
      <c r="A933" s="2">
        <f t="shared" ca="1" si="127"/>
        <v>3.0078890052004899</v>
      </c>
      <c r="B933" s="4" cm="1">
        <f t="array" aca="1" ref="B9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933" s="2">
        <f t="shared" ca="1" si="128"/>
        <v>3.022950264232291</v>
      </c>
      <c r="D933" s="4" t="str" cm="1">
        <f t="array" aca="1" ref="D9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33" s="2">
        <f t="shared" ca="1" si="129"/>
        <v>30.010372480268348</v>
      </c>
      <c r="F933" s="4" t="str" cm="1">
        <f t="array" aca="1" ref="F9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33" s="2">
        <f t="shared" ca="1" si="130"/>
        <v>40.004416021633439</v>
      </c>
      <c r="H933" s="47" t="str" cm="1">
        <f t="array" aca="1" ref="H9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34" spans="1:8" x14ac:dyDescent="0.25">
      <c r="A934" s="2">
        <f t="shared" ca="1" si="127"/>
        <v>3.0015500335041874</v>
      </c>
      <c r="B934" s="4" cm="1">
        <f t="array" aca="1" ref="B9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934" s="2">
        <f t="shared" ca="1" si="128"/>
        <v>3.0187524783845801</v>
      </c>
      <c r="D934" s="4" t="str" cm="1">
        <f t="array" aca="1" ref="D9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34" s="2">
        <f t="shared" ca="1" si="129"/>
        <v>30.008427235265426</v>
      </c>
      <c r="F934" s="4" t="str" cm="1">
        <f t="array" aca="1" ref="F9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34" s="2">
        <f t="shared" ca="1" si="130"/>
        <v>40.00213305259426</v>
      </c>
      <c r="H934" s="47" t="str" cm="1">
        <f t="array" aca="1" ref="H9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35" spans="1:8" x14ac:dyDescent="0.25">
      <c r="A935" s="2">
        <f t="shared" ca="1" si="127"/>
        <v>3.0076658127069207</v>
      </c>
      <c r="B935" s="4" cm="1">
        <f t="array" aca="1" ref="B9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935" s="2">
        <f t="shared" ca="1" si="128"/>
        <v>3.0058492804700845</v>
      </c>
      <c r="D935" s="4" t="str" cm="1">
        <f t="array" aca="1" ref="D9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35" s="2">
        <f t="shared" ca="1" si="129"/>
        <v>30.005546322517706</v>
      </c>
      <c r="F935" s="4" t="str" cm="1">
        <f t="array" aca="1" ref="F9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35" s="2">
        <f t="shared" ca="1" si="130"/>
        <v>40.008320581655731</v>
      </c>
      <c r="H935" s="47" t="str" cm="1">
        <f t="array" aca="1" ref="H9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36" spans="1:8" x14ac:dyDescent="0.25">
      <c r="A936" s="2">
        <f t="shared" ca="1" si="127"/>
        <v>3.0029028996366356</v>
      </c>
      <c r="B936" s="4" cm="1">
        <f t="array" aca="1" ref="B9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936" s="2">
        <f t="shared" ca="1" si="128"/>
        <v>3.0028897335507625</v>
      </c>
      <c r="D936" s="4" t="str" cm="1">
        <f t="array" aca="1" ref="D9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36" s="2">
        <f t="shared" ca="1" si="129"/>
        <v>30.02256252709272</v>
      </c>
      <c r="F936" s="4" t="str" cm="1">
        <f t="array" aca="1" ref="F9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36" s="2">
        <f t="shared" ca="1" si="130"/>
        <v>40.018567899283596</v>
      </c>
      <c r="H936" s="47" t="str" cm="1">
        <f t="array" aca="1" ref="H9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37" spans="1:8" x14ac:dyDescent="0.25">
      <c r="A937" s="2">
        <f t="shared" ca="1" si="127"/>
        <v>3.0028808226154124</v>
      </c>
      <c r="B937" s="4" cm="1">
        <f t="array" aca="1" ref="B9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937" s="2">
        <f t="shared" ca="1" si="128"/>
        <v>3.0053711566026662</v>
      </c>
      <c r="D937" s="4" t="str" cm="1">
        <f t="array" aca="1" ref="D9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37" s="2">
        <f t="shared" ca="1" si="129"/>
        <v>30.01094971405907</v>
      </c>
      <c r="F937" s="4" t="str" cm="1">
        <f t="array" aca="1" ref="F9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37" s="2">
        <f t="shared" ca="1" si="130"/>
        <v>40.022518754255053</v>
      </c>
      <c r="H937" s="47" t="str" cm="1">
        <f t="array" aca="1" ref="H9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38" spans="1:8" x14ac:dyDescent="0.25">
      <c r="A938" s="2">
        <f t="shared" ca="1" si="127"/>
        <v>3.0019082763215681</v>
      </c>
      <c r="B938" s="4" cm="1">
        <f t="array" aca="1" ref="B9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938" s="2">
        <f t="shared" ca="1" si="128"/>
        <v>3.0286776227490524</v>
      </c>
      <c r="D938" s="4" t="str" cm="1">
        <f t="array" aca="1" ref="D9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38" s="2">
        <f t="shared" ca="1" si="129"/>
        <v>30.011456587148945</v>
      </c>
      <c r="F938" s="4" t="str" cm="1">
        <f t="array" aca="1" ref="F9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38" s="2">
        <f t="shared" ca="1" si="130"/>
        <v>40.001444217560618</v>
      </c>
      <c r="H938" s="47" t="str" cm="1">
        <f t="array" aca="1" ref="H9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39" spans="1:8" x14ac:dyDescent="0.25">
      <c r="A939" s="2">
        <f t="shared" ca="1" si="127"/>
        <v>3.0046681995809528</v>
      </c>
      <c r="B939" s="4" cm="1">
        <f t="array" aca="1" ref="B9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939" s="2">
        <f t="shared" ca="1" si="128"/>
        <v>3.0237255494952433</v>
      </c>
      <c r="D939" s="4" t="str" cm="1">
        <f t="array" aca="1" ref="D9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39" s="2">
        <f t="shared" ca="1" si="129"/>
        <v>30.017070852027391</v>
      </c>
      <c r="F939" s="4" t="str" cm="1">
        <f t="array" aca="1" ref="F9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39" s="2">
        <f t="shared" ca="1" si="130"/>
        <v>40.02760244428319</v>
      </c>
      <c r="H939" s="47" t="str" cm="1">
        <f t="array" aca="1" ref="H9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40" spans="1:8" x14ac:dyDescent="0.25">
      <c r="A940" s="2">
        <f t="shared" ca="1" si="127"/>
        <v>3.0086222173629742</v>
      </c>
      <c r="B940" s="4" cm="1">
        <f t="array" aca="1" ref="B9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940" s="2">
        <f t="shared" ca="1" si="128"/>
        <v>3.0189008402956032</v>
      </c>
      <c r="D940" s="4" t="str" cm="1">
        <f t="array" aca="1" ref="D9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40" s="2">
        <f t="shared" ca="1" si="129"/>
        <v>30.003868570776362</v>
      </c>
      <c r="F940" s="4" t="str" cm="1">
        <f t="array" aca="1" ref="F9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40" s="2">
        <f t="shared" ca="1" si="130"/>
        <v>40.011399409897294</v>
      </c>
      <c r="H940" s="47" t="str" cm="1">
        <f t="array" aca="1" ref="H9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41" spans="1:8" x14ac:dyDescent="0.25">
      <c r="A941" s="2">
        <f t="shared" ca="1" si="127"/>
        <v>3.002062466906068</v>
      </c>
      <c r="B941" s="4" cm="1">
        <f t="array" aca="1" ref="B9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941" s="2">
        <f t="shared" ca="1" si="128"/>
        <v>3.0196885375574234</v>
      </c>
      <c r="D941" s="4" t="str" cm="1">
        <f t="array" aca="1" ref="D9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41" s="2">
        <f t="shared" ca="1" si="129"/>
        <v>30.017926405528279</v>
      </c>
      <c r="F941" s="4" t="str" cm="1">
        <f t="array" aca="1" ref="F9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41" s="2">
        <f t="shared" ca="1" si="130"/>
        <v>40.017144637943126</v>
      </c>
      <c r="H941" s="47" t="str" cm="1">
        <f t="array" aca="1" ref="H9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42" spans="1:8" x14ac:dyDescent="0.25">
      <c r="A942" s="2">
        <f t="shared" ca="1" si="127"/>
        <v>3.0004712840817365</v>
      </c>
      <c r="B942" s="4" cm="1">
        <f t="array" aca="1" ref="B9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942" s="2">
        <f t="shared" ca="1" si="128"/>
        <v>3.0160583222173236</v>
      </c>
      <c r="D942" s="4" t="str" cm="1">
        <f t="array" aca="1" ref="D9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42" s="2">
        <f t="shared" ca="1" si="129"/>
        <v>30.019620152178348</v>
      </c>
      <c r="F942" s="4" t="str" cm="1">
        <f t="array" aca="1" ref="F9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42" s="2">
        <f t="shared" ca="1" si="130"/>
        <v>40.002527320334799</v>
      </c>
      <c r="H942" s="47" t="str" cm="1">
        <f t="array" aca="1" ref="H9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43" spans="1:8" x14ac:dyDescent="0.25">
      <c r="A943" s="2">
        <f t="shared" ca="1" si="127"/>
        <v>3.0085988332666189</v>
      </c>
      <c r="B943" s="4" cm="1">
        <f t="array" aca="1" ref="B9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943" s="2">
        <f t="shared" ca="1" si="128"/>
        <v>3.0216170538807132</v>
      </c>
      <c r="D943" s="4" t="str" cm="1">
        <f t="array" aca="1" ref="D9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43" s="2">
        <f t="shared" ca="1" si="129"/>
        <v>30.021093184990747</v>
      </c>
      <c r="F943" s="4" t="str" cm="1">
        <f t="array" aca="1" ref="F9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43" s="2">
        <f t="shared" ca="1" si="130"/>
        <v>40.000142112734068</v>
      </c>
      <c r="H943" s="47" t="str" cm="1">
        <f t="array" aca="1" ref="H9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44" spans="1:8" x14ac:dyDescent="0.25">
      <c r="A944" s="2">
        <f t="shared" ca="1" si="127"/>
        <v>3.0008602433151048</v>
      </c>
      <c r="B944" s="4" cm="1">
        <f t="array" aca="1" ref="B9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944" s="2">
        <f t="shared" ca="1" si="128"/>
        <v>3.0088457719804449</v>
      </c>
      <c r="D944" s="4" t="str" cm="1">
        <f t="array" aca="1" ref="D9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44" s="2">
        <f t="shared" ca="1" si="129"/>
        <v>30.021541391710109</v>
      </c>
      <c r="F944" s="4" t="str" cm="1">
        <f t="array" aca="1" ref="F9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44" s="2">
        <f t="shared" ca="1" si="130"/>
        <v>40.01636761070543</v>
      </c>
      <c r="H944" s="47" t="str" cm="1">
        <f t="array" aca="1" ref="H9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45" spans="1:8" x14ac:dyDescent="0.25">
      <c r="A945" s="2">
        <f t="shared" ca="1" si="127"/>
        <v>3.0038133165227343</v>
      </c>
      <c r="B945" s="4" cm="1">
        <f t="array" aca="1" ref="B9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945" s="2">
        <f t="shared" ca="1" si="128"/>
        <v>3.0173661606417674</v>
      </c>
      <c r="D945" s="4" t="str" cm="1">
        <f t="array" aca="1" ref="D9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45" s="2">
        <f t="shared" ca="1" si="129"/>
        <v>30.008252827483457</v>
      </c>
      <c r="F945" s="4" t="str" cm="1">
        <f t="array" aca="1" ref="F9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45" s="2">
        <f t="shared" ca="1" si="130"/>
        <v>40.010832302868764</v>
      </c>
      <c r="H945" s="47" t="str" cm="1">
        <f t="array" aca="1" ref="H9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46" spans="1:8" x14ac:dyDescent="0.25">
      <c r="A946" s="2">
        <f t="shared" ca="1" si="127"/>
        <v>3.0016504731262175</v>
      </c>
      <c r="B946" s="4" cm="1">
        <f t="array" aca="1" ref="B9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946" s="2">
        <f t="shared" ca="1" si="128"/>
        <v>3.0246488645995164</v>
      </c>
      <c r="D946" s="4" t="str" cm="1">
        <f t="array" aca="1" ref="D9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46" s="2">
        <f t="shared" ca="1" si="129"/>
        <v>30.003899621473639</v>
      </c>
      <c r="F946" s="4" t="str" cm="1">
        <f t="array" aca="1" ref="F9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46" s="2">
        <f t="shared" ca="1" si="130"/>
        <v>40.007785671704092</v>
      </c>
      <c r="H946" s="47" t="str" cm="1">
        <f t="array" aca="1" ref="H9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47" spans="1:8" x14ac:dyDescent="0.25">
      <c r="A947" s="2">
        <f t="shared" ca="1" si="127"/>
        <v>3.0051324034228037</v>
      </c>
      <c r="B947" s="4" cm="1">
        <f t="array" aca="1" ref="B9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947" s="2">
        <f t="shared" ca="1" si="128"/>
        <v>3.0113878989009395</v>
      </c>
      <c r="D947" s="4" t="str" cm="1">
        <f t="array" aca="1" ref="D9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47" s="2">
        <f t="shared" ca="1" si="129"/>
        <v>30.024014101159914</v>
      </c>
      <c r="F947" s="4" t="str" cm="1">
        <f t="array" aca="1" ref="F9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47" s="2">
        <f t="shared" ca="1" si="130"/>
        <v>40.013826954643527</v>
      </c>
      <c r="H947" s="47" t="str" cm="1">
        <f t="array" aca="1" ref="H9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48" spans="1:8" x14ac:dyDescent="0.25">
      <c r="A948" s="2">
        <f t="shared" ca="1" si="127"/>
        <v>3.0027432154167601</v>
      </c>
      <c r="B948" s="4" cm="1">
        <f t="array" aca="1" ref="B9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948" s="2">
        <f t="shared" ca="1" si="128"/>
        <v>3.0151793109492049</v>
      </c>
      <c r="D948" s="4" t="str" cm="1">
        <f t="array" aca="1" ref="D9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48" s="2">
        <f t="shared" ca="1" si="129"/>
        <v>30.020523632600455</v>
      </c>
      <c r="F948" s="4" t="str" cm="1">
        <f t="array" aca="1" ref="F9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48" s="2">
        <f t="shared" ca="1" si="130"/>
        <v>40.028479695655811</v>
      </c>
      <c r="H948" s="47" t="str" cm="1">
        <f t="array" aca="1" ref="H9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49" spans="1:8" x14ac:dyDescent="0.25">
      <c r="A949" s="2">
        <f t="shared" ca="1" si="127"/>
        <v>3.0075882902283753</v>
      </c>
      <c r="B949" s="4" cm="1">
        <f t="array" aca="1" ref="B9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949" s="2">
        <f t="shared" ca="1" si="128"/>
        <v>3.0098969668284834</v>
      </c>
      <c r="D949" s="4" t="str" cm="1">
        <f t="array" aca="1" ref="D9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49" s="2">
        <f t="shared" ca="1" si="129"/>
        <v>30.029524665236533</v>
      </c>
      <c r="F949" s="4" t="str" cm="1">
        <f t="array" aca="1" ref="F9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49" s="2">
        <f t="shared" ca="1" si="130"/>
        <v>40.019318623500695</v>
      </c>
      <c r="H949" s="47" t="str" cm="1">
        <f t="array" aca="1" ref="H9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50" spans="1:8" x14ac:dyDescent="0.25">
      <c r="A950" s="2">
        <f t="shared" ca="1" si="127"/>
        <v>3.0082206727147338</v>
      </c>
      <c r="B950" s="4" cm="1">
        <f t="array" aca="1" ref="B9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950" s="2">
        <f t="shared" ca="1" si="128"/>
        <v>3.0259055654508447</v>
      </c>
      <c r="D950" s="4" t="str" cm="1">
        <f t="array" aca="1" ref="D9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50" s="2">
        <f t="shared" ca="1" si="129"/>
        <v>30.008060341284548</v>
      </c>
      <c r="F950" s="4" t="str" cm="1">
        <f t="array" aca="1" ref="F9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50" s="2">
        <f t="shared" ca="1" si="130"/>
        <v>40.024304256504358</v>
      </c>
      <c r="H950" s="47" t="str" cm="1">
        <f t="array" aca="1" ref="H9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51" spans="1:8" x14ac:dyDescent="0.25">
      <c r="A951" s="2">
        <f t="shared" ca="1" si="127"/>
        <v>3.0038973797822908</v>
      </c>
      <c r="B951" s="4" cm="1">
        <f t="array" aca="1" ref="B9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951" s="2">
        <f t="shared" ca="1" si="128"/>
        <v>3.0229631401628749</v>
      </c>
      <c r="D951" s="4" t="str" cm="1">
        <f t="array" aca="1" ref="D9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51" s="2">
        <f t="shared" ca="1" si="129"/>
        <v>30.025368752560443</v>
      </c>
      <c r="F951" s="4" t="str" cm="1">
        <f t="array" aca="1" ref="F9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51" s="2">
        <f t="shared" ca="1" si="130"/>
        <v>40.019572908970574</v>
      </c>
      <c r="H951" s="47" t="str" cm="1">
        <f t="array" aca="1" ref="H9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52" spans="1:8" x14ac:dyDescent="0.25">
      <c r="A952" s="2">
        <f t="shared" ca="1" si="127"/>
        <v>3.0071287755262666</v>
      </c>
      <c r="B952" s="4" cm="1">
        <f t="array" aca="1" ref="B9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952" s="2">
        <f t="shared" ca="1" si="128"/>
        <v>3.0018736759578091</v>
      </c>
      <c r="D952" s="4" t="str" cm="1">
        <f t="array" aca="1" ref="D9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52" s="2">
        <f t="shared" ca="1" si="129"/>
        <v>30.008543032113046</v>
      </c>
      <c r="F952" s="4" t="str" cm="1">
        <f t="array" aca="1" ref="F9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52" s="2">
        <f t="shared" ca="1" si="130"/>
        <v>40.027857310630061</v>
      </c>
      <c r="H952" s="47" t="str" cm="1">
        <f t="array" aca="1" ref="H9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53" spans="1:8" x14ac:dyDescent="0.25">
      <c r="A953" s="2">
        <f t="shared" ca="1" si="127"/>
        <v>3.0032546170290026</v>
      </c>
      <c r="B953" s="4" cm="1">
        <f t="array" aca="1" ref="B9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953" s="2">
        <f t="shared" ca="1" si="128"/>
        <v>3.0099584042643532</v>
      </c>
      <c r="D953" s="4" t="str" cm="1">
        <f t="array" aca="1" ref="D9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53" s="2">
        <f t="shared" ca="1" si="129"/>
        <v>30.010743773711031</v>
      </c>
      <c r="F953" s="4" t="str" cm="1">
        <f t="array" aca="1" ref="F9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53" s="2">
        <f t="shared" ca="1" si="130"/>
        <v>40.012374087446368</v>
      </c>
      <c r="H953" s="47" t="str" cm="1">
        <f t="array" aca="1" ref="H9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54" spans="1:8" x14ac:dyDescent="0.25">
      <c r="A954" s="2">
        <f t="shared" ca="1" si="127"/>
        <v>3.0067298617655225</v>
      </c>
      <c r="B954" s="4" cm="1">
        <f t="array" aca="1" ref="B9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954" s="2">
        <f t="shared" ca="1" si="128"/>
        <v>3.0107069866742084</v>
      </c>
      <c r="D954" s="4" t="str" cm="1">
        <f t="array" aca="1" ref="D9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54" s="2">
        <f t="shared" ca="1" si="129"/>
        <v>30.010733400437843</v>
      </c>
      <c r="F954" s="4" t="str" cm="1">
        <f t="array" aca="1" ref="F9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54" s="2">
        <f t="shared" ca="1" si="130"/>
        <v>40.010739337451007</v>
      </c>
      <c r="H954" s="47" t="str" cm="1">
        <f t="array" aca="1" ref="H9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55" spans="1:8" x14ac:dyDescent="0.25">
      <c r="A955" s="2">
        <f t="shared" ca="1" si="127"/>
        <v>3.0091740625463093</v>
      </c>
      <c r="B955" s="4" cm="1">
        <f t="array" aca="1" ref="B9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955" s="2">
        <f t="shared" ca="1" si="128"/>
        <v>3.0229415281390115</v>
      </c>
      <c r="D955" s="4" t="str" cm="1">
        <f t="array" aca="1" ref="D9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55" s="2">
        <f t="shared" ca="1" si="129"/>
        <v>30.000553555991623</v>
      </c>
      <c r="F955" s="4" t="str" cm="1">
        <f t="array" aca="1" ref="F9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55" s="2">
        <f t="shared" ca="1" si="130"/>
        <v>40.028335131332817</v>
      </c>
      <c r="H955" s="47" t="str" cm="1">
        <f t="array" aca="1" ref="H9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56" spans="1:8" x14ac:dyDescent="0.25">
      <c r="A956" s="2">
        <f t="shared" ca="1" si="127"/>
        <v>3.0052193881291802</v>
      </c>
      <c r="B956" s="4" cm="1">
        <f t="array" aca="1" ref="B9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956" s="2">
        <f t="shared" ca="1" si="128"/>
        <v>3.0124574141693259</v>
      </c>
      <c r="D956" s="4" t="str" cm="1">
        <f t="array" aca="1" ref="D9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56" s="2">
        <f t="shared" ca="1" si="129"/>
        <v>30.006596410996249</v>
      </c>
      <c r="F956" s="4" t="str" cm="1">
        <f t="array" aca="1" ref="F9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56" s="2">
        <f t="shared" ca="1" si="130"/>
        <v>40.012508232437654</v>
      </c>
      <c r="H956" s="47" t="str" cm="1">
        <f t="array" aca="1" ref="H9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57" spans="1:8" x14ac:dyDescent="0.25">
      <c r="A957" s="2">
        <f t="shared" ca="1" si="127"/>
        <v>3.0042330108728859</v>
      </c>
      <c r="B957" s="4" cm="1">
        <f t="array" aca="1" ref="B9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957" s="2">
        <f t="shared" ca="1" si="128"/>
        <v>3.0280760735373913</v>
      </c>
      <c r="D957" s="4" t="str" cm="1">
        <f t="array" aca="1" ref="D9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57" s="2">
        <f t="shared" ca="1" si="129"/>
        <v>30.020957805629678</v>
      </c>
      <c r="F957" s="4" t="str" cm="1">
        <f t="array" aca="1" ref="F9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57" s="2">
        <f t="shared" ca="1" si="130"/>
        <v>40.006907577653941</v>
      </c>
      <c r="H957" s="47" t="str" cm="1">
        <f t="array" aca="1" ref="H9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58" spans="1:8" x14ac:dyDescent="0.25">
      <c r="A958" s="2">
        <f t="shared" ca="1" si="127"/>
        <v>3.0090392525512937</v>
      </c>
      <c r="B958" s="4" cm="1">
        <f t="array" aca="1" ref="B9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958" s="2">
        <f t="shared" ca="1" si="128"/>
        <v>3.0116999466957277</v>
      </c>
      <c r="D958" s="4" t="str" cm="1">
        <f t="array" aca="1" ref="D9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58" s="2">
        <f t="shared" ca="1" si="129"/>
        <v>30.025617917190026</v>
      </c>
      <c r="F958" s="4" t="str" cm="1">
        <f t="array" aca="1" ref="F9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58" s="2">
        <f t="shared" ca="1" si="130"/>
        <v>40.013247323525313</v>
      </c>
      <c r="H958" s="47" t="str" cm="1">
        <f t="array" aca="1" ref="H9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59" spans="1:8" x14ac:dyDescent="0.25">
      <c r="A959" s="2">
        <f t="shared" ca="1" si="127"/>
        <v>3.00594507504145</v>
      </c>
      <c r="B959" s="4" cm="1">
        <f t="array" aca="1" ref="B9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959" s="2">
        <f t="shared" ca="1" si="128"/>
        <v>3.0144305582086828</v>
      </c>
      <c r="D959" s="4" t="str" cm="1">
        <f t="array" aca="1" ref="D9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59" s="2">
        <f t="shared" ca="1" si="129"/>
        <v>30.02540646472216</v>
      </c>
      <c r="F959" s="4" t="str" cm="1">
        <f t="array" aca="1" ref="F9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59" s="2">
        <f t="shared" ca="1" si="130"/>
        <v>40.019543313231239</v>
      </c>
      <c r="H959" s="47" t="str" cm="1">
        <f t="array" aca="1" ref="H9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60" spans="1:8" x14ac:dyDescent="0.25">
      <c r="A960" s="2">
        <f t="shared" ca="1" si="127"/>
        <v>3.0019899927205205</v>
      </c>
      <c r="B960" s="4" cm="1">
        <f t="array" aca="1" ref="B9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960" s="2">
        <f t="shared" ca="1" si="128"/>
        <v>3.0045614760254953</v>
      </c>
      <c r="D960" s="4" t="str" cm="1">
        <f t="array" aca="1" ref="D9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60" s="2">
        <f t="shared" ca="1" si="129"/>
        <v>30.02378750145834</v>
      </c>
      <c r="F960" s="4" t="str" cm="1">
        <f t="array" aca="1" ref="F9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60" s="2">
        <f t="shared" ca="1" si="130"/>
        <v>40.019286341946092</v>
      </c>
      <c r="H960" s="47" t="str" cm="1">
        <f t="array" aca="1" ref="H9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61" spans="1:8" x14ac:dyDescent="0.25">
      <c r="A961" s="2">
        <f t="shared" ca="1" si="127"/>
        <v>3.0063283166795181</v>
      </c>
      <c r="B961" s="4" cm="1">
        <f t="array" aca="1" ref="B9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961" s="2">
        <f t="shared" ca="1" si="128"/>
        <v>3.0199954775731452</v>
      </c>
      <c r="D961" s="4" t="str" cm="1">
        <f t="array" aca="1" ref="D9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61" s="2">
        <f t="shared" ca="1" si="129"/>
        <v>30.023464195841466</v>
      </c>
      <c r="F961" s="4" t="str" cm="1">
        <f t="array" aca="1" ref="F9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61" s="2">
        <f t="shared" ca="1" si="130"/>
        <v>40.013922824371811</v>
      </c>
      <c r="H961" s="47" t="str" cm="1">
        <f t="array" aca="1" ref="H9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62" spans="1:8" x14ac:dyDescent="0.25">
      <c r="A962" s="2">
        <f t="shared" ref="A962:A1025" ca="1" si="131">3+RAND()*0.01</f>
        <v>3.0074610384914076</v>
      </c>
      <c r="B962" s="4" cm="1">
        <f t="array" aca="1" ref="B9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962" s="2">
        <f t="shared" ref="C962:C1025" ca="1" si="132">3+RAND()*0.03</f>
        <v>3.0156298999006443</v>
      </c>
      <c r="D962" s="4" t="str" cm="1">
        <f t="array" aca="1" ref="D9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62" s="2">
        <f t="shared" ref="E962:E1025" ca="1" si="133">30+RAND()*0.03</f>
        <v>30.02927210865198</v>
      </c>
      <c r="F962" s="4" t="str" cm="1">
        <f t="array" aca="1" ref="F9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62" s="2">
        <f t="shared" ref="G962:G1025" ca="1" si="134">40+RAND()*0.03</f>
        <v>40.022357520020641</v>
      </c>
      <c r="H962" s="47" t="str" cm="1">
        <f t="array" aca="1" ref="H9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63" spans="1:8" x14ac:dyDescent="0.25">
      <c r="A963" s="2">
        <f t="shared" ca="1" si="131"/>
        <v>3.0006851086649431</v>
      </c>
      <c r="B963" s="4" cm="1">
        <f t="array" aca="1" ref="B9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963" s="2">
        <f t="shared" ca="1" si="132"/>
        <v>3.0241581042546981</v>
      </c>
      <c r="D963" s="4" t="str" cm="1">
        <f t="array" aca="1" ref="D9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63" s="2">
        <f t="shared" ca="1" si="133"/>
        <v>30.008695269128339</v>
      </c>
      <c r="F963" s="4" t="str" cm="1">
        <f t="array" aca="1" ref="F9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63" s="2">
        <f t="shared" ca="1" si="134"/>
        <v>40.014093774834869</v>
      </c>
      <c r="H963" s="47" t="str" cm="1">
        <f t="array" aca="1" ref="H9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64" spans="1:8" x14ac:dyDescent="0.25">
      <c r="A964" s="2">
        <f t="shared" ca="1" si="131"/>
        <v>3.0057808580721921</v>
      </c>
      <c r="B964" s="4" cm="1">
        <f t="array" aca="1" ref="B9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964" s="2">
        <f t="shared" ca="1" si="132"/>
        <v>3.0292419573792602</v>
      </c>
      <c r="D964" s="4" t="str" cm="1">
        <f t="array" aca="1" ref="D9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64" s="2">
        <f t="shared" ca="1" si="133"/>
        <v>30.02846202710025</v>
      </c>
      <c r="F964" s="4" t="str" cm="1">
        <f t="array" aca="1" ref="F9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64" s="2">
        <f t="shared" ca="1" si="134"/>
        <v>40.008977237970669</v>
      </c>
      <c r="H964" s="47" t="str" cm="1">
        <f t="array" aca="1" ref="H9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65" spans="1:8" x14ac:dyDescent="0.25">
      <c r="A965" s="2">
        <f t="shared" ca="1" si="131"/>
        <v>3.0012404585434531</v>
      </c>
      <c r="B965" s="4" cm="1">
        <f t="array" aca="1" ref="B9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965" s="2">
        <f t="shared" ca="1" si="132"/>
        <v>3.0295050329570414</v>
      </c>
      <c r="D965" s="4" t="str" cm="1">
        <f t="array" aca="1" ref="D9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65" s="2">
        <f t="shared" ca="1" si="133"/>
        <v>30.023474870656035</v>
      </c>
      <c r="F965" s="4" t="str" cm="1">
        <f t="array" aca="1" ref="F9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65" s="2">
        <f t="shared" ca="1" si="134"/>
        <v>40.022758311346529</v>
      </c>
      <c r="H965" s="47" t="str" cm="1">
        <f t="array" aca="1" ref="H9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66" spans="1:8" x14ac:dyDescent="0.25">
      <c r="A966" s="2">
        <f t="shared" ca="1" si="131"/>
        <v>3.0084400015852752</v>
      </c>
      <c r="B966" s="4" cm="1">
        <f t="array" aca="1" ref="B9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966" s="2">
        <f t="shared" ca="1" si="132"/>
        <v>3.0034749508301521</v>
      </c>
      <c r="D966" s="4" t="str" cm="1">
        <f t="array" aca="1" ref="D9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66" s="2">
        <f t="shared" ca="1" si="133"/>
        <v>30.001079196259642</v>
      </c>
      <c r="F966" s="4" t="str" cm="1">
        <f t="array" aca="1" ref="F9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66" s="2">
        <f t="shared" ca="1" si="134"/>
        <v>40.019519765471664</v>
      </c>
      <c r="H966" s="47" t="str" cm="1">
        <f t="array" aca="1" ref="H9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67" spans="1:8" x14ac:dyDescent="0.25">
      <c r="A967" s="2">
        <f t="shared" ca="1" si="131"/>
        <v>3.0038001723739693</v>
      </c>
      <c r="B967" s="4" cm="1">
        <f t="array" aca="1" ref="B9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967" s="2">
        <f t="shared" ca="1" si="132"/>
        <v>3.026603845723796</v>
      </c>
      <c r="D967" s="4" t="str" cm="1">
        <f t="array" aca="1" ref="D9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67" s="2">
        <f t="shared" ca="1" si="133"/>
        <v>30.02928612872509</v>
      </c>
      <c r="F967" s="4" t="str" cm="1">
        <f t="array" aca="1" ref="F9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67" s="2">
        <f t="shared" ca="1" si="134"/>
        <v>40.024941157861996</v>
      </c>
      <c r="H967" s="47" t="str" cm="1">
        <f t="array" aca="1" ref="H9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68" spans="1:8" x14ac:dyDescent="0.25">
      <c r="A968" s="2">
        <f t="shared" ca="1" si="131"/>
        <v>3.0068069654892748</v>
      </c>
      <c r="B968" s="4" cm="1">
        <f t="array" aca="1" ref="B9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968" s="2">
        <f t="shared" ca="1" si="132"/>
        <v>3.0294650073187284</v>
      </c>
      <c r="D968" s="4" t="str" cm="1">
        <f t="array" aca="1" ref="D9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68" s="2">
        <f t="shared" ca="1" si="133"/>
        <v>30.027729064975958</v>
      </c>
      <c r="F968" s="4" t="str" cm="1">
        <f t="array" aca="1" ref="F9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68" s="2">
        <f t="shared" ca="1" si="134"/>
        <v>40.002567063995564</v>
      </c>
      <c r="H968" s="47" t="str" cm="1">
        <f t="array" aca="1" ref="H9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69" spans="1:8" x14ac:dyDescent="0.25">
      <c r="A969" s="2">
        <f t="shared" ca="1" si="131"/>
        <v>3.0062806715430703</v>
      </c>
      <c r="B969" s="4" cm="1">
        <f t="array" aca="1" ref="B9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969" s="2">
        <f t="shared" ca="1" si="132"/>
        <v>3.024120407531675</v>
      </c>
      <c r="D969" s="4" t="str" cm="1">
        <f t="array" aca="1" ref="D9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69" s="2">
        <f t="shared" ca="1" si="133"/>
        <v>30.01864915139334</v>
      </c>
      <c r="F969" s="4" t="str" cm="1">
        <f t="array" aca="1" ref="F9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69" s="2">
        <f t="shared" ca="1" si="134"/>
        <v>40.007881140715156</v>
      </c>
      <c r="H969" s="47" t="str" cm="1">
        <f t="array" aca="1" ref="H9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70" spans="1:8" x14ac:dyDescent="0.25">
      <c r="A970" s="2">
        <f t="shared" ca="1" si="131"/>
        <v>3.0086967284580171</v>
      </c>
      <c r="B970" s="4" cm="1">
        <f t="array" aca="1" ref="B9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970" s="2">
        <f t="shared" ca="1" si="132"/>
        <v>3.0077115000508483</v>
      </c>
      <c r="D970" s="4" t="str" cm="1">
        <f t="array" aca="1" ref="D9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70" s="2">
        <f t="shared" ca="1" si="133"/>
        <v>30.003996884859127</v>
      </c>
      <c r="F970" s="4" t="str" cm="1">
        <f t="array" aca="1" ref="F9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70" s="2">
        <f t="shared" ca="1" si="134"/>
        <v>40.005477264532452</v>
      </c>
      <c r="H970" s="47" t="str" cm="1">
        <f t="array" aca="1" ref="H9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71" spans="1:8" x14ac:dyDescent="0.25">
      <c r="A971" s="2">
        <f t="shared" ca="1" si="131"/>
        <v>3.0010092624760509</v>
      </c>
      <c r="B971" s="4" cm="1">
        <f t="array" aca="1" ref="B9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971" s="2">
        <f t="shared" ca="1" si="132"/>
        <v>3.0009124328342192</v>
      </c>
      <c r="D971" s="4" t="str" cm="1">
        <f t="array" aca="1" ref="D9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71" s="2">
        <f t="shared" ca="1" si="133"/>
        <v>30.011981283956011</v>
      </c>
      <c r="F971" s="4" t="str" cm="1">
        <f t="array" aca="1" ref="F9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71" s="2">
        <f t="shared" ca="1" si="134"/>
        <v>40.012485620053575</v>
      </c>
      <c r="H971" s="47" t="str" cm="1">
        <f t="array" aca="1" ref="H9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72" spans="1:8" x14ac:dyDescent="0.25">
      <c r="A972" s="2">
        <f t="shared" ca="1" si="131"/>
        <v>3.003833191297248</v>
      </c>
      <c r="B972" s="4" cm="1">
        <f t="array" aca="1" ref="B9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972" s="2">
        <f t="shared" ca="1" si="132"/>
        <v>3.0156373777788739</v>
      </c>
      <c r="D972" s="4" t="str" cm="1">
        <f t="array" aca="1" ref="D9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72" s="2">
        <f t="shared" ca="1" si="133"/>
        <v>30.026532869109726</v>
      </c>
      <c r="F972" s="4" t="str" cm="1">
        <f t="array" aca="1" ref="F9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72" s="2">
        <f t="shared" ca="1" si="134"/>
        <v>40.012488409897387</v>
      </c>
      <c r="H972" s="47" t="str" cm="1">
        <f t="array" aca="1" ref="H9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73" spans="1:8" x14ac:dyDescent="0.25">
      <c r="A973" s="2">
        <f t="shared" ca="1" si="131"/>
        <v>3.0039828588473738</v>
      </c>
      <c r="B973" s="4" cm="1">
        <f t="array" aca="1" ref="B9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973" s="2">
        <f t="shared" ca="1" si="132"/>
        <v>3.0267597232107613</v>
      </c>
      <c r="D973" s="4" t="str" cm="1">
        <f t="array" aca="1" ref="D9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73" s="2">
        <f t="shared" ca="1" si="133"/>
        <v>30.017776764908895</v>
      </c>
      <c r="F973" s="4" t="str" cm="1">
        <f t="array" aca="1" ref="F9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73" s="2">
        <f t="shared" ca="1" si="134"/>
        <v>40.012157972879244</v>
      </c>
      <c r="H973" s="47" t="str" cm="1">
        <f t="array" aca="1" ref="H9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74" spans="1:8" x14ac:dyDescent="0.25">
      <c r="A974" s="2">
        <f t="shared" ca="1" si="131"/>
        <v>3.0074623814528105</v>
      </c>
      <c r="B974" s="4" cm="1">
        <f t="array" aca="1" ref="B9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974" s="2">
        <f t="shared" ca="1" si="132"/>
        <v>3.025319764281968</v>
      </c>
      <c r="D974" s="4" t="str" cm="1">
        <f t="array" aca="1" ref="D9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74" s="2">
        <f t="shared" ca="1" si="133"/>
        <v>30.011101866325731</v>
      </c>
      <c r="F974" s="4" t="str" cm="1">
        <f t="array" aca="1" ref="F9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74" s="2">
        <f t="shared" ca="1" si="134"/>
        <v>40.013795737511039</v>
      </c>
      <c r="H974" s="47" t="str" cm="1">
        <f t="array" aca="1" ref="H9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75" spans="1:8" x14ac:dyDescent="0.25">
      <c r="A975" s="2">
        <f t="shared" ca="1" si="131"/>
        <v>3.006249894004291</v>
      </c>
      <c r="B975" s="4" cm="1">
        <f t="array" aca="1" ref="B9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975" s="2">
        <f t="shared" ca="1" si="132"/>
        <v>3.016475461258509</v>
      </c>
      <c r="D975" s="4" t="str" cm="1">
        <f t="array" aca="1" ref="D9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75" s="2">
        <f t="shared" ca="1" si="133"/>
        <v>30.018008292991198</v>
      </c>
      <c r="F975" s="4" t="str" cm="1">
        <f t="array" aca="1" ref="F9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75" s="2">
        <f t="shared" ca="1" si="134"/>
        <v>40.009040186339234</v>
      </c>
      <c r="H975" s="47" t="str" cm="1">
        <f t="array" aca="1" ref="H9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76" spans="1:8" x14ac:dyDescent="0.25">
      <c r="A976" s="2">
        <f t="shared" ca="1" si="131"/>
        <v>3.0071985652336317</v>
      </c>
      <c r="B976" s="4" cm="1">
        <f t="array" aca="1" ref="B9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976" s="2">
        <f t="shared" ca="1" si="132"/>
        <v>3.0177903668140327</v>
      </c>
      <c r="D976" s="4" t="str" cm="1">
        <f t="array" aca="1" ref="D9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76" s="2">
        <f t="shared" ca="1" si="133"/>
        <v>30.016696703094205</v>
      </c>
      <c r="F976" s="4" t="str" cm="1">
        <f t="array" aca="1" ref="F9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76" s="2">
        <f t="shared" ca="1" si="134"/>
        <v>40.003226798063444</v>
      </c>
      <c r="H976" s="47" t="str" cm="1">
        <f t="array" aca="1" ref="H9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77" spans="1:8" x14ac:dyDescent="0.25">
      <c r="A977" s="2">
        <f t="shared" ca="1" si="131"/>
        <v>3.0008553818977068</v>
      </c>
      <c r="B977" s="4" cm="1">
        <f t="array" aca="1" ref="B9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977" s="2">
        <f t="shared" ca="1" si="132"/>
        <v>3.0258471502835373</v>
      </c>
      <c r="D977" s="4" t="str" cm="1">
        <f t="array" aca="1" ref="D9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77" s="2">
        <f t="shared" ca="1" si="133"/>
        <v>30.016674899820561</v>
      </c>
      <c r="F977" s="4" t="str" cm="1">
        <f t="array" aca="1" ref="F9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77" s="2">
        <f t="shared" ca="1" si="134"/>
        <v>40.019884662944733</v>
      </c>
      <c r="H977" s="47" t="str" cm="1">
        <f t="array" aca="1" ref="H9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78" spans="1:8" x14ac:dyDescent="0.25">
      <c r="A978" s="2">
        <f t="shared" ca="1" si="131"/>
        <v>3.0007787949405822</v>
      </c>
      <c r="B978" s="4" cm="1">
        <f t="array" aca="1" ref="B9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978" s="2">
        <f t="shared" ca="1" si="132"/>
        <v>3.0232313231082562</v>
      </c>
      <c r="D978" s="4" t="str" cm="1">
        <f t="array" aca="1" ref="D9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78" s="2">
        <f t="shared" ca="1" si="133"/>
        <v>30.029541645544896</v>
      </c>
      <c r="F978" s="4" t="str" cm="1">
        <f t="array" aca="1" ref="F9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78" s="2">
        <f t="shared" ca="1" si="134"/>
        <v>40.025530354655913</v>
      </c>
      <c r="H978" s="47" t="str" cm="1">
        <f t="array" aca="1" ref="H9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79" spans="1:8" x14ac:dyDescent="0.25">
      <c r="A979" s="2">
        <f t="shared" ca="1" si="131"/>
        <v>3.0012896741076425</v>
      </c>
      <c r="B979" s="4" cm="1">
        <f t="array" aca="1" ref="B9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979" s="2">
        <f t="shared" ca="1" si="132"/>
        <v>3.0268416970409304</v>
      </c>
      <c r="D979" s="4" t="str" cm="1">
        <f t="array" aca="1" ref="D9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79" s="2">
        <f t="shared" ca="1" si="133"/>
        <v>30.008752203999592</v>
      </c>
      <c r="F979" s="4" t="str" cm="1">
        <f t="array" aca="1" ref="F9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79" s="2">
        <f t="shared" ca="1" si="134"/>
        <v>40.016726896700938</v>
      </c>
      <c r="H979" s="47" t="str" cm="1">
        <f t="array" aca="1" ref="H9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80" spans="1:8" x14ac:dyDescent="0.25">
      <c r="A980" s="2">
        <f t="shared" ca="1" si="131"/>
        <v>3.0038669891838881</v>
      </c>
      <c r="B980" s="4" cm="1">
        <f t="array" aca="1" ref="B9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980" s="2">
        <f t="shared" ca="1" si="132"/>
        <v>3.0063637547819484</v>
      </c>
      <c r="D980" s="4" t="str" cm="1">
        <f t="array" aca="1" ref="D9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80" s="2">
        <f t="shared" ca="1" si="133"/>
        <v>30.005371370032002</v>
      </c>
      <c r="F980" s="4" t="str" cm="1">
        <f t="array" aca="1" ref="F9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80" s="2">
        <f t="shared" ca="1" si="134"/>
        <v>40.023573804431919</v>
      </c>
      <c r="H980" s="47" t="str" cm="1">
        <f t="array" aca="1" ref="H9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81" spans="1:8" x14ac:dyDescent="0.25">
      <c r="A981" s="2">
        <f t="shared" ca="1" si="131"/>
        <v>3.0037400462539421</v>
      </c>
      <c r="B981" s="4" cm="1">
        <f t="array" aca="1" ref="B9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981" s="2">
        <f t="shared" ca="1" si="132"/>
        <v>3.0209922979466168</v>
      </c>
      <c r="D981" s="4" t="str" cm="1">
        <f t="array" aca="1" ref="D9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81" s="2">
        <f t="shared" ca="1" si="133"/>
        <v>30.01563143800594</v>
      </c>
      <c r="F981" s="4" t="str" cm="1">
        <f t="array" aca="1" ref="F9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81" s="2">
        <f t="shared" ca="1" si="134"/>
        <v>40.018173174099978</v>
      </c>
      <c r="H981" s="47" t="str" cm="1">
        <f t="array" aca="1" ref="H9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82" spans="1:8" x14ac:dyDescent="0.25">
      <c r="A982" s="2">
        <f t="shared" ca="1" si="131"/>
        <v>3.0029276081312837</v>
      </c>
      <c r="B982" s="4" cm="1">
        <f t="array" aca="1" ref="B9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982" s="2">
        <f t="shared" ca="1" si="132"/>
        <v>3.0209500043554582</v>
      </c>
      <c r="D982" s="4" t="str" cm="1">
        <f t="array" aca="1" ref="D9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82" s="2">
        <f t="shared" ca="1" si="133"/>
        <v>30.022723108937676</v>
      </c>
      <c r="F982" s="4" t="str" cm="1">
        <f t="array" aca="1" ref="F9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82" s="2">
        <f t="shared" ca="1" si="134"/>
        <v>40.027730538429637</v>
      </c>
      <c r="H982" s="47" t="str" cm="1">
        <f t="array" aca="1" ref="H9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83" spans="1:8" x14ac:dyDescent="0.25">
      <c r="A983" s="2">
        <f t="shared" ca="1" si="131"/>
        <v>3.006034825210457</v>
      </c>
      <c r="B983" s="4" cm="1">
        <f t="array" aca="1" ref="B9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983" s="2">
        <f t="shared" ca="1" si="132"/>
        <v>3.0133786036181505</v>
      </c>
      <c r="D983" s="4" t="str" cm="1">
        <f t="array" aca="1" ref="D9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83" s="2">
        <f t="shared" ca="1" si="133"/>
        <v>30.019654010305544</v>
      </c>
      <c r="F983" s="4" t="str" cm="1">
        <f t="array" aca="1" ref="F9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83" s="2">
        <f t="shared" ca="1" si="134"/>
        <v>40.022987138011402</v>
      </c>
      <c r="H983" s="47" t="str" cm="1">
        <f t="array" aca="1" ref="H9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84" spans="1:8" x14ac:dyDescent="0.25">
      <c r="A984" s="2">
        <f t="shared" ca="1" si="131"/>
        <v>3.0033038907592036</v>
      </c>
      <c r="B984" s="4" cm="1">
        <f t="array" aca="1" ref="B9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984" s="2">
        <f t="shared" ca="1" si="132"/>
        <v>3.0217616623189563</v>
      </c>
      <c r="D984" s="4" t="str" cm="1">
        <f t="array" aca="1" ref="D9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84" s="2">
        <f t="shared" ca="1" si="133"/>
        <v>30.018251905149885</v>
      </c>
      <c r="F984" s="4" t="str" cm="1">
        <f t="array" aca="1" ref="F9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84" s="2">
        <f t="shared" ca="1" si="134"/>
        <v>40.028450291061652</v>
      </c>
      <c r="H984" s="47" t="str" cm="1">
        <f t="array" aca="1" ref="H9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85" spans="1:8" x14ac:dyDescent="0.25">
      <c r="A985" s="2">
        <f t="shared" ca="1" si="131"/>
        <v>3.0023727289565389</v>
      </c>
      <c r="B985" s="4" cm="1">
        <f t="array" aca="1" ref="B9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985" s="2">
        <f t="shared" ca="1" si="132"/>
        <v>3.0035808710412519</v>
      </c>
      <c r="D985" s="4" t="str" cm="1">
        <f t="array" aca="1" ref="D9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85" s="2">
        <f t="shared" ca="1" si="133"/>
        <v>30.004977412442948</v>
      </c>
      <c r="F985" s="4" t="str" cm="1">
        <f t="array" aca="1" ref="F9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85" s="2">
        <f t="shared" ca="1" si="134"/>
        <v>40.028199453237946</v>
      </c>
      <c r="H985" s="47" t="str" cm="1">
        <f t="array" aca="1" ref="H9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86" spans="1:8" x14ac:dyDescent="0.25">
      <c r="A986" s="2">
        <f t="shared" ca="1" si="131"/>
        <v>3.0029776210573287</v>
      </c>
      <c r="B986" s="4" cm="1">
        <f t="array" aca="1" ref="B9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986" s="2">
        <f t="shared" ca="1" si="132"/>
        <v>3.0009201313467253</v>
      </c>
      <c r="D986" s="4" t="str" cm="1">
        <f t="array" aca="1" ref="D9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86" s="2">
        <f t="shared" ca="1" si="133"/>
        <v>30.012838926240182</v>
      </c>
      <c r="F986" s="4" t="str" cm="1">
        <f t="array" aca="1" ref="F9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86" s="2">
        <f t="shared" ca="1" si="134"/>
        <v>40.027255803445755</v>
      </c>
      <c r="H986" s="47" t="str" cm="1">
        <f t="array" aca="1" ref="H9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87" spans="1:8" x14ac:dyDescent="0.25">
      <c r="A987" s="2">
        <f t="shared" ca="1" si="131"/>
        <v>3.0014726744211604</v>
      </c>
      <c r="B987" s="4" cm="1">
        <f t="array" aca="1" ref="B9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987" s="2">
        <f t="shared" ca="1" si="132"/>
        <v>3.0101050047328379</v>
      </c>
      <c r="D987" s="4" t="str" cm="1">
        <f t="array" aca="1" ref="D9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87" s="2">
        <f t="shared" ca="1" si="133"/>
        <v>30.021560399034136</v>
      </c>
      <c r="F987" s="4" t="str" cm="1">
        <f t="array" aca="1" ref="F9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87" s="2">
        <f t="shared" ca="1" si="134"/>
        <v>40.023472081019399</v>
      </c>
      <c r="H987" s="47" t="str" cm="1">
        <f t="array" aca="1" ref="H9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88" spans="1:8" x14ac:dyDescent="0.25">
      <c r="A988" s="2">
        <f t="shared" ca="1" si="131"/>
        <v>3.009026372811392</v>
      </c>
      <c r="B988" s="4" cm="1">
        <f t="array" aca="1" ref="B9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988" s="2">
        <f t="shared" ca="1" si="132"/>
        <v>3.0176860836084662</v>
      </c>
      <c r="D988" s="4" t="str" cm="1">
        <f t="array" aca="1" ref="D9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88" s="2">
        <f t="shared" ca="1" si="133"/>
        <v>30.002141798907132</v>
      </c>
      <c r="F988" s="4" t="str" cm="1">
        <f t="array" aca="1" ref="F9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88" s="2">
        <f t="shared" ca="1" si="134"/>
        <v>40.027602662267931</v>
      </c>
      <c r="H988" s="47" t="str" cm="1">
        <f t="array" aca="1" ref="H9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89" spans="1:8" x14ac:dyDescent="0.25">
      <c r="A989" s="2">
        <f t="shared" ca="1" si="131"/>
        <v>3.003791383056114</v>
      </c>
      <c r="B989" s="4" cm="1">
        <f t="array" aca="1" ref="B9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989" s="2">
        <f t="shared" ca="1" si="132"/>
        <v>3.0045213455087847</v>
      </c>
      <c r="D989" s="4" t="str" cm="1">
        <f t="array" aca="1" ref="D9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89" s="2">
        <f t="shared" ca="1" si="133"/>
        <v>30.021963552154876</v>
      </c>
      <c r="F989" s="4" t="str" cm="1">
        <f t="array" aca="1" ref="F9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89" s="2">
        <f t="shared" ca="1" si="134"/>
        <v>40.010849198976899</v>
      </c>
      <c r="H989" s="47" t="str" cm="1">
        <f t="array" aca="1" ref="H9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90" spans="1:8" x14ac:dyDescent="0.25">
      <c r="A990" s="2">
        <f t="shared" ca="1" si="131"/>
        <v>3.0067158204743247</v>
      </c>
      <c r="B990" s="4" cm="1">
        <f t="array" aca="1" ref="B9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990" s="2">
        <f t="shared" ca="1" si="132"/>
        <v>3.0158805997899925</v>
      </c>
      <c r="D990" s="4" t="str" cm="1">
        <f t="array" aca="1" ref="D9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90" s="2">
        <f t="shared" ca="1" si="133"/>
        <v>30.024346254262941</v>
      </c>
      <c r="F990" s="4" t="str" cm="1">
        <f t="array" aca="1" ref="F9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90" s="2">
        <f t="shared" ca="1" si="134"/>
        <v>40.002186980217971</v>
      </c>
      <c r="H990" s="47" t="str" cm="1">
        <f t="array" aca="1" ref="H9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91" spans="1:8" x14ac:dyDescent="0.25">
      <c r="A991" s="2">
        <f t="shared" ca="1" si="131"/>
        <v>3.0041592569038387</v>
      </c>
      <c r="B991" s="4" cm="1">
        <f t="array" aca="1" ref="B9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991" s="2">
        <f t="shared" ca="1" si="132"/>
        <v>3.0037267612102978</v>
      </c>
      <c r="D991" s="4" t="str" cm="1">
        <f t="array" aca="1" ref="D9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91" s="2">
        <f t="shared" ca="1" si="133"/>
        <v>30.021324239125107</v>
      </c>
      <c r="F991" s="4" t="str" cm="1">
        <f t="array" aca="1" ref="F9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91" s="2">
        <f t="shared" ca="1" si="134"/>
        <v>40.0240187536536</v>
      </c>
      <c r="H991" s="47" t="str" cm="1">
        <f t="array" aca="1" ref="H9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92" spans="1:8" x14ac:dyDescent="0.25">
      <c r="A992" s="2">
        <f t="shared" ca="1" si="131"/>
        <v>3.0099097060687718</v>
      </c>
      <c r="B992" s="4" cm="1">
        <f t="array" aca="1" ref="B9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992" s="2">
        <f t="shared" ca="1" si="132"/>
        <v>3.0242459309797862</v>
      </c>
      <c r="D992" s="4" t="str" cm="1">
        <f t="array" aca="1" ref="D9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92" s="2">
        <f t="shared" ca="1" si="133"/>
        <v>30.00620470308958</v>
      </c>
      <c r="F992" s="4" t="str" cm="1">
        <f t="array" aca="1" ref="F9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92" s="2">
        <f t="shared" ca="1" si="134"/>
        <v>40.025631563852713</v>
      </c>
      <c r="H992" s="47" t="str" cm="1">
        <f t="array" aca="1" ref="H9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93" spans="1:8" x14ac:dyDescent="0.25">
      <c r="A993" s="2">
        <f t="shared" ca="1" si="131"/>
        <v>3.0040409296585695</v>
      </c>
      <c r="B993" s="4" cm="1">
        <f t="array" aca="1" ref="B9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993" s="2">
        <f t="shared" ca="1" si="132"/>
        <v>3.019851086894755</v>
      </c>
      <c r="D993" s="4" t="str" cm="1">
        <f t="array" aca="1" ref="D9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93" s="2">
        <f t="shared" ca="1" si="133"/>
        <v>30.016417533646607</v>
      </c>
      <c r="F993" s="4" t="str" cm="1">
        <f t="array" aca="1" ref="F9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93" s="2">
        <f t="shared" ca="1" si="134"/>
        <v>40.00816701115906</v>
      </c>
      <c r="H993" s="47" t="str" cm="1">
        <f t="array" aca="1" ref="H9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994" spans="1:8" x14ac:dyDescent="0.25">
      <c r="A994" s="2">
        <f t="shared" ca="1" si="131"/>
        <v>3.0014367339947543</v>
      </c>
      <c r="B994" s="4" cm="1">
        <f t="array" aca="1" ref="B9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994" s="2">
        <f t="shared" ca="1" si="132"/>
        <v>3.0103916984488541</v>
      </c>
      <c r="D994" s="4" t="str" cm="1">
        <f t="array" aca="1" ref="D9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94" s="2">
        <f t="shared" ca="1" si="133"/>
        <v>30.001625257572815</v>
      </c>
      <c r="F994" s="4" t="str" cm="1">
        <f t="array" aca="1" ref="F9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994" s="2">
        <f t="shared" ca="1" si="134"/>
        <v>40.026841946320147</v>
      </c>
      <c r="H994" s="47" t="str" cm="1">
        <f t="array" aca="1" ref="H9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95" spans="1:8" x14ac:dyDescent="0.25">
      <c r="A995" s="2">
        <f t="shared" ca="1" si="131"/>
        <v>3.0047575699025857</v>
      </c>
      <c r="B995" s="4" cm="1">
        <f t="array" aca="1" ref="B9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995" s="2">
        <f t="shared" ca="1" si="132"/>
        <v>3.0288764073635188</v>
      </c>
      <c r="D995" s="4" t="str" cm="1">
        <f t="array" aca="1" ref="D9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95" s="2">
        <f t="shared" ca="1" si="133"/>
        <v>30.026734082082911</v>
      </c>
      <c r="F995" s="4" t="str" cm="1">
        <f t="array" aca="1" ref="F9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995" s="2">
        <f t="shared" ca="1" si="134"/>
        <v>40.027163799130221</v>
      </c>
      <c r="H995" s="47" t="str" cm="1">
        <f t="array" aca="1" ref="H9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96" spans="1:8" x14ac:dyDescent="0.25">
      <c r="A996" s="2">
        <f t="shared" ca="1" si="131"/>
        <v>3.0034809374174554</v>
      </c>
      <c r="B996" s="4" cm="1">
        <f t="array" aca="1" ref="B9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996" s="2">
        <f t="shared" ca="1" si="132"/>
        <v>3.0157626024432607</v>
      </c>
      <c r="D996" s="4" t="str" cm="1">
        <f t="array" aca="1" ref="D9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96" s="2">
        <f t="shared" ca="1" si="133"/>
        <v>30.013196515629549</v>
      </c>
      <c r="F996" s="4" t="str" cm="1">
        <f t="array" aca="1" ref="F9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96" s="2">
        <f t="shared" ca="1" si="134"/>
        <v>40.017197862239946</v>
      </c>
      <c r="H996" s="47" t="str" cm="1">
        <f t="array" aca="1" ref="H9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97" spans="1:8" x14ac:dyDescent="0.25">
      <c r="A997" s="2">
        <f t="shared" ca="1" si="131"/>
        <v>3.0012838936637056</v>
      </c>
      <c r="B997" s="4" cm="1">
        <f t="array" aca="1" ref="B9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997" s="2">
        <f t="shared" ca="1" si="132"/>
        <v>3.010984408533802</v>
      </c>
      <c r="D997" s="4" t="str" cm="1">
        <f t="array" aca="1" ref="D9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997" s="2">
        <f t="shared" ca="1" si="133"/>
        <v>30.012409749457145</v>
      </c>
      <c r="F997" s="4" t="str" cm="1">
        <f t="array" aca="1" ref="F9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97" s="2">
        <f t="shared" ca="1" si="134"/>
        <v>40.01006602358261</v>
      </c>
      <c r="H997" s="47" t="str" cm="1">
        <f t="array" aca="1" ref="H9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998" spans="1:8" x14ac:dyDescent="0.25">
      <c r="A998" s="2">
        <f t="shared" ca="1" si="131"/>
        <v>3.0064787099526846</v>
      </c>
      <c r="B998" s="4" cm="1">
        <f t="array" aca="1" ref="B9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998" s="2">
        <f t="shared" ca="1" si="132"/>
        <v>3.0222549343495801</v>
      </c>
      <c r="D998" s="4" t="str" cm="1">
        <f t="array" aca="1" ref="D9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998" s="2">
        <f t="shared" ca="1" si="133"/>
        <v>30.015582178506229</v>
      </c>
      <c r="F998" s="4" t="str" cm="1">
        <f t="array" aca="1" ref="F9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98" s="2">
        <f t="shared" ca="1" si="134"/>
        <v>40.021808076022225</v>
      </c>
      <c r="H998" s="47" t="str" cm="1">
        <f t="array" aca="1" ref="H9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999" spans="1:8" x14ac:dyDescent="0.25">
      <c r="A999" s="2">
        <f t="shared" ca="1" si="131"/>
        <v>3.0066340827115199</v>
      </c>
      <c r="B999" s="4" cm="1">
        <f t="array" aca="1" ref="B9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999" s="2">
        <f t="shared" ca="1" si="132"/>
        <v>3.0002397775258309</v>
      </c>
      <c r="D999" s="4" t="str" cm="1">
        <f t="array" aca="1" ref="D9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999" s="2">
        <f t="shared" ca="1" si="133"/>
        <v>30.019568711054053</v>
      </c>
      <c r="F999" s="4" t="str" cm="1">
        <f t="array" aca="1" ref="F9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999" s="2">
        <f t="shared" ca="1" si="134"/>
        <v>40.004401636219946</v>
      </c>
      <c r="H999" s="47" t="str" cm="1">
        <f t="array" aca="1" ref="H9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00" spans="1:8" x14ac:dyDescent="0.25">
      <c r="A1000" s="2">
        <f t="shared" ca="1" si="131"/>
        <v>3.005039797499006</v>
      </c>
      <c r="B1000" s="4" cm="1">
        <f t="array" aca="1" ref="B10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000" s="2">
        <f t="shared" ca="1" si="132"/>
        <v>3.0176766333212419</v>
      </c>
      <c r="D1000" s="4" t="str" cm="1">
        <f t="array" aca="1" ref="D10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00" s="2">
        <f t="shared" ca="1" si="133"/>
        <v>30.010968927015902</v>
      </c>
      <c r="F1000" s="4" t="str" cm="1">
        <f t="array" aca="1" ref="F10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00" s="2">
        <f t="shared" ca="1" si="134"/>
        <v>40.01596792319549</v>
      </c>
      <c r="H1000" s="47" t="str" cm="1">
        <f t="array" aca="1" ref="H10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01" spans="1:8" x14ac:dyDescent="0.25">
      <c r="A1001" s="2">
        <f t="shared" ca="1" si="131"/>
        <v>3.0057165629542806</v>
      </c>
      <c r="B1001" s="4" cm="1">
        <f t="array" aca="1" ref="B10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001" s="2">
        <f t="shared" ca="1" si="132"/>
        <v>3.0240843287864929</v>
      </c>
      <c r="D1001" s="4" t="str" cm="1">
        <f t="array" aca="1" ref="D10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01" s="2">
        <f t="shared" ca="1" si="133"/>
        <v>30.013090359284874</v>
      </c>
      <c r="F1001" s="4" t="str" cm="1">
        <f t="array" aca="1" ref="F10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01" s="2">
        <f t="shared" ca="1" si="134"/>
        <v>40.020866756845287</v>
      </c>
      <c r="H1001" s="47" t="str" cm="1">
        <f t="array" aca="1" ref="H10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02" spans="1:8" x14ac:dyDescent="0.25">
      <c r="A1002" s="2">
        <f t="shared" ca="1" si="131"/>
        <v>3.0088652551876742</v>
      </c>
      <c r="B1002" s="4" cm="1">
        <f t="array" aca="1" ref="B10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002" s="2">
        <f t="shared" ca="1" si="132"/>
        <v>3.0159847450461772</v>
      </c>
      <c r="D1002" s="4" t="str" cm="1">
        <f t="array" aca="1" ref="D10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02" s="2">
        <f t="shared" ca="1" si="133"/>
        <v>30.016958799222419</v>
      </c>
      <c r="F1002" s="4" t="str" cm="1">
        <f t="array" aca="1" ref="F10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02" s="2">
        <f t="shared" ca="1" si="134"/>
        <v>40.018927463206971</v>
      </c>
      <c r="H1002" s="47" t="str" cm="1">
        <f t="array" aca="1" ref="H10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03" spans="1:8" x14ac:dyDescent="0.25">
      <c r="A1003" s="2">
        <f t="shared" ca="1" si="131"/>
        <v>3.0082694938619809</v>
      </c>
      <c r="B1003" s="4" cm="1">
        <f t="array" aca="1" ref="B10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003" s="2">
        <f t="shared" ca="1" si="132"/>
        <v>3.0021052157401598</v>
      </c>
      <c r="D1003" s="4" t="str" cm="1">
        <f t="array" aca="1" ref="D10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03" s="2">
        <f t="shared" ca="1" si="133"/>
        <v>30.009742537496187</v>
      </c>
      <c r="F1003" s="4" t="str" cm="1">
        <f t="array" aca="1" ref="F10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03" s="2">
        <f t="shared" ca="1" si="134"/>
        <v>40.014122399713607</v>
      </c>
      <c r="H1003" s="47" t="str" cm="1">
        <f t="array" aca="1" ref="H10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04" spans="1:8" x14ac:dyDescent="0.25">
      <c r="A1004" s="2">
        <f t="shared" ca="1" si="131"/>
        <v>3.0021586029822931</v>
      </c>
      <c r="B1004" s="4" cm="1">
        <f t="array" aca="1" ref="B10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004" s="2">
        <f t="shared" ca="1" si="132"/>
        <v>3.0066700991125965</v>
      </c>
      <c r="D1004" s="4" t="str" cm="1">
        <f t="array" aca="1" ref="D10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04" s="2">
        <f t="shared" ca="1" si="133"/>
        <v>30.004878026177494</v>
      </c>
      <c r="F1004" s="4" t="str" cm="1">
        <f t="array" aca="1" ref="F10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04" s="2">
        <f t="shared" ca="1" si="134"/>
        <v>40.025871527681574</v>
      </c>
      <c r="H1004" s="47" t="str" cm="1">
        <f t="array" aca="1" ref="H10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05" spans="1:8" x14ac:dyDescent="0.25">
      <c r="A1005" s="2">
        <f t="shared" ca="1" si="131"/>
        <v>3.0043211413303941</v>
      </c>
      <c r="B1005" s="4" cm="1">
        <f t="array" aca="1" ref="B10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005" s="2">
        <f t="shared" ca="1" si="132"/>
        <v>3.0035635969298697</v>
      </c>
      <c r="D1005" s="4" t="str" cm="1">
        <f t="array" aca="1" ref="D10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05" s="2">
        <f t="shared" ca="1" si="133"/>
        <v>30.025375551323243</v>
      </c>
      <c r="F1005" s="4" t="str" cm="1">
        <f t="array" aca="1" ref="F10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05" s="2">
        <f t="shared" ca="1" si="134"/>
        <v>40.010829854418311</v>
      </c>
      <c r="H1005" s="47" t="str" cm="1">
        <f t="array" aca="1" ref="H10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06" spans="1:8" x14ac:dyDescent="0.25">
      <c r="A1006" s="2">
        <f t="shared" ca="1" si="131"/>
        <v>3.0056484521464482</v>
      </c>
      <c r="B1006" s="4" cm="1">
        <f t="array" aca="1" ref="B10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006" s="2">
        <f t="shared" ca="1" si="132"/>
        <v>3.0067115174227101</v>
      </c>
      <c r="D1006" s="4" t="str" cm="1">
        <f t="array" aca="1" ref="D10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06" s="2">
        <f t="shared" ca="1" si="133"/>
        <v>30.018417347911495</v>
      </c>
      <c r="F1006" s="4" t="str" cm="1">
        <f t="array" aca="1" ref="F10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06" s="2">
        <f t="shared" ca="1" si="134"/>
        <v>40.021333457392608</v>
      </c>
      <c r="H1006" s="47" t="str" cm="1">
        <f t="array" aca="1" ref="H10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07" spans="1:8" x14ac:dyDescent="0.25">
      <c r="A1007" s="2">
        <f t="shared" ca="1" si="131"/>
        <v>3.0055932765026343</v>
      </c>
      <c r="B1007" s="4" cm="1">
        <f t="array" aca="1" ref="B10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007" s="2">
        <f t="shared" ca="1" si="132"/>
        <v>3.0120237864572532</v>
      </c>
      <c r="D1007" s="4" t="str" cm="1">
        <f t="array" aca="1" ref="D10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07" s="2">
        <f t="shared" ca="1" si="133"/>
        <v>30.000241559692075</v>
      </c>
      <c r="F1007" s="4" t="str" cm="1">
        <f t="array" aca="1" ref="F10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07" s="2">
        <f t="shared" ca="1" si="134"/>
        <v>40.02121703289388</v>
      </c>
      <c r="H1007" s="47" t="str" cm="1">
        <f t="array" aca="1" ref="H10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08" spans="1:8" x14ac:dyDescent="0.25">
      <c r="A1008" s="2">
        <f t="shared" ca="1" si="131"/>
        <v>3.0099276315725558</v>
      </c>
      <c r="B1008" s="4" cm="1">
        <f t="array" aca="1" ref="B10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008" s="2">
        <f t="shared" ca="1" si="132"/>
        <v>3.0103436196427027</v>
      </c>
      <c r="D1008" s="4" t="str" cm="1">
        <f t="array" aca="1" ref="D10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08" s="2">
        <f t="shared" ca="1" si="133"/>
        <v>30.013669919160566</v>
      </c>
      <c r="F1008" s="4" t="str" cm="1">
        <f t="array" aca="1" ref="F10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08" s="2">
        <f t="shared" ca="1" si="134"/>
        <v>40.007389748080911</v>
      </c>
      <c r="H1008" s="47" t="str" cm="1">
        <f t="array" aca="1" ref="H10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09" spans="1:8" x14ac:dyDescent="0.25">
      <c r="A1009" s="2">
        <f t="shared" ca="1" si="131"/>
        <v>3.0038576834817752</v>
      </c>
      <c r="B1009" s="4" cm="1">
        <f t="array" aca="1" ref="B10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009" s="2">
        <f t="shared" ca="1" si="132"/>
        <v>3.0266089850948728</v>
      </c>
      <c r="D1009" s="4" t="str" cm="1">
        <f t="array" aca="1" ref="D10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09" s="2">
        <f t="shared" ca="1" si="133"/>
        <v>30.025947704666123</v>
      </c>
      <c r="F1009" s="4" t="str" cm="1">
        <f t="array" aca="1" ref="F10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09" s="2">
        <f t="shared" ca="1" si="134"/>
        <v>40.026860236558996</v>
      </c>
      <c r="H1009" s="47" t="str" cm="1">
        <f t="array" aca="1" ref="H10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10" spans="1:8" x14ac:dyDescent="0.25">
      <c r="A1010" s="2">
        <f t="shared" ca="1" si="131"/>
        <v>3.0001799403888509</v>
      </c>
      <c r="B1010" s="4" cm="1">
        <f t="array" aca="1" ref="B10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010" s="2">
        <f t="shared" ca="1" si="132"/>
        <v>3.0035359362382463</v>
      </c>
      <c r="D1010" s="4" t="str" cm="1">
        <f t="array" aca="1" ref="D10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10" s="2">
        <f t="shared" ca="1" si="133"/>
        <v>30.012476517540829</v>
      </c>
      <c r="F1010" s="4" t="str" cm="1">
        <f t="array" aca="1" ref="F10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10" s="2">
        <f t="shared" ca="1" si="134"/>
        <v>40.024343076205874</v>
      </c>
      <c r="H1010" s="47" t="str" cm="1">
        <f t="array" aca="1" ref="H10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11" spans="1:8" x14ac:dyDescent="0.25">
      <c r="A1011" s="2">
        <f t="shared" ca="1" si="131"/>
        <v>3.0008280646200545</v>
      </c>
      <c r="B1011" s="4" cm="1">
        <f t="array" aca="1" ref="B10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011" s="2">
        <f t="shared" ca="1" si="132"/>
        <v>3.0083607645568629</v>
      </c>
      <c r="D1011" s="4" t="str" cm="1">
        <f t="array" aca="1" ref="D10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11" s="2">
        <f t="shared" ca="1" si="133"/>
        <v>30.001803718396022</v>
      </c>
      <c r="F1011" s="4" t="str" cm="1">
        <f t="array" aca="1" ref="F10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11" s="2">
        <f t="shared" ca="1" si="134"/>
        <v>40.022420352262955</v>
      </c>
      <c r="H1011" s="47" t="str" cm="1">
        <f t="array" aca="1" ref="H10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12" spans="1:8" x14ac:dyDescent="0.25">
      <c r="A1012" s="2">
        <f t="shared" ca="1" si="131"/>
        <v>3.005100048468778</v>
      </c>
      <c r="B1012" s="4" cm="1">
        <f t="array" aca="1" ref="B10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012" s="2">
        <f t="shared" ca="1" si="132"/>
        <v>3.0000609131622258</v>
      </c>
      <c r="D1012" s="4" t="str" cm="1">
        <f t="array" aca="1" ref="D10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12" s="2">
        <f t="shared" ca="1" si="133"/>
        <v>30.010945752370013</v>
      </c>
      <c r="F1012" s="4" t="str" cm="1">
        <f t="array" aca="1" ref="F10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12" s="2">
        <f t="shared" ca="1" si="134"/>
        <v>40.023730639377909</v>
      </c>
      <c r="H1012" s="47" t="str" cm="1">
        <f t="array" aca="1" ref="H10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13" spans="1:8" x14ac:dyDescent="0.25">
      <c r="A1013" s="2">
        <f t="shared" ca="1" si="131"/>
        <v>3.0010931228888365</v>
      </c>
      <c r="B1013" s="4" cm="1">
        <f t="array" aca="1" ref="B10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013" s="2">
        <f t="shared" ca="1" si="132"/>
        <v>3.0186518748651552</v>
      </c>
      <c r="D1013" s="4" t="str" cm="1">
        <f t="array" aca="1" ref="D10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13" s="2">
        <f t="shared" ca="1" si="133"/>
        <v>30.027216848491058</v>
      </c>
      <c r="F1013" s="4" t="str" cm="1">
        <f t="array" aca="1" ref="F10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13" s="2">
        <f t="shared" ca="1" si="134"/>
        <v>40.021278796139107</v>
      </c>
      <c r="H1013" s="47" t="str" cm="1">
        <f t="array" aca="1" ref="H10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14" spans="1:8" x14ac:dyDescent="0.25">
      <c r="A1014" s="2">
        <f t="shared" ca="1" si="131"/>
        <v>3.0077847466830803</v>
      </c>
      <c r="B1014" s="4" cm="1">
        <f t="array" aca="1" ref="B10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014" s="2">
        <f t="shared" ca="1" si="132"/>
        <v>3.026920276191754</v>
      </c>
      <c r="D1014" s="4" t="str" cm="1">
        <f t="array" aca="1" ref="D10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14" s="2">
        <f t="shared" ca="1" si="133"/>
        <v>30.009673533005309</v>
      </c>
      <c r="F1014" s="4" t="str" cm="1">
        <f t="array" aca="1" ref="F10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14" s="2">
        <f t="shared" ca="1" si="134"/>
        <v>40.026531805819268</v>
      </c>
      <c r="H1014" s="47" t="str" cm="1">
        <f t="array" aca="1" ref="H10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15" spans="1:8" x14ac:dyDescent="0.25">
      <c r="A1015" s="2">
        <f t="shared" ca="1" si="131"/>
        <v>3.0077076119815609</v>
      </c>
      <c r="B1015" s="4" cm="1">
        <f t="array" aca="1" ref="B10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015" s="2">
        <f t="shared" ca="1" si="132"/>
        <v>3.016868206306127</v>
      </c>
      <c r="D1015" s="4" t="str" cm="1">
        <f t="array" aca="1" ref="D10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15" s="2">
        <f t="shared" ca="1" si="133"/>
        <v>30.027963890470545</v>
      </c>
      <c r="F1015" s="4" t="str" cm="1">
        <f t="array" aca="1" ref="F10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15" s="2">
        <f t="shared" ca="1" si="134"/>
        <v>40.026850243852287</v>
      </c>
      <c r="H1015" s="47" t="str" cm="1">
        <f t="array" aca="1" ref="H10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16" spans="1:8" x14ac:dyDescent="0.25">
      <c r="A1016" s="2">
        <f t="shared" ca="1" si="131"/>
        <v>3.0004455399292373</v>
      </c>
      <c r="B1016" s="4" cm="1">
        <f t="array" aca="1" ref="B10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016" s="2">
        <f t="shared" ca="1" si="132"/>
        <v>3.0183425509145021</v>
      </c>
      <c r="D1016" s="4" t="str" cm="1">
        <f t="array" aca="1" ref="D10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16" s="2">
        <f t="shared" ca="1" si="133"/>
        <v>30.005711417072284</v>
      </c>
      <c r="F1016" s="4" t="str" cm="1">
        <f t="array" aca="1" ref="F10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16" s="2">
        <f t="shared" ca="1" si="134"/>
        <v>40.011284946041975</v>
      </c>
      <c r="H1016" s="47" t="str" cm="1">
        <f t="array" aca="1" ref="H10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17" spans="1:8" x14ac:dyDescent="0.25">
      <c r="A1017" s="2">
        <f t="shared" ca="1" si="131"/>
        <v>3.001953714638395</v>
      </c>
      <c r="B1017" s="4" cm="1">
        <f t="array" aca="1" ref="B10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017" s="2">
        <f t="shared" ca="1" si="132"/>
        <v>3.0201060260726282</v>
      </c>
      <c r="D1017" s="4" t="str" cm="1">
        <f t="array" aca="1" ref="D10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17" s="2">
        <f t="shared" ca="1" si="133"/>
        <v>30.00157701878717</v>
      </c>
      <c r="F1017" s="4" t="str" cm="1">
        <f t="array" aca="1" ref="F10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17" s="2">
        <f t="shared" ca="1" si="134"/>
        <v>40.011974660930676</v>
      </c>
      <c r="H1017" s="47" t="str" cm="1">
        <f t="array" aca="1" ref="H10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18" spans="1:8" x14ac:dyDescent="0.25">
      <c r="A1018" s="2">
        <f t="shared" ca="1" si="131"/>
        <v>3.0080823868272275</v>
      </c>
      <c r="B1018" s="4" cm="1">
        <f t="array" aca="1" ref="B10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018" s="2">
        <f t="shared" ca="1" si="132"/>
        <v>3.010306165175431</v>
      </c>
      <c r="D1018" s="4" t="str" cm="1">
        <f t="array" aca="1" ref="D10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18" s="2">
        <f t="shared" ca="1" si="133"/>
        <v>30.027793932134298</v>
      </c>
      <c r="F1018" s="4" t="str" cm="1">
        <f t="array" aca="1" ref="F10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18" s="2">
        <f t="shared" ca="1" si="134"/>
        <v>40.01634947521481</v>
      </c>
      <c r="H1018" s="47" t="str" cm="1">
        <f t="array" aca="1" ref="H10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19" spans="1:8" x14ac:dyDescent="0.25">
      <c r="A1019" s="2">
        <f t="shared" ca="1" si="131"/>
        <v>3.0082434821558639</v>
      </c>
      <c r="B1019" s="4" cm="1">
        <f t="array" aca="1" ref="B10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019" s="2">
        <f t="shared" ca="1" si="132"/>
        <v>3.0288046162662221</v>
      </c>
      <c r="D1019" s="4" t="str" cm="1">
        <f t="array" aca="1" ref="D10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19" s="2">
        <f t="shared" ca="1" si="133"/>
        <v>30.008367833745655</v>
      </c>
      <c r="F1019" s="4" t="str" cm="1">
        <f t="array" aca="1" ref="F10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19" s="2">
        <f t="shared" ca="1" si="134"/>
        <v>40.006729669618345</v>
      </c>
      <c r="H1019" s="47" t="str" cm="1">
        <f t="array" aca="1" ref="H10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20" spans="1:8" x14ac:dyDescent="0.25">
      <c r="A1020" s="2">
        <f t="shared" ca="1" si="131"/>
        <v>3.0001755897620574</v>
      </c>
      <c r="B1020" s="4" cm="1">
        <f t="array" aca="1" ref="B10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020" s="2">
        <f t="shared" ca="1" si="132"/>
        <v>3.0010922272123364</v>
      </c>
      <c r="D1020" s="4" t="str" cm="1">
        <f t="array" aca="1" ref="D10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20" s="2">
        <f t="shared" ca="1" si="133"/>
        <v>30.015743830470527</v>
      </c>
      <c r="F1020" s="4" t="str" cm="1">
        <f t="array" aca="1" ref="F10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20" s="2">
        <f t="shared" ca="1" si="134"/>
        <v>40.010362830899872</v>
      </c>
      <c r="H1020" s="47" t="str" cm="1">
        <f t="array" aca="1" ref="H10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21" spans="1:8" x14ac:dyDescent="0.25">
      <c r="A1021" s="2">
        <f t="shared" ca="1" si="131"/>
        <v>3.0063368429961765</v>
      </c>
      <c r="B1021" s="4" cm="1">
        <f t="array" aca="1" ref="B10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021" s="2">
        <f t="shared" ca="1" si="132"/>
        <v>3.0272897537241112</v>
      </c>
      <c r="D1021" s="4" t="str" cm="1">
        <f t="array" aca="1" ref="D10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21" s="2">
        <f t="shared" ca="1" si="133"/>
        <v>30.018236891144152</v>
      </c>
      <c r="F1021" s="4" t="str" cm="1">
        <f t="array" aca="1" ref="F10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21" s="2">
        <f t="shared" ca="1" si="134"/>
        <v>40.021218740113916</v>
      </c>
      <c r="H1021" s="47" t="str" cm="1">
        <f t="array" aca="1" ref="H10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22" spans="1:8" x14ac:dyDescent="0.25">
      <c r="A1022" s="2">
        <f t="shared" ca="1" si="131"/>
        <v>3.0036368104363187</v>
      </c>
      <c r="B1022" s="4" cm="1">
        <f t="array" aca="1" ref="B10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022" s="2">
        <f t="shared" ca="1" si="132"/>
        <v>3.0128299347541403</v>
      </c>
      <c r="D1022" s="4" t="str" cm="1">
        <f t="array" aca="1" ref="D10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22" s="2">
        <f t="shared" ca="1" si="133"/>
        <v>30.020140666128505</v>
      </c>
      <c r="F1022" s="4" t="str" cm="1">
        <f t="array" aca="1" ref="F10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22" s="2">
        <f t="shared" ca="1" si="134"/>
        <v>40.004388831530278</v>
      </c>
      <c r="H1022" s="47" t="str" cm="1">
        <f t="array" aca="1" ref="H10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23" spans="1:8" x14ac:dyDescent="0.25">
      <c r="A1023" s="2">
        <f t="shared" ca="1" si="131"/>
        <v>3.0077951547410886</v>
      </c>
      <c r="B1023" s="4" cm="1">
        <f t="array" aca="1" ref="B10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023" s="2">
        <f t="shared" ca="1" si="132"/>
        <v>3.0029344135946876</v>
      </c>
      <c r="D1023" s="4" t="str" cm="1">
        <f t="array" aca="1" ref="D10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23" s="2">
        <f t="shared" ca="1" si="133"/>
        <v>30.029684299987359</v>
      </c>
      <c r="F1023" s="4" t="str" cm="1">
        <f t="array" aca="1" ref="F10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23" s="2">
        <f t="shared" ca="1" si="134"/>
        <v>40.026646430821714</v>
      </c>
      <c r="H1023" s="47" t="str" cm="1">
        <f t="array" aca="1" ref="H10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24" spans="1:8" x14ac:dyDescent="0.25">
      <c r="A1024" s="2">
        <f t="shared" ca="1" si="131"/>
        <v>3.0033436054039848</v>
      </c>
      <c r="B1024" s="4" cm="1">
        <f t="array" aca="1" ref="B10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024" s="2">
        <f t="shared" ca="1" si="132"/>
        <v>3.004957411820627</v>
      </c>
      <c r="D1024" s="4" t="str" cm="1">
        <f t="array" aca="1" ref="D10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24" s="2">
        <f t="shared" ca="1" si="133"/>
        <v>30.017065486362171</v>
      </c>
      <c r="F1024" s="4" t="str" cm="1">
        <f t="array" aca="1" ref="F10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24" s="2">
        <f t="shared" ca="1" si="134"/>
        <v>40.008765338963244</v>
      </c>
      <c r="H1024" s="47" t="str" cm="1">
        <f t="array" aca="1" ref="H10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25" spans="1:8" x14ac:dyDescent="0.25">
      <c r="A1025" s="2">
        <f t="shared" ca="1" si="131"/>
        <v>3.0016394415405219</v>
      </c>
      <c r="B1025" s="4" cm="1">
        <f t="array" aca="1" ref="B10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025" s="2">
        <f t="shared" ca="1" si="132"/>
        <v>3.0042263157461799</v>
      </c>
      <c r="D1025" s="4" t="str" cm="1">
        <f t="array" aca="1" ref="D10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25" s="2">
        <f t="shared" ca="1" si="133"/>
        <v>30.000039326162952</v>
      </c>
      <c r="F1025" s="4" t="str" cm="1">
        <f t="array" aca="1" ref="F10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25" s="2">
        <f t="shared" ca="1" si="134"/>
        <v>40.003552759802034</v>
      </c>
      <c r="H1025" s="47" t="str" cm="1">
        <f t="array" aca="1" ref="H10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26" spans="1:8" x14ac:dyDescent="0.25">
      <c r="A1026" s="2">
        <f t="shared" ref="A1026:A1089" ca="1" si="135">3+RAND()*0.01</f>
        <v>3.0055292085121796</v>
      </c>
      <c r="B1026" s="4" cm="1">
        <f t="array" aca="1" ref="B10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026" s="2">
        <f t="shared" ref="C1026:C1089" ca="1" si="136">3+RAND()*0.03</f>
        <v>3.0009466010166017</v>
      </c>
      <c r="D1026" s="4" t="str" cm="1">
        <f t="array" aca="1" ref="D10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26" s="2">
        <f t="shared" ref="E1026:E1089" ca="1" si="137">30+RAND()*0.03</f>
        <v>30.006925887374848</v>
      </c>
      <c r="F1026" s="4" t="str" cm="1">
        <f t="array" aca="1" ref="F10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26" s="2">
        <f t="shared" ref="G1026:G1089" ca="1" si="138">40+RAND()*0.03</f>
        <v>40.022812234539686</v>
      </c>
      <c r="H1026" s="47" t="str" cm="1">
        <f t="array" aca="1" ref="H10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27" spans="1:8" x14ac:dyDescent="0.25">
      <c r="A1027" s="2">
        <f t="shared" ca="1" si="135"/>
        <v>3.0063080897447034</v>
      </c>
      <c r="B1027" s="4" cm="1">
        <f t="array" aca="1" ref="B10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027" s="2">
        <f t="shared" ca="1" si="136"/>
        <v>3.0150717453385765</v>
      </c>
      <c r="D1027" s="4" t="str" cm="1">
        <f t="array" aca="1" ref="D10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27" s="2">
        <f t="shared" ca="1" si="137"/>
        <v>30.025666703316528</v>
      </c>
      <c r="F1027" s="4" t="str" cm="1">
        <f t="array" aca="1" ref="F10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27" s="2">
        <f t="shared" ca="1" si="138"/>
        <v>40.005997618534273</v>
      </c>
      <c r="H1027" s="47" t="str" cm="1">
        <f t="array" aca="1" ref="H10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28" spans="1:8" x14ac:dyDescent="0.25">
      <c r="A1028" s="2">
        <f t="shared" ca="1" si="135"/>
        <v>3.0046768247695348</v>
      </c>
      <c r="B1028" s="4" cm="1">
        <f t="array" aca="1" ref="B10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028" s="2">
        <f t="shared" ca="1" si="136"/>
        <v>3.0012580550229999</v>
      </c>
      <c r="D1028" s="4" t="str" cm="1">
        <f t="array" aca="1" ref="D10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28" s="2">
        <f t="shared" ca="1" si="137"/>
        <v>30.001198125524013</v>
      </c>
      <c r="F1028" s="4" t="str" cm="1">
        <f t="array" aca="1" ref="F10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28" s="2">
        <f t="shared" ca="1" si="138"/>
        <v>40.005525359923709</v>
      </c>
      <c r="H1028" s="47" t="str" cm="1">
        <f t="array" aca="1" ref="H10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29" spans="1:8" x14ac:dyDescent="0.25">
      <c r="A1029" s="2">
        <f t="shared" ca="1" si="135"/>
        <v>3.0043218431750534</v>
      </c>
      <c r="B1029" s="4" cm="1">
        <f t="array" aca="1" ref="B10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029" s="2">
        <f t="shared" ca="1" si="136"/>
        <v>3.0288756953722262</v>
      </c>
      <c r="D1029" s="4" t="str" cm="1">
        <f t="array" aca="1" ref="D10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29" s="2">
        <f t="shared" ca="1" si="137"/>
        <v>30.008830541646283</v>
      </c>
      <c r="F1029" s="4" t="str" cm="1">
        <f t="array" aca="1" ref="F10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29" s="2">
        <f t="shared" ca="1" si="138"/>
        <v>40.008489465868792</v>
      </c>
      <c r="H1029" s="47" t="str" cm="1">
        <f t="array" aca="1" ref="H10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30" spans="1:8" x14ac:dyDescent="0.25">
      <c r="A1030" s="2">
        <f t="shared" ca="1" si="135"/>
        <v>3.0086183895179257</v>
      </c>
      <c r="B1030" s="4" cm="1">
        <f t="array" aca="1" ref="B10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030" s="2">
        <f t="shared" ca="1" si="136"/>
        <v>3.0293231432694192</v>
      </c>
      <c r="D1030" s="4" t="str" cm="1">
        <f t="array" aca="1" ref="D10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30" s="2">
        <f t="shared" ca="1" si="137"/>
        <v>30.003650307391613</v>
      </c>
      <c r="F1030" s="4" t="str" cm="1">
        <f t="array" aca="1" ref="F10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30" s="2">
        <f t="shared" ca="1" si="138"/>
        <v>40.019400690466121</v>
      </c>
      <c r="H1030" s="47" t="str" cm="1">
        <f t="array" aca="1" ref="H10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31" spans="1:8" x14ac:dyDescent="0.25">
      <c r="A1031" s="2">
        <f t="shared" ca="1" si="135"/>
        <v>3.0048782573072952</v>
      </c>
      <c r="B1031" s="4" cm="1">
        <f t="array" aca="1" ref="B10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031" s="2">
        <f t="shared" ca="1" si="136"/>
        <v>3.0245117786816609</v>
      </c>
      <c r="D1031" s="4" t="str" cm="1">
        <f t="array" aca="1" ref="D10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31" s="2">
        <f t="shared" ca="1" si="137"/>
        <v>30.022745900919645</v>
      </c>
      <c r="F1031" s="4" t="str" cm="1">
        <f t="array" aca="1" ref="F10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31" s="2">
        <f t="shared" ca="1" si="138"/>
        <v>40.001770021386363</v>
      </c>
      <c r="H1031" s="47" t="str" cm="1">
        <f t="array" aca="1" ref="H10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32" spans="1:8" x14ac:dyDescent="0.25">
      <c r="A1032" s="2">
        <f t="shared" ca="1" si="135"/>
        <v>3.0020218632107283</v>
      </c>
      <c r="B1032" s="4" cm="1">
        <f t="array" aca="1" ref="B10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032" s="2">
        <f t="shared" ca="1" si="136"/>
        <v>3.0033681249684085</v>
      </c>
      <c r="D1032" s="4" t="str" cm="1">
        <f t="array" aca="1" ref="D10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32" s="2">
        <f t="shared" ca="1" si="137"/>
        <v>30.000996560571807</v>
      </c>
      <c r="F1032" s="4" t="str" cm="1">
        <f t="array" aca="1" ref="F10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32" s="2">
        <f t="shared" ca="1" si="138"/>
        <v>40.018831941864278</v>
      </c>
      <c r="H1032" s="47" t="str" cm="1">
        <f t="array" aca="1" ref="H10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33" spans="1:8" x14ac:dyDescent="0.25">
      <c r="A1033" s="2">
        <f t="shared" ca="1" si="135"/>
        <v>3.0071519677362972</v>
      </c>
      <c r="B1033" s="4" cm="1">
        <f t="array" aca="1" ref="B10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033" s="2">
        <f t="shared" ca="1" si="136"/>
        <v>3.0070025781878882</v>
      </c>
      <c r="D1033" s="4" t="str" cm="1">
        <f t="array" aca="1" ref="D10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33" s="2">
        <f t="shared" ca="1" si="137"/>
        <v>30.004483375506044</v>
      </c>
      <c r="F1033" s="4" t="str" cm="1">
        <f t="array" aca="1" ref="F10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33" s="2">
        <f t="shared" ca="1" si="138"/>
        <v>40.002326365648827</v>
      </c>
      <c r="H1033" s="47" t="str" cm="1">
        <f t="array" aca="1" ref="H10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34" spans="1:8" x14ac:dyDescent="0.25">
      <c r="A1034" s="2">
        <f t="shared" ca="1" si="135"/>
        <v>3.0075435959403749</v>
      </c>
      <c r="B1034" s="4" cm="1">
        <f t="array" aca="1" ref="B10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034" s="2">
        <f t="shared" ca="1" si="136"/>
        <v>3.0083682315022489</v>
      </c>
      <c r="D1034" s="4" t="str" cm="1">
        <f t="array" aca="1" ref="D10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34" s="2">
        <f t="shared" ca="1" si="137"/>
        <v>30.006144855542715</v>
      </c>
      <c r="F1034" s="4" t="str" cm="1">
        <f t="array" aca="1" ref="F10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34" s="2">
        <f t="shared" ca="1" si="138"/>
        <v>40.021196807860257</v>
      </c>
      <c r="H1034" s="47" t="str" cm="1">
        <f t="array" aca="1" ref="H10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35" spans="1:8" x14ac:dyDescent="0.25">
      <c r="A1035" s="2">
        <f t="shared" ca="1" si="135"/>
        <v>3.0086843442051276</v>
      </c>
      <c r="B1035" s="4" cm="1">
        <f t="array" aca="1" ref="B10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035" s="2">
        <f t="shared" ca="1" si="136"/>
        <v>3.0011619992505256</v>
      </c>
      <c r="D1035" s="4" t="str" cm="1">
        <f t="array" aca="1" ref="D10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35" s="2">
        <f t="shared" ca="1" si="137"/>
        <v>30.003737504376389</v>
      </c>
      <c r="F1035" s="4" t="str" cm="1">
        <f t="array" aca="1" ref="F10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35" s="2">
        <f t="shared" ca="1" si="138"/>
        <v>40.002621336620471</v>
      </c>
      <c r="H1035" s="47" t="str" cm="1">
        <f t="array" aca="1" ref="H10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36" spans="1:8" x14ac:dyDescent="0.25">
      <c r="A1036" s="2">
        <f t="shared" ca="1" si="135"/>
        <v>3.003824503022468</v>
      </c>
      <c r="B1036" s="4" cm="1">
        <f t="array" aca="1" ref="B10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036" s="2">
        <f t="shared" ca="1" si="136"/>
        <v>3.0170316271343709</v>
      </c>
      <c r="D1036" s="4" t="str" cm="1">
        <f t="array" aca="1" ref="D10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36" s="2">
        <f t="shared" ca="1" si="137"/>
        <v>30.014646594667276</v>
      </c>
      <c r="F1036" s="4" t="str" cm="1">
        <f t="array" aca="1" ref="F10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36" s="2">
        <f t="shared" ca="1" si="138"/>
        <v>40.026429489344338</v>
      </c>
      <c r="H1036" s="47" t="str" cm="1">
        <f t="array" aca="1" ref="H10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37" spans="1:8" x14ac:dyDescent="0.25">
      <c r="A1037" s="2">
        <f t="shared" ca="1" si="135"/>
        <v>3.0025799828982889</v>
      </c>
      <c r="B1037" s="4" cm="1">
        <f t="array" aca="1" ref="B10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037" s="2">
        <f t="shared" ca="1" si="136"/>
        <v>3.0127504877121063</v>
      </c>
      <c r="D1037" s="4" t="str" cm="1">
        <f t="array" aca="1" ref="D10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37" s="2">
        <f t="shared" ca="1" si="137"/>
        <v>30.017006937726467</v>
      </c>
      <c r="F1037" s="4" t="str" cm="1">
        <f t="array" aca="1" ref="F10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37" s="2">
        <f t="shared" ca="1" si="138"/>
        <v>40.0103438464348</v>
      </c>
      <c r="H1037" s="47" t="str" cm="1">
        <f t="array" aca="1" ref="H10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38" spans="1:8" x14ac:dyDescent="0.25">
      <c r="A1038" s="2">
        <f t="shared" ca="1" si="135"/>
        <v>3.009419910387773</v>
      </c>
      <c r="B1038" s="4" cm="1">
        <f t="array" aca="1" ref="B10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038" s="2">
        <f t="shared" ca="1" si="136"/>
        <v>3.0086660432185375</v>
      </c>
      <c r="D1038" s="4" t="str" cm="1">
        <f t="array" aca="1" ref="D10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38" s="2">
        <f t="shared" ca="1" si="137"/>
        <v>30.010501016732679</v>
      </c>
      <c r="F1038" s="4" t="str" cm="1">
        <f t="array" aca="1" ref="F10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38" s="2">
        <f t="shared" ca="1" si="138"/>
        <v>40.018254531372762</v>
      </c>
      <c r="H1038" s="47" t="str" cm="1">
        <f t="array" aca="1" ref="H10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39" spans="1:8" x14ac:dyDescent="0.25">
      <c r="A1039" s="2">
        <f t="shared" ca="1" si="135"/>
        <v>3.0052194361767373</v>
      </c>
      <c r="B1039" s="4" cm="1">
        <f t="array" aca="1" ref="B10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039" s="2">
        <f t="shared" ca="1" si="136"/>
        <v>3.0058081768890417</v>
      </c>
      <c r="D1039" s="4" t="str" cm="1">
        <f t="array" aca="1" ref="D10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39" s="2">
        <f t="shared" ca="1" si="137"/>
        <v>30.006655748095834</v>
      </c>
      <c r="F1039" s="4" t="str" cm="1">
        <f t="array" aca="1" ref="F10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39" s="2">
        <f t="shared" ca="1" si="138"/>
        <v>40.019651118122596</v>
      </c>
      <c r="H1039" s="47" t="str" cm="1">
        <f t="array" aca="1" ref="H10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40" spans="1:8" x14ac:dyDescent="0.25">
      <c r="A1040" s="2">
        <f t="shared" ca="1" si="135"/>
        <v>3.0061955257805741</v>
      </c>
      <c r="B1040" s="4" cm="1">
        <f t="array" aca="1" ref="B10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040" s="2">
        <f t="shared" ca="1" si="136"/>
        <v>3.0108672043477913</v>
      </c>
      <c r="D1040" s="4" t="str" cm="1">
        <f t="array" aca="1" ref="D10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40" s="2">
        <f t="shared" ca="1" si="137"/>
        <v>30.012676242518886</v>
      </c>
      <c r="F1040" s="4" t="str" cm="1">
        <f t="array" aca="1" ref="F10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40" s="2">
        <f t="shared" ca="1" si="138"/>
        <v>40.006361409430525</v>
      </c>
      <c r="H1040" s="47" t="str" cm="1">
        <f t="array" aca="1" ref="H10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41" spans="1:8" x14ac:dyDescent="0.25">
      <c r="A1041" s="2">
        <f t="shared" ca="1" si="135"/>
        <v>3.0053084297482267</v>
      </c>
      <c r="B1041" s="4" cm="1">
        <f t="array" aca="1" ref="B10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041" s="2">
        <f t="shared" ca="1" si="136"/>
        <v>3.0287507699152831</v>
      </c>
      <c r="D1041" s="4" t="str" cm="1">
        <f t="array" aca="1" ref="D10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41" s="2">
        <f t="shared" ca="1" si="137"/>
        <v>30.001016767479474</v>
      </c>
      <c r="F1041" s="4" t="str" cm="1">
        <f t="array" aca="1" ref="F10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41" s="2">
        <f t="shared" ca="1" si="138"/>
        <v>40.009485241674284</v>
      </c>
      <c r="H1041" s="47" t="str" cm="1">
        <f t="array" aca="1" ref="H10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42" spans="1:8" x14ac:dyDescent="0.25">
      <c r="A1042" s="2">
        <f t="shared" ca="1" si="135"/>
        <v>3.0052070068278938</v>
      </c>
      <c r="B1042" s="4" cm="1">
        <f t="array" aca="1" ref="B10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042" s="2">
        <f t="shared" ca="1" si="136"/>
        <v>3.0143682276660586</v>
      </c>
      <c r="D1042" s="4" t="str" cm="1">
        <f t="array" aca="1" ref="D10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42" s="2">
        <f t="shared" ca="1" si="137"/>
        <v>30.004596356485596</v>
      </c>
      <c r="F1042" s="4" t="str" cm="1">
        <f t="array" aca="1" ref="F10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42" s="2">
        <f t="shared" ca="1" si="138"/>
        <v>40.024705843433431</v>
      </c>
      <c r="H1042" s="47" t="str" cm="1">
        <f t="array" aca="1" ref="H10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43" spans="1:8" x14ac:dyDescent="0.25">
      <c r="A1043" s="2">
        <f t="shared" ca="1" si="135"/>
        <v>3.0048138943344198</v>
      </c>
      <c r="B1043" s="4" cm="1">
        <f t="array" aca="1" ref="B10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043" s="2">
        <f t="shared" ca="1" si="136"/>
        <v>3.0193593170518045</v>
      </c>
      <c r="D1043" s="4" t="str" cm="1">
        <f t="array" aca="1" ref="D10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43" s="2">
        <f t="shared" ca="1" si="137"/>
        <v>30.024938169619475</v>
      </c>
      <c r="F1043" s="4" t="str" cm="1">
        <f t="array" aca="1" ref="F10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43" s="2">
        <f t="shared" ca="1" si="138"/>
        <v>40.001147948228841</v>
      </c>
      <c r="H1043" s="47" t="str" cm="1">
        <f t="array" aca="1" ref="H10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44" spans="1:8" x14ac:dyDescent="0.25">
      <c r="A1044" s="2">
        <f t="shared" ca="1" si="135"/>
        <v>3.0031581028409744</v>
      </c>
      <c r="B1044" s="4" cm="1">
        <f t="array" aca="1" ref="B10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044" s="2">
        <f t="shared" ca="1" si="136"/>
        <v>3.0008578830800934</v>
      </c>
      <c r="D1044" s="4" t="str" cm="1">
        <f t="array" aca="1" ref="D10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44" s="2">
        <f t="shared" ca="1" si="137"/>
        <v>30.002582583201775</v>
      </c>
      <c r="F1044" s="4" t="str" cm="1">
        <f t="array" aca="1" ref="F10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44" s="2">
        <f t="shared" ca="1" si="138"/>
        <v>40.019169501017196</v>
      </c>
      <c r="H1044" s="47" t="str" cm="1">
        <f t="array" aca="1" ref="H10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45" spans="1:8" x14ac:dyDescent="0.25">
      <c r="A1045" s="2">
        <f t="shared" ca="1" si="135"/>
        <v>3.0047605793619954</v>
      </c>
      <c r="B1045" s="4" cm="1">
        <f t="array" aca="1" ref="B10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045" s="2">
        <f t="shared" ca="1" si="136"/>
        <v>3.0140969149122534</v>
      </c>
      <c r="D1045" s="4" t="str" cm="1">
        <f t="array" aca="1" ref="D10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45" s="2">
        <f t="shared" ca="1" si="137"/>
        <v>30.00274883115954</v>
      </c>
      <c r="F1045" s="4" t="str" cm="1">
        <f t="array" aca="1" ref="F10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45" s="2">
        <f t="shared" ca="1" si="138"/>
        <v>40.025861361844903</v>
      </c>
      <c r="H1045" s="47" t="str" cm="1">
        <f t="array" aca="1" ref="H10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46" spans="1:8" x14ac:dyDescent="0.25">
      <c r="A1046" s="2">
        <f t="shared" ca="1" si="135"/>
        <v>3.0082200430957347</v>
      </c>
      <c r="B1046" s="4" cm="1">
        <f t="array" aca="1" ref="B10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046" s="2">
        <f t="shared" ca="1" si="136"/>
        <v>3.0166452817402072</v>
      </c>
      <c r="D1046" s="4" t="str" cm="1">
        <f t="array" aca="1" ref="D10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46" s="2">
        <f t="shared" ca="1" si="137"/>
        <v>30.008550371447953</v>
      </c>
      <c r="F1046" s="4" t="str" cm="1">
        <f t="array" aca="1" ref="F10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46" s="2">
        <f t="shared" ca="1" si="138"/>
        <v>40.026217478331297</v>
      </c>
      <c r="H1046" s="47" t="str" cm="1">
        <f t="array" aca="1" ref="H10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47" spans="1:8" x14ac:dyDescent="0.25">
      <c r="A1047" s="2">
        <f t="shared" ca="1" si="135"/>
        <v>3.0067260319766729</v>
      </c>
      <c r="B1047" s="4" cm="1">
        <f t="array" aca="1" ref="B10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047" s="2">
        <f t="shared" ca="1" si="136"/>
        <v>3.0048870876048563</v>
      </c>
      <c r="D1047" s="4" t="str" cm="1">
        <f t="array" aca="1" ref="D10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47" s="2">
        <f t="shared" ca="1" si="137"/>
        <v>30.019176612756031</v>
      </c>
      <c r="F1047" s="4" t="str" cm="1">
        <f t="array" aca="1" ref="F10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47" s="2">
        <f t="shared" ca="1" si="138"/>
        <v>40.025343168792503</v>
      </c>
      <c r="H1047" s="47" t="str" cm="1">
        <f t="array" aca="1" ref="H10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48" spans="1:8" x14ac:dyDescent="0.25">
      <c r="A1048" s="2">
        <f t="shared" ca="1" si="135"/>
        <v>3.0086676018295675</v>
      </c>
      <c r="B1048" s="4" cm="1">
        <f t="array" aca="1" ref="B10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048" s="2">
        <f t="shared" ca="1" si="136"/>
        <v>3.0291886001253951</v>
      </c>
      <c r="D1048" s="4" t="str" cm="1">
        <f t="array" aca="1" ref="D10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48" s="2">
        <f t="shared" ca="1" si="137"/>
        <v>30.005364944382663</v>
      </c>
      <c r="F1048" s="4" t="str" cm="1">
        <f t="array" aca="1" ref="F10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48" s="2">
        <f t="shared" ca="1" si="138"/>
        <v>40.016750868014981</v>
      </c>
      <c r="H1048" s="47" t="str" cm="1">
        <f t="array" aca="1" ref="H10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49" spans="1:8" x14ac:dyDescent="0.25">
      <c r="A1049" s="2">
        <f t="shared" ca="1" si="135"/>
        <v>3.0024881415262512</v>
      </c>
      <c r="B1049" s="4" cm="1">
        <f t="array" aca="1" ref="B10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049" s="2">
        <f t="shared" ca="1" si="136"/>
        <v>3.0149583427918807</v>
      </c>
      <c r="D1049" s="4" t="str" cm="1">
        <f t="array" aca="1" ref="D10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49" s="2">
        <f t="shared" ca="1" si="137"/>
        <v>30.003248527470873</v>
      </c>
      <c r="F1049" s="4" t="str" cm="1">
        <f t="array" aca="1" ref="F10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49" s="2">
        <f t="shared" ca="1" si="138"/>
        <v>40.025590850866479</v>
      </c>
      <c r="H1049" s="47" t="str" cm="1">
        <f t="array" aca="1" ref="H10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50" spans="1:8" x14ac:dyDescent="0.25">
      <c r="A1050" s="2">
        <f t="shared" ca="1" si="135"/>
        <v>3.0058361830352847</v>
      </c>
      <c r="B1050" s="4" cm="1">
        <f t="array" aca="1" ref="B10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050" s="2">
        <f t="shared" ca="1" si="136"/>
        <v>3.0188833669733519</v>
      </c>
      <c r="D1050" s="4" t="str" cm="1">
        <f t="array" aca="1" ref="D10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50" s="2">
        <f t="shared" ca="1" si="137"/>
        <v>30.008545689790402</v>
      </c>
      <c r="F1050" s="4" t="str" cm="1">
        <f t="array" aca="1" ref="F10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50" s="2">
        <f t="shared" ca="1" si="138"/>
        <v>40.005515133324131</v>
      </c>
      <c r="H1050" s="47" t="str" cm="1">
        <f t="array" aca="1" ref="H10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51" spans="1:8" x14ac:dyDescent="0.25">
      <c r="A1051" s="2">
        <f t="shared" ca="1" si="135"/>
        <v>3.0046898798518011</v>
      </c>
      <c r="B1051" s="4" cm="1">
        <f t="array" aca="1" ref="B10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051" s="2">
        <f t="shared" ca="1" si="136"/>
        <v>3.0013217280141458</v>
      </c>
      <c r="D1051" s="4" t="str" cm="1">
        <f t="array" aca="1" ref="D10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51" s="2">
        <f t="shared" ca="1" si="137"/>
        <v>30.028593998131281</v>
      </c>
      <c r="F1051" s="4" t="str" cm="1">
        <f t="array" aca="1" ref="F10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51" s="2">
        <f t="shared" ca="1" si="138"/>
        <v>40.022292841595743</v>
      </c>
      <c r="H1051" s="47" t="str" cm="1">
        <f t="array" aca="1" ref="H10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52" spans="1:8" x14ac:dyDescent="0.25">
      <c r="A1052" s="2">
        <f t="shared" ca="1" si="135"/>
        <v>3.0013255192790855</v>
      </c>
      <c r="B1052" s="4" cm="1">
        <f t="array" aca="1" ref="B10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052" s="2">
        <f t="shared" ca="1" si="136"/>
        <v>3.0067444298701069</v>
      </c>
      <c r="D1052" s="4" t="str" cm="1">
        <f t="array" aca="1" ref="D10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52" s="2">
        <f t="shared" ca="1" si="137"/>
        <v>30.005147939888758</v>
      </c>
      <c r="F1052" s="4" t="str" cm="1">
        <f t="array" aca="1" ref="F10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52" s="2">
        <f t="shared" ca="1" si="138"/>
        <v>40.029591963163277</v>
      </c>
      <c r="H1052" s="47" t="str" cm="1">
        <f t="array" aca="1" ref="H10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53" spans="1:8" x14ac:dyDescent="0.25">
      <c r="A1053" s="2">
        <f t="shared" ca="1" si="135"/>
        <v>3.0004468719387538</v>
      </c>
      <c r="B1053" s="4" cm="1">
        <f t="array" aca="1" ref="B10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053" s="2">
        <f t="shared" ca="1" si="136"/>
        <v>3.0244696245767124</v>
      </c>
      <c r="D1053" s="4" t="str" cm="1">
        <f t="array" aca="1" ref="D10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53" s="2">
        <f t="shared" ca="1" si="137"/>
        <v>30.008532777608099</v>
      </c>
      <c r="F1053" s="4" t="str" cm="1">
        <f t="array" aca="1" ref="F10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53" s="2">
        <f t="shared" ca="1" si="138"/>
        <v>40.009515296289592</v>
      </c>
      <c r="H1053" s="47" t="str" cm="1">
        <f t="array" aca="1" ref="H10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54" spans="1:8" x14ac:dyDescent="0.25">
      <c r="A1054" s="2">
        <f t="shared" ca="1" si="135"/>
        <v>3.0067777947548229</v>
      </c>
      <c r="B1054" s="4" cm="1">
        <f t="array" aca="1" ref="B10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054" s="2">
        <f t="shared" ca="1" si="136"/>
        <v>3.0221815848849318</v>
      </c>
      <c r="D1054" s="4" t="str" cm="1">
        <f t="array" aca="1" ref="D10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54" s="2">
        <f t="shared" ca="1" si="137"/>
        <v>30.027063584870529</v>
      </c>
      <c r="F1054" s="4" t="str" cm="1">
        <f t="array" aca="1" ref="F10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54" s="2">
        <f t="shared" ca="1" si="138"/>
        <v>40.015826780233986</v>
      </c>
      <c r="H1054" s="47" t="str" cm="1">
        <f t="array" aca="1" ref="H10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55" spans="1:8" x14ac:dyDescent="0.25">
      <c r="A1055" s="2">
        <f t="shared" ca="1" si="135"/>
        <v>3.005151021299211</v>
      </c>
      <c r="B1055" s="4" cm="1">
        <f t="array" aca="1" ref="B10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055" s="2">
        <f t="shared" ca="1" si="136"/>
        <v>3.0178959139754378</v>
      </c>
      <c r="D1055" s="4" t="str" cm="1">
        <f t="array" aca="1" ref="D10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55" s="2">
        <f t="shared" ca="1" si="137"/>
        <v>30.010320779353808</v>
      </c>
      <c r="F1055" s="4" t="str" cm="1">
        <f t="array" aca="1" ref="F10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55" s="2">
        <f t="shared" ca="1" si="138"/>
        <v>40.004632379385839</v>
      </c>
      <c r="H1055" s="47" t="str" cm="1">
        <f t="array" aca="1" ref="H10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56" spans="1:8" x14ac:dyDescent="0.25">
      <c r="A1056" s="2">
        <f t="shared" ca="1" si="135"/>
        <v>3.0010068256037861</v>
      </c>
      <c r="B1056" s="4" cm="1">
        <f t="array" aca="1" ref="B10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056" s="2">
        <f t="shared" ca="1" si="136"/>
        <v>3.0089684362590292</v>
      </c>
      <c r="D1056" s="4" t="str" cm="1">
        <f t="array" aca="1" ref="D10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56" s="2">
        <f t="shared" ca="1" si="137"/>
        <v>30.015508966706413</v>
      </c>
      <c r="F1056" s="4" t="str" cm="1">
        <f t="array" aca="1" ref="F10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56" s="2">
        <f t="shared" ca="1" si="138"/>
        <v>40.020963623631864</v>
      </c>
      <c r="H1056" s="47" t="str" cm="1">
        <f t="array" aca="1" ref="H10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57" spans="1:8" x14ac:dyDescent="0.25">
      <c r="A1057" s="2">
        <f t="shared" ca="1" si="135"/>
        <v>3.0099002381707431</v>
      </c>
      <c r="B1057" s="4" cm="1">
        <f t="array" aca="1" ref="B10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057" s="2">
        <f t="shared" ca="1" si="136"/>
        <v>3.0118008953336779</v>
      </c>
      <c r="D1057" s="4" t="str" cm="1">
        <f t="array" aca="1" ref="D10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57" s="2">
        <f t="shared" ca="1" si="137"/>
        <v>30.013171966433617</v>
      </c>
      <c r="F1057" s="4" t="str" cm="1">
        <f t="array" aca="1" ref="F10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57" s="2">
        <f t="shared" ca="1" si="138"/>
        <v>40.002462550023964</v>
      </c>
      <c r="H1057" s="47" t="str" cm="1">
        <f t="array" aca="1" ref="H10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58" spans="1:8" x14ac:dyDescent="0.25">
      <c r="A1058" s="2">
        <f t="shared" ca="1" si="135"/>
        <v>3.0016478181158277</v>
      </c>
      <c r="B1058" s="4" cm="1">
        <f t="array" aca="1" ref="B10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058" s="2">
        <f t="shared" ca="1" si="136"/>
        <v>3.0137414913341218</v>
      </c>
      <c r="D1058" s="4" t="str" cm="1">
        <f t="array" aca="1" ref="D10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58" s="2">
        <f t="shared" ca="1" si="137"/>
        <v>30.025875781637286</v>
      </c>
      <c r="F1058" s="4" t="str" cm="1">
        <f t="array" aca="1" ref="F10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58" s="2">
        <f t="shared" ca="1" si="138"/>
        <v>40.017416689283152</v>
      </c>
      <c r="H1058" s="47" t="str" cm="1">
        <f t="array" aca="1" ref="H10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59" spans="1:8" x14ac:dyDescent="0.25">
      <c r="A1059" s="2">
        <f t="shared" ca="1" si="135"/>
        <v>3.0077723102344307</v>
      </c>
      <c r="B1059" s="4" cm="1">
        <f t="array" aca="1" ref="B10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059" s="2">
        <f t="shared" ca="1" si="136"/>
        <v>3.0259506264690463</v>
      </c>
      <c r="D1059" s="4" t="str" cm="1">
        <f t="array" aca="1" ref="D10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59" s="2">
        <f t="shared" ca="1" si="137"/>
        <v>30.017255354074457</v>
      </c>
      <c r="F1059" s="4" t="str" cm="1">
        <f t="array" aca="1" ref="F10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59" s="2">
        <f t="shared" ca="1" si="138"/>
        <v>40.017586608471063</v>
      </c>
      <c r="H1059" s="47" t="str" cm="1">
        <f t="array" aca="1" ref="H10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60" spans="1:8" x14ac:dyDescent="0.25">
      <c r="A1060" s="2">
        <f t="shared" ca="1" si="135"/>
        <v>3.0033738971878297</v>
      </c>
      <c r="B1060" s="4" cm="1">
        <f t="array" aca="1" ref="B10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060" s="2">
        <f t="shared" ca="1" si="136"/>
        <v>3.012764533567271</v>
      </c>
      <c r="D1060" s="4" t="str" cm="1">
        <f t="array" aca="1" ref="D10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60" s="2">
        <f t="shared" ca="1" si="137"/>
        <v>30.009684095304237</v>
      </c>
      <c r="F1060" s="4" t="str" cm="1">
        <f t="array" aca="1" ref="F10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60" s="2">
        <f t="shared" ca="1" si="138"/>
        <v>40.015753759862719</v>
      </c>
      <c r="H1060" s="47" t="str" cm="1">
        <f t="array" aca="1" ref="H10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61" spans="1:8" x14ac:dyDescent="0.25">
      <c r="A1061" s="2">
        <f t="shared" ca="1" si="135"/>
        <v>3.0056726357181547</v>
      </c>
      <c r="B1061" s="4" cm="1">
        <f t="array" aca="1" ref="B10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061" s="2">
        <f t="shared" ca="1" si="136"/>
        <v>3.0159550337166472</v>
      </c>
      <c r="D1061" s="4" t="str" cm="1">
        <f t="array" aca="1" ref="D10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61" s="2">
        <f t="shared" ca="1" si="137"/>
        <v>30.013050095443269</v>
      </c>
      <c r="F1061" s="4" t="str" cm="1">
        <f t="array" aca="1" ref="F10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61" s="2">
        <f t="shared" ca="1" si="138"/>
        <v>40.020912592119018</v>
      </c>
      <c r="H1061" s="47" t="str" cm="1">
        <f t="array" aca="1" ref="H10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62" spans="1:8" x14ac:dyDescent="0.25">
      <c r="A1062" s="2">
        <f t="shared" ca="1" si="135"/>
        <v>3.0016804065907916</v>
      </c>
      <c r="B1062" s="4" cm="1">
        <f t="array" aca="1" ref="B10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062" s="2">
        <f t="shared" ca="1" si="136"/>
        <v>3.0175527985500663</v>
      </c>
      <c r="D1062" s="4" t="str" cm="1">
        <f t="array" aca="1" ref="D10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62" s="2">
        <f t="shared" ca="1" si="137"/>
        <v>30.010230152021521</v>
      </c>
      <c r="F1062" s="4" t="str" cm="1">
        <f t="array" aca="1" ref="F10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62" s="2">
        <f t="shared" ca="1" si="138"/>
        <v>40.004278909301263</v>
      </c>
      <c r="H1062" s="47" t="str" cm="1">
        <f t="array" aca="1" ref="H10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63" spans="1:8" x14ac:dyDescent="0.25">
      <c r="A1063" s="2">
        <f t="shared" ca="1" si="135"/>
        <v>3.0068035234085078</v>
      </c>
      <c r="B1063" s="4" cm="1">
        <f t="array" aca="1" ref="B10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063" s="2">
        <f t="shared" ca="1" si="136"/>
        <v>3.0269004809624147</v>
      </c>
      <c r="D1063" s="4" t="str" cm="1">
        <f t="array" aca="1" ref="D10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63" s="2">
        <f t="shared" ca="1" si="137"/>
        <v>30.028753753301267</v>
      </c>
      <c r="F1063" s="4" t="str" cm="1">
        <f t="array" aca="1" ref="F10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63" s="2">
        <f t="shared" ca="1" si="138"/>
        <v>40.028804093457879</v>
      </c>
      <c r="H1063" s="47" t="str" cm="1">
        <f t="array" aca="1" ref="H10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64" spans="1:8" x14ac:dyDescent="0.25">
      <c r="A1064" s="2">
        <f t="shared" ca="1" si="135"/>
        <v>3.003771932935996</v>
      </c>
      <c r="B1064" s="4" cm="1">
        <f t="array" aca="1" ref="B10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064" s="2">
        <f t="shared" ca="1" si="136"/>
        <v>3.0298465235988559</v>
      </c>
      <c r="D1064" s="4" t="str" cm="1">
        <f t="array" aca="1" ref="D10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64" s="2">
        <f t="shared" ca="1" si="137"/>
        <v>30.019360460315767</v>
      </c>
      <c r="F1064" s="4" t="str" cm="1">
        <f t="array" aca="1" ref="F10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64" s="2">
        <f t="shared" ca="1" si="138"/>
        <v>40.020076283690408</v>
      </c>
      <c r="H1064" s="47" t="str" cm="1">
        <f t="array" aca="1" ref="H10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65" spans="1:8" x14ac:dyDescent="0.25">
      <c r="A1065" s="2">
        <f t="shared" ca="1" si="135"/>
        <v>3.0063440849501473</v>
      </c>
      <c r="B1065" s="4" cm="1">
        <f t="array" aca="1" ref="B10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065" s="2">
        <f t="shared" ca="1" si="136"/>
        <v>3.027536633314877</v>
      </c>
      <c r="D1065" s="4" t="str" cm="1">
        <f t="array" aca="1" ref="D10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65" s="2">
        <f t="shared" ca="1" si="137"/>
        <v>30.023098866020366</v>
      </c>
      <c r="F1065" s="4" t="str" cm="1">
        <f t="array" aca="1" ref="F10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65" s="2">
        <f t="shared" ca="1" si="138"/>
        <v>40.00030832774312</v>
      </c>
      <c r="H1065" s="47" t="str" cm="1">
        <f t="array" aca="1" ref="H10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66" spans="1:8" x14ac:dyDescent="0.25">
      <c r="A1066" s="2">
        <f t="shared" ca="1" si="135"/>
        <v>3.0086592459824506</v>
      </c>
      <c r="B1066" s="4" cm="1">
        <f t="array" aca="1" ref="B10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066" s="2">
        <f t="shared" ca="1" si="136"/>
        <v>3.0113084436778585</v>
      </c>
      <c r="D1066" s="4" t="str" cm="1">
        <f t="array" aca="1" ref="D10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66" s="2">
        <f t="shared" ca="1" si="137"/>
        <v>30.022158451088664</v>
      </c>
      <c r="F1066" s="4" t="str" cm="1">
        <f t="array" aca="1" ref="F10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66" s="2">
        <f t="shared" ca="1" si="138"/>
        <v>40.004805749931123</v>
      </c>
      <c r="H1066" s="47" t="str" cm="1">
        <f t="array" aca="1" ref="H10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67" spans="1:8" x14ac:dyDescent="0.25">
      <c r="A1067" s="2">
        <f t="shared" ca="1" si="135"/>
        <v>3.000622332245924</v>
      </c>
      <c r="B1067" s="4" cm="1">
        <f t="array" aca="1" ref="B10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067" s="2">
        <f t="shared" ca="1" si="136"/>
        <v>3.02757323732434</v>
      </c>
      <c r="D1067" s="4" t="str" cm="1">
        <f t="array" aca="1" ref="D10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67" s="2">
        <f t="shared" ca="1" si="137"/>
        <v>30.005237075411834</v>
      </c>
      <c r="F1067" s="4" t="str" cm="1">
        <f t="array" aca="1" ref="F10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67" s="2">
        <f t="shared" ca="1" si="138"/>
        <v>40.012156160069289</v>
      </c>
      <c r="H1067" s="47" t="str" cm="1">
        <f t="array" aca="1" ref="H10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68" spans="1:8" x14ac:dyDescent="0.25">
      <c r="A1068" s="2">
        <f t="shared" ca="1" si="135"/>
        <v>3.0018691845568979</v>
      </c>
      <c r="B1068" s="4" cm="1">
        <f t="array" aca="1" ref="B10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068" s="2">
        <f t="shared" ca="1" si="136"/>
        <v>3.0182087521852985</v>
      </c>
      <c r="D1068" s="4" t="str" cm="1">
        <f t="array" aca="1" ref="D10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68" s="2">
        <f t="shared" ca="1" si="137"/>
        <v>30.005255069996878</v>
      </c>
      <c r="F1068" s="4" t="str" cm="1">
        <f t="array" aca="1" ref="F10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68" s="2">
        <f t="shared" ca="1" si="138"/>
        <v>40.017490693355001</v>
      </c>
      <c r="H1068" s="47" t="str" cm="1">
        <f t="array" aca="1" ref="H10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69" spans="1:8" x14ac:dyDescent="0.25">
      <c r="A1069" s="2">
        <f t="shared" ca="1" si="135"/>
        <v>3.0092986873738914</v>
      </c>
      <c r="B1069" s="4" cm="1">
        <f t="array" aca="1" ref="B10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069" s="2">
        <f t="shared" ca="1" si="136"/>
        <v>3.0269241583021169</v>
      </c>
      <c r="D1069" s="4" t="str" cm="1">
        <f t="array" aca="1" ref="D10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69" s="2">
        <f t="shared" ca="1" si="137"/>
        <v>30.018906752747654</v>
      </c>
      <c r="F1069" s="4" t="str" cm="1">
        <f t="array" aca="1" ref="F10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69" s="2">
        <f t="shared" ca="1" si="138"/>
        <v>40.004467867487016</v>
      </c>
      <c r="H1069" s="47" t="str" cm="1">
        <f t="array" aca="1" ref="H10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70" spans="1:8" x14ac:dyDescent="0.25">
      <c r="A1070" s="2">
        <f t="shared" ca="1" si="135"/>
        <v>3.0041900462948838</v>
      </c>
      <c r="B1070" s="4" cm="1">
        <f t="array" aca="1" ref="B10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070" s="2">
        <f t="shared" ca="1" si="136"/>
        <v>3.026345538815518</v>
      </c>
      <c r="D1070" s="4" t="str" cm="1">
        <f t="array" aca="1" ref="D10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70" s="2">
        <f t="shared" ca="1" si="137"/>
        <v>30.02271614904873</v>
      </c>
      <c r="F1070" s="4" t="str" cm="1">
        <f t="array" aca="1" ref="F10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70" s="2">
        <f t="shared" ca="1" si="138"/>
        <v>40.023323990944249</v>
      </c>
      <c r="H1070" s="47" t="str" cm="1">
        <f t="array" aca="1" ref="H10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71" spans="1:8" x14ac:dyDescent="0.25">
      <c r="A1071" s="2">
        <f t="shared" ca="1" si="135"/>
        <v>3.0085160028044582</v>
      </c>
      <c r="B1071" s="4" cm="1">
        <f t="array" aca="1" ref="B10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071" s="2">
        <f t="shared" ca="1" si="136"/>
        <v>3.0014729047733768</v>
      </c>
      <c r="D1071" s="4" t="str" cm="1">
        <f t="array" aca="1" ref="D10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71" s="2">
        <f t="shared" ca="1" si="137"/>
        <v>30.009181771888485</v>
      </c>
      <c r="F1071" s="4" t="str" cm="1">
        <f t="array" aca="1" ref="F10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71" s="2">
        <f t="shared" ca="1" si="138"/>
        <v>40.002770003806425</v>
      </c>
      <c r="H1071" s="47" t="str" cm="1">
        <f t="array" aca="1" ref="H10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72" spans="1:8" x14ac:dyDescent="0.25">
      <c r="A1072" s="2">
        <f t="shared" ca="1" si="135"/>
        <v>3.0062112080255994</v>
      </c>
      <c r="B1072" s="4" cm="1">
        <f t="array" aca="1" ref="B10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072" s="2">
        <f t="shared" ca="1" si="136"/>
        <v>3.0189018573698041</v>
      </c>
      <c r="D1072" s="4" t="str" cm="1">
        <f t="array" aca="1" ref="D10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72" s="2">
        <f t="shared" ca="1" si="137"/>
        <v>30.017321085529566</v>
      </c>
      <c r="F1072" s="4" t="str" cm="1">
        <f t="array" aca="1" ref="F10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72" s="2">
        <f t="shared" ca="1" si="138"/>
        <v>40.003856969892503</v>
      </c>
      <c r="H1072" s="47" t="str" cm="1">
        <f t="array" aca="1" ref="H10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73" spans="1:8" x14ac:dyDescent="0.25">
      <c r="A1073" s="2">
        <f t="shared" ca="1" si="135"/>
        <v>3.0022722218241644</v>
      </c>
      <c r="B1073" s="4" cm="1">
        <f t="array" aca="1" ref="B10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073" s="2">
        <f t="shared" ca="1" si="136"/>
        <v>3.0148951523070289</v>
      </c>
      <c r="D1073" s="4" t="str" cm="1">
        <f t="array" aca="1" ref="D10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73" s="2">
        <f t="shared" ca="1" si="137"/>
        <v>30.022182424544319</v>
      </c>
      <c r="F1073" s="4" t="str" cm="1">
        <f t="array" aca="1" ref="F10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73" s="2">
        <f t="shared" ca="1" si="138"/>
        <v>40.024571726230782</v>
      </c>
      <c r="H1073" s="47" t="str" cm="1">
        <f t="array" aca="1" ref="H10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74" spans="1:8" x14ac:dyDescent="0.25">
      <c r="A1074" s="2">
        <f t="shared" ca="1" si="135"/>
        <v>3.0035271947768174</v>
      </c>
      <c r="B1074" s="4" cm="1">
        <f t="array" aca="1" ref="B10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074" s="2">
        <f t="shared" ca="1" si="136"/>
        <v>3.0057792101022653</v>
      </c>
      <c r="D1074" s="4" t="str" cm="1">
        <f t="array" aca="1" ref="D10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74" s="2">
        <f t="shared" ca="1" si="137"/>
        <v>30.027701680557971</v>
      </c>
      <c r="F1074" s="4" t="str" cm="1">
        <f t="array" aca="1" ref="F10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74" s="2">
        <f t="shared" ca="1" si="138"/>
        <v>40.015938185678479</v>
      </c>
      <c r="H1074" s="47" t="str" cm="1">
        <f t="array" aca="1" ref="H10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75" spans="1:8" x14ac:dyDescent="0.25">
      <c r="A1075" s="2">
        <f t="shared" ca="1" si="135"/>
        <v>3.0052739797216934</v>
      </c>
      <c r="B1075" s="4" cm="1">
        <f t="array" aca="1" ref="B10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075" s="2">
        <f t="shared" ca="1" si="136"/>
        <v>3.0062023820570327</v>
      </c>
      <c r="D1075" s="4" t="str" cm="1">
        <f t="array" aca="1" ref="D10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75" s="2">
        <f t="shared" ca="1" si="137"/>
        <v>30.019879009074049</v>
      </c>
      <c r="F1075" s="4" t="str" cm="1">
        <f t="array" aca="1" ref="F10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75" s="2">
        <f t="shared" ca="1" si="138"/>
        <v>40.00653231348484</v>
      </c>
      <c r="H1075" s="47" t="str" cm="1">
        <f t="array" aca="1" ref="H10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76" spans="1:8" x14ac:dyDescent="0.25">
      <c r="A1076" s="2">
        <f t="shared" ca="1" si="135"/>
        <v>3.0042295815460833</v>
      </c>
      <c r="B1076" s="4" cm="1">
        <f t="array" aca="1" ref="B10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076" s="2">
        <f t="shared" ca="1" si="136"/>
        <v>3.0239634602039365</v>
      </c>
      <c r="D1076" s="4" t="str" cm="1">
        <f t="array" aca="1" ref="D10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76" s="2">
        <f t="shared" ca="1" si="137"/>
        <v>30.027080543886367</v>
      </c>
      <c r="F1076" s="4" t="str" cm="1">
        <f t="array" aca="1" ref="F10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76" s="2">
        <f t="shared" ca="1" si="138"/>
        <v>40.026729117115231</v>
      </c>
      <c r="H1076" s="47" t="str" cm="1">
        <f t="array" aca="1" ref="H10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77" spans="1:8" x14ac:dyDescent="0.25">
      <c r="A1077" s="2">
        <f t="shared" ca="1" si="135"/>
        <v>3.0030808748933451</v>
      </c>
      <c r="B1077" s="4" cm="1">
        <f t="array" aca="1" ref="B10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077" s="2">
        <f t="shared" ca="1" si="136"/>
        <v>3.0094834916368809</v>
      </c>
      <c r="D1077" s="4" t="str" cm="1">
        <f t="array" aca="1" ref="D10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77" s="2">
        <f t="shared" ca="1" si="137"/>
        <v>30.029674401163049</v>
      </c>
      <c r="F1077" s="4" t="str" cm="1">
        <f t="array" aca="1" ref="F10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77" s="2">
        <f t="shared" ca="1" si="138"/>
        <v>40.016336049773045</v>
      </c>
      <c r="H1077" s="47" t="str" cm="1">
        <f t="array" aca="1" ref="H10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78" spans="1:8" x14ac:dyDescent="0.25">
      <c r="A1078" s="2">
        <f t="shared" ca="1" si="135"/>
        <v>3.0009917698115531</v>
      </c>
      <c r="B1078" s="4" cm="1">
        <f t="array" aca="1" ref="B10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078" s="2">
        <f t="shared" ca="1" si="136"/>
        <v>3.0161162365605714</v>
      </c>
      <c r="D1078" s="4" t="str" cm="1">
        <f t="array" aca="1" ref="D10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78" s="2">
        <f t="shared" ca="1" si="137"/>
        <v>30.006196694344808</v>
      </c>
      <c r="F1078" s="4" t="str" cm="1">
        <f t="array" aca="1" ref="F10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78" s="2">
        <f t="shared" ca="1" si="138"/>
        <v>40.017323319862257</v>
      </c>
      <c r="H1078" s="47" t="str" cm="1">
        <f t="array" aca="1" ref="H10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79" spans="1:8" x14ac:dyDescent="0.25">
      <c r="A1079" s="2">
        <f t="shared" ca="1" si="135"/>
        <v>3.0044853039887238</v>
      </c>
      <c r="B1079" s="4" cm="1">
        <f t="array" aca="1" ref="B10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079" s="2">
        <f t="shared" ca="1" si="136"/>
        <v>3.0214520280167743</v>
      </c>
      <c r="D1079" s="4" t="str" cm="1">
        <f t="array" aca="1" ref="D10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79" s="2">
        <f t="shared" ca="1" si="137"/>
        <v>30.029626135930428</v>
      </c>
      <c r="F1079" s="4" t="str" cm="1">
        <f t="array" aca="1" ref="F10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79" s="2">
        <f t="shared" ca="1" si="138"/>
        <v>40.019793802686742</v>
      </c>
      <c r="H1079" s="47" t="str" cm="1">
        <f t="array" aca="1" ref="H10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80" spans="1:8" x14ac:dyDescent="0.25">
      <c r="A1080" s="2">
        <f t="shared" ca="1" si="135"/>
        <v>3.0070548736922316</v>
      </c>
      <c r="B1080" s="4" cm="1">
        <f t="array" aca="1" ref="B10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080" s="2">
        <f t="shared" ca="1" si="136"/>
        <v>3.029059555672394</v>
      </c>
      <c r="D1080" s="4" t="str" cm="1">
        <f t="array" aca="1" ref="D10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80" s="2">
        <f t="shared" ca="1" si="137"/>
        <v>30.029733353626057</v>
      </c>
      <c r="F1080" s="4" t="str" cm="1">
        <f t="array" aca="1" ref="F10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80" s="2">
        <f t="shared" ca="1" si="138"/>
        <v>40.000231959162591</v>
      </c>
      <c r="H1080" s="47" t="str" cm="1">
        <f t="array" aca="1" ref="H10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81" spans="1:8" x14ac:dyDescent="0.25">
      <c r="A1081" s="2">
        <f t="shared" ca="1" si="135"/>
        <v>3.0005360762723119</v>
      </c>
      <c r="B1081" s="4" cm="1">
        <f t="array" aca="1" ref="B10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081" s="2">
        <f t="shared" ca="1" si="136"/>
        <v>3.0254845187578363</v>
      </c>
      <c r="D1081" s="4" t="str" cm="1">
        <f t="array" aca="1" ref="D10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81" s="2">
        <f t="shared" ca="1" si="137"/>
        <v>30.027886293853499</v>
      </c>
      <c r="F1081" s="4" t="str" cm="1">
        <f t="array" aca="1" ref="F10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81" s="2">
        <f t="shared" ca="1" si="138"/>
        <v>40.0146335473788</v>
      </c>
      <c r="H1081" s="47" t="str" cm="1">
        <f t="array" aca="1" ref="H10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82" spans="1:8" x14ac:dyDescent="0.25">
      <c r="A1082" s="2">
        <f t="shared" ca="1" si="135"/>
        <v>3.003404178518998</v>
      </c>
      <c r="B1082" s="4" cm="1">
        <f t="array" aca="1" ref="B10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082" s="2">
        <f t="shared" ca="1" si="136"/>
        <v>3.0069465654034189</v>
      </c>
      <c r="D1082" s="4" t="str" cm="1">
        <f t="array" aca="1" ref="D10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82" s="2">
        <f t="shared" ca="1" si="137"/>
        <v>30.020063426336616</v>
      </c>
      <c r="F1082" s="4" t="str" cm="1">
        <f t="array" aca="1" ref="F10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82" s="2">
        <f t="shared" ca="1" si="138"/>
        <v>40.003008178167491</v>
      </c>
      <c r="H1082" s="47" t="str" cm="1">
        <f t="array" aca="1" ref="H10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83" spans="1:8" x14ac:dyDescent="0.25">
      <c r="A1083" s="2">
        <f t="shared" ca="1" si="135"/>
        <v>3.0036720711251794</v>
      </c>
      <c r="B1083" s="4" cm="1">
        <f t="array" aca="1" ref="B10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083" s="2">
        <f t="shared" ca="1" si="136"/>
        <v>3.0093197571571717</v>
      </c>
      <c r="D1083" s="4" t="str" cm="1">
        <f t="array" aca="1" ref="D10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83" s="2">
        <f t="shared" ca="1" si="137"/>
        <v>30.014111008171419</v>
      </c>
      <c r="F1083" s="4" t="str" cm="1">
        <f t="array" aca="1" ref="F10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83" s="2">
        <f t="shared" ca="1" si="138"/>
        <v>40.023522289321022</v>
      </c>
      <c r="H1083" s="47" t="str" cm="1">
        <f t="array" aca="1" ref="H10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84" spans="1:8" x14ac:dyDescent="0.25">
      <c r="A1084" s="2">
        <f t="shared" ca="1" si="135"/>
        <v>3.0040549982828511</v>
      </c>
      <c r="B1084" s="4" cm="1">
        <f t="array" aca="1" ref="B10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084" s="2">
        <f t="shared" ca="1" si="136"/>
        <v>3.0094367095889334</v>
      </c>
      <c r="D1084" s="4" t="str" cm="1">
        <f t="array" aca="1" ref="D10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84" s="2">
        <f t="shared" ca="1" si="137"/>
        <v>30.014201464397846</v>
      </c>
      <c r="F1084" s="4" t="str" cm="1">
        <f t="array" aca="1" ref="F10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84" s="2">
        <f t="shared" ca="1" si="138"/>
        <v>40.029939529635129</v>
      </c>
      <c r="H1084" s="47" t="str" cm="1">
        <f t="array" aca="1" ref="H10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85" spans="1:8" x14ac:dyDescent="0.25">
      <c r="A1085" s="2">
        <f t="shared" ca="1" si="135"/>
        <v>3.0004924388836347</v>
      </c>
      <c r="B1085" s="4" cm="1">
        <f t="array" aca="1" ref="B10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085" s="2">
        <f t="shared" ca="1" si="136"/>
        <v>3.0077493364413552</v>
      </c>
      <c r="D1085" s="4" t="str" cm="1">
        <f t="array" aca="1" ref="D10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85" s="2">
        <f t="shared" ca="1" si="137"/>
        <v>30.016672040056569</v>
      </c>
      <c r="F1085" s="4" t="str" cm="1">
        <f t="array" aca="1" ref="F10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85" s="2">
        <f t="shared" ca="1" si="138"/>
        <v>40.019741779128353</v>
      </c>
      <c r="H1085" s="47" t="str" cm="1">
        <f t="array" aca="1" ref="H10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86" spans="1:8" x14ac:dyDescent="0.25">
      <c r="A1086" s="2">
        <f t="shared" ca="1" si="135"/>
        <v>3.0041283327846937</v>
      </c>
      <c r="B1086" s="4" cm="1">
        <f t="array" aca="1" ref="B10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086" s="2">
        <f t="shared" ca="1" si="136"/>
        <v>3.0253376800582443</v>
      </c>
      <c r="D1086" s="4" t="str" cm="1">
        <f t="array" aca="1" ref="D10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86" s="2">
        <f t="shared" ca="1" si="137"/>
        <v>30.016600778823197</v>
      </c>
      <c r="F1086" s="4" t="str" cm="1">
        <f t="array" aca="1" ref="F10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86" s="2">
        <f t="shared" ca="1" si="138"/>
        <v>40.022897942726573</v>
      </c>
      <c r="H1086" s="47" t="str" cm="1">
        <f t="array" aca="1" ref="H10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87" spans="1:8" x14ac:dyDescent="0.25">
      <c r="A1087" s="2">
        <f t="shared" ca="1" si="135"/>
        <v>3.0061937794595708</v>
      </c>
      <c r="B1087" s="4" cm="1">
        <f t="array" aca="1" ref="B10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087" s="2">
        <f t="shared" ca="1" si="136"/>
        <v>3.0213558051579485</v>
      </c>
      <c r="D1087" s="4" t="str" cm="1">
        <f t="array" aca="1" ref="D10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87" s="2">
        <f t="shared" ca="1" si="137"/>
        <v>30.003405750247389</v>
      </c>
      <c r="F1087" s="4" t="str" cm="1">
        <f t="array" aca="1" ref="F10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87" s="2">
        <f t="shared" ca="1" si="138"/>
        <v>40.01785338502031</v>
      </c>
      <c r="H1087" s="47" t="str" cm="1">
        <f t="array" aca="1" ref="H10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88" spans="1:8" x14ac:dyDescent="0.25">
      <c r="A1088" s="2">
        <f t="shared" ca="1" si="135"/>
        <v>3.0061548955219428</v>
      </c>
      <c r="B1088" s="4" cm="1">
        <f t="array" aca="1" ref="B10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088" s="2">
        <f t="shared" ca="1" si="136"/>
        <v>3.0107567745791082</v>
      </c>
      <c r="D1088" s="4" t="str" cm="1">
        <f t="array" aca="1" ref="D10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88" s="2">
        <f t="shared" ca="1" si="137"/>
        <v>30.026424506789507</v>
      </c>
      <c r="F1088" s="4" t="str" cm="1">
        <f t="array" aca="1" ref="F10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88" s="2">
        <f t="shared" ca="1" si="138"/>
        <v>40.022096774012596</v>
      </c>
      <c r="H1088" s="47" t="str" cm="1">
        <f t="array" aca="1" ref="H10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89" spans="1:8" x14ac:dyDescent="0.25">
      <c r="A1089" s="2">
        <f t="shared" ca="1" si="135"/>
        <v>3.0037067510447728</v>
      </c>
      <c r="B1089" s="4" cm="1">
        <f t="array" aca="1" ref="B10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089" s="2">
        <f t="shared" ca="1" si="136"/>
        <v>3.0176955650749782</v>
      </c>
      <c r="D1089" s="4" t="str" cm="1">
        <f t="array" aca="1" ref="D10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89" s="2">
        <f t="shared" ca="1" si="137"/>
        <v>30.016763043853722</v>
      </c>
      <c r="F1089" s="4" t="str" cm="1">
        <f t="array" aca="1" ref="F10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89" s="2">
        <f t="shared" ca="1" si="138"/>
        <v>40.028364031898676</v>
      </c>
      <c r="H1089" s="47" t="str" cm="1">
        <f t="array" aca="1" ref="H10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90" spans="1:8" x14ac:dyDescent="0.25">
      <c r="A1090" s="2">
        <f t="shared" ref="A1090:A1153" ca="1" si="139">3+RAND()*0.01</f>
        <v>3.0016148819790125</v>
      </c>
      <c r="B1090" s="4" cm="1">
        <f t="array" aca="1" ref="B10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090" s="2">
        <f t="shared" ref="C1090:C1153" ca="1" si="140">3+RAND()*0.03</f>
        <v>3.0042434360714094</v>
      </c>
      <c r="D1090" s="4" t="str" cm="1">
        <f t="array" aca="1" ref="D10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90" s="2">
        <f t="shared" ref="E1090:E1153" ca="1" si="141">30+RAND()*0.03</f>
        <v>30.016889396820059</v>
      </c>
      <c r="F1090" s="4" t="str" cm="1">
        <f t="array" aca="1" ref="F10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90" s="2">
        <f t="shared" ref="G1090:G1153" ca="1" si="142">40+RAND()*0.03</f>
        <v>40.022076162252183</v>
      </c>
      <c r="H1090" s="47" t="str" cm="1">
        <f t="array" aca="1" ref="H10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91" spans="1:8" x14ac:dyDescent="0.25">
      <c r="A1091" s="2">
        <f t="shared" ca="1" si="139"/>
        <v>3.0039824016085941</v>
      </c>
      <c r="B1091" s="4" cm="1">
        <f t="array" aca="1" ref="B10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091" s="2">
        <f t="shared" ca="1" si="140"/>
        <v>3.0044816875119831</v>
      </c>
      <c r="D1091" s="4" t="str" cm="1">
        <f t="array" aca="1" ref="D10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91" s="2">
        <f t="shared" ca="1" si="141"/>
        <v>30.009218537436066</v>
      </c>
      <c r="F1091" s="4" t="str" cm="1">
        <f t="array" aca="1" ref="F10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91" s="2">
        <f t="shared" ca="1" si="142"/>
        <v>40.010222097143817</v>
      </c>
      <c r="H1091" s="47" t="str" cm="1">
        <f t="array" aca="1" ref="H10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92" spans="1:8" x14ac:dyDescent="0.25">
      <c r="A1092" s="2">
        <f t="shared" ca="1" si="139"/>
        <v>3.0077122302165864</v>
      </c>
      <c r="B1092" s="4" cm="1">
        <f t="array" aca="1" ref="B10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092" s="2">
        <f t="shared" ca="1" si="140"/>
        <v>3.0149411918601738</v>
      </c>
      <c r="D1092" s="4" t="str" cm="1">
        <f t="array" aca="1" ref="D10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92" s="2">
        <f t="shared" ca="1" si="141"/>
        <v>30.010905533007733</v>
      </c>
      <c r="F1092" s="4" t="str" cm="1">
        <f t="array" aca="1" ref="F10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92" s="2">
        <f t="shared" ca="1" si="142"/>
        <v>40.025183894496756</v>
      </c>
      <c r="H1092" s="47" t="str" cm="1">
        <f t="array" aca="1" ref="H10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93" spans="1:8" x14ac:dyDescent="0.25">
      <c r="A1093" s="2">
        <f t="shared" ca="1" si="139"/>
        <v>3.0053315251311923</v>
      </c>
      <c r="B1093" s="4" cm="1">
        <f t="array" aca="1" ref="B10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093" s="2">
        <f t="shared" ca="1" si="140"/>
        <v>3.0211454643428053</v>
      </c>
      <c r="D1093" s="4" t="str" cm="1">
        <f t="array" aca="1" ref="D10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93" s="2">
        <f t="shared" ca="1" si="141"/>
        <v>30.010749540983372</v>
      </c>
      <c r="F1093" s="4" t="str" cm="1">
        <f t="array" aca="1" ref="F10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93" s="2">
        <f t="shared" ca="1" si="142"/>
        <v>40.024824880240871</v>
      </c>
      <c r="H1093" s="47" t="str" cm="1">
        <f t="array" aca="1" ref="H10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94" spans="1:8" x14ac:dyDescent="0.25">
      <c r="A1094" s="2">
        <f t="shared" ca="1" si="139"/>
        <v>3.0064787124417065</v>
      </c>
      <c r="B1094" s="4" cm="1">
        <f t="array" aca="1" ref="B10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094" s="2">
        <f t="shared" ca="1" si="140"/>
        <v>3.0012601825016438</v>
      </c>
      <c r="D1094" s="4" t="str" cm="1">
        <f t="array" aca="1" ref="D10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94" s="2">
        <f t="shared" ca="1" si="141"/>
        <v>30.002233249130612</v>
      </c>
      <c r="F1094" s="4" t="str" cm="1">
        <f t="array" aca="1" ref="F10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094" s="2">
        <f t="shared" ca="1" si="142"/>
        <v>40.027889609130121</v>
      </c>
      <c r="H1094" s="47" t="str" cm="1">
        <f t="array" aca="1" ref="H10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095" spans="1:8" x14ac:dyDescent="0.25">
      <c r="A1095" s="2">
        <f t="shared" ca="1" si="139"/>
        <v>3.0064875856754449</v>
      </c>
      <c r="B1095" s="4" cm="1">
        <f t="array" aca="1" ref="B10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095" s="2">
        <f t="shared" ca="1" si="140"/>
        <v>3.0275936641690522</v>
      </c>
      <c r="D1095" s="4" t="str" cm="1">
        <f t="array" aca="1" ref="D10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95" s="2">
        <f t="shared" ca="1" si="141"/>
        <v>30.021714878168055</v>
      </c>
      <c r="F1095" s="4" t="str" cm="1">
        <f t="array" aca="1" ref="F10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95" s="2">
        <f t="shared" ca="1" si="142"/>
        <v>40.018208871410813</v>
      </c>
      <c r="H1095" s="47" t="str" cm="1">
        <f t="array" aca="1" ref="H10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96" spans="1:8" x14ac:dyDescent="0.25">
      <c r="A1096" s="2">
        <f t="shared" ca="1" si="139"/>
        <v>3.000572016451974</v>
      </c>
      <c r="B1096" s="4" cm="1">
        <f t="array" aca="1" ref="B10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096" s="2">
        <f t="shared" ca="1" si="140"/>
        <v>3.0089381025847342</v>
      </c>
      <c r="D1096" s="4" t="str" cm="1">
        <f t="array" aca="1" ref="D10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096" s="2">
        <f t="shared" ca="1" si="141"/>
        <v>30.021354400888683</v>
      </c>
      <c r="F1096" s="4" t="str" cm="1">
        <f t="array" aca="1" ref="F10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96" s="2">
        <f t="shared" ca="1" si="142"/>
        <v>40.004332126713578</v>
      </c>
      <c r="H1096" s="47" t="str" cm="1">
        <f t="array" aca="1" ref="H10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97" spans="1:8" x14ac:dyDescent="0.25">
      <c r="A1097" s="2">
        <f t="shared" ca="1" si="139"/>
        <v>3.0079279861867088</v>
      </c>
      <c r="B1097" s="4" cm="1">
        <f t="array" aca="1" ref="B10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097" s="2">
        <f t="shared" ca="1" si="140"/>
        <v>3.0175273037943371</v>
      </c>
      <c r="D1097" s="4" t="str" cm="1">
        <f t="array" aca="1" ref="D10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097" s="2">
        <f t="shared" ca="1" si="141"/>
        <v>30.0205771358333</v>
      </c>
      <c r="F1097" s="4" t="str" cm="1">
        <f t="array" aca="1" ref="F10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097" s="2">
        <f t="shared" ca="1" si="142"/>
        <v>40.002905917578239</v>
      </c>
      <c r="H1097" s="47" t="str" cm="1">
        <f t="array" aca="1" ref="H10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098" spans="1:8" x14ac:dyDescent="0.25">
      <c r="A1098" s="2">
        <f t="shared" ca="1" si="139"/>
        <v>3.0052263015184466</v>
      </c>
      <c r="B1098" s="4" cm="1">
        <f t="array" aca="1" ref="B10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098" s="2">
        <f t="shared" ca="1" si="140"/>
        <v>3.0225844918492291</v>
      </c>
      <c r="D1098" s="4" t="str" cm="1">
        <f t="array" aca="1" ref="D10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98" s="2">
        <f t="shared" ca="1" si="141"/>
        <v>30.01921472716111</v>
      </c>
      <c r="F1098" s="4" t="str" cm="1">
        <f t="array" aca="1" ref="F10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98" s="2">
        <f t="shared" ca="1" si="142"/>
        <v>40.013084580710434</v>
      </c>
      <c r="H1098" s="47" t="str" cm="1">
        <f t="array" aca="1" ref="H10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099" spans="1:8" x14ac:dyDescent="0.25">
      <c r="A1099" s="2">
        <f t="shared" ca="1" si="139"/>
        <v>3.0042489716521472</v>
      </c>
      <c r="B1099" s="4" cm="1">
        <f t="array" aca="1" ref="B10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099" s="2">
        <f t="shared" ca="1" si="140"/>
        <v>3.0252046995313022</v>
      </c>
      <c r="D1099" s="4" t="str" cm="1">
        <f t="array" aca="1" ref="D10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099" s="2">
        <f t="shared" ca="1" si="141"/>
        <v>30.018913083641479</v>
      </c>
      <c r="F1099" s="4" t="str" cm="1">
        <f t="array" aca="1" ref="F10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099" s="2">
        <f t="shared" ca="1" si="142"/>
        <v>40.00565087036226</v>
      </c>
      <c r="H1099" s="47" t="str" cm="1">
        <f t="array" aca="1" ref="H10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00" spans="1:8" x14ac:dyDescent="0.25">
      <c r="A1100" s="2">
        <f t="shared" ca="1" si="139"/>
        <v>3.0018541989243666</v>
      </c>
      <c r="B1100" s="4" cm="1">
        <f t="array" aca="1" ref="B11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100" s="2">
        <f t="shared" ca="1" si="140"/>
        <v>3.025349348602798</v>
      </c>
      <c r="D1100" s="4" t="str" cm="1">
        <f t="array" aca="1" ref="D11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00" s="2">
        <f t="shared" ca="1" si="141"/>
        <v>30.024575248295879</v>
      </c>
      <c r="F1100" s="4" t="str" cm="1">
        <f t="array" aca="1" ref="F11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00" s="2">
        <f t="shared" ca="1" si="142"/>
        <v>40.00679163356665</v>
      </c>
      <c r="H1100" s="47" t="str" cm="1">
        <f t="array" aca="1" ref="H11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01" spans="1:8" x14ac:dyDescent="0.25">
      <c r="A1101" s="2">
        <f t="shared" ca="1" si="139"/>
        <v>3.0070335040510408</v>
      </c>
      <c r="B1101" s="4" cm="1">
        <f t="array" aca="1" ref="B11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101" s="2">
        <f t="shared" ca="1" si="140"/>
        <v>3.0201055218221864</v>
      </c>
      <c r="D1101" s="4" t="str" cm="1">
        <f t="array" aca="1" ref="D11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01" s="2">
        <f t="shared" ca="1" si="141"/>
        <v>30.021198673058855</v>
      </c>
      <c r="F1101" s="4" t="str" cm="1">
        <f t="array" aca="1" ref="F11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01" s="2">
        <f t="shared" ca="1" si="142"/>
        <v>40.007151021312787</v>
      </c>
      <c r="H1101" s="47" t="str" cm="1">
        <f t="array" aca="1" ref="H11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02" spans="1:8" x14ac:dyDescent="0.25">
      <c r="A1102" s="2">
        <f t="shared" ca="1" si="139"/>
        <v>3.0068543566607002</v>
      </c>
      <c r="B1102" s="4" cm="1">
        <f t="array" aca="1" ref="B11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02" s="2">
        <f t="shared" ca="1" si="140"/>
        <v>3.0275475635483589</v>
      </c>
      <c r="D1102" s="4" t="str" cm="1">
        <f t="array" aca="1" ref="D11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02" s="2">
        <f t="shared" ca="1" si="141"/>
        <v>30.00863798167001</v>
      </c>
      <c r="F1102" s="4" t="str" cm="1">
        <f t="array" aca="1" ref="F11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02" s="2">
        <f t="shared" ca="1" si="142"/>
        <v>40.01567647212898</v>
      </c>
      <c r="H1102" s="47" t="str" cm="1">
        <f t="array" aca="1" ref="H11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03" spans="1:8" x14ac:dyDescent="0.25">
      <c r="A1103" s="2">
        <f t="shared" ca="1" si="139"/>
        <v>3.004563135838775</v>
      </c>
      <c r="B1103" s="4" cm="1">
        <f t="array" aca="1" ref="B11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103" s="2">
        <f t="shared" ca="1" si="140"/>
        <v>3.0043257555207772</v>
      </c>
      <c r="D1103" s="4" t="str" cm="1">
        <f t="array" aca="1" ref="D11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03" s="2">
        <f t="shared" ca="1" si="141"/>
        <v>30.010473239170985</v>
      </c>
      <c r="F1103" s="4" t="str" cm="1">
        <f t="array" aca="1" ref="F11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03" s="2">
        <f t="shared" ca="1" si="142"/>
        <v>40.021559454641967</v>
      </c>
      <c r="H1103" s="47" t="str" cm="1">
        <f t="array" aca="1" ref="H11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04" spans="1:8" x14ac:dyDescent="0.25">
      <c r="A1104" s="2">
        <f t="shared" ca="1" si="139"/>
        <v>3.0089466710945736</v>
      </c>
      <c r="B1104" s="4" cm="1">
        <f t="array" aca="1" ref="B11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104" s="2">
        <f t="shared" ca="1" si="140"/>
        <v>3.0146263555154307</v>
      </c>
      <c r="D1104" s="4" t="str" cm="1">
        <f t="array" aca="1" ref="D11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04" s="2">
        <f t="shared" ca="1" si="141"/>
        <v>30.015039061716685</v>
      </c>
      <c r="F1104" s="4" t="str" cm="1">
        <f t="array" aca="1" ref="F11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04" s="2">
        <f t="shared" ca="1" si="142"/>
        <v>40.010430234047696</v>
      </c>
      <c r="H1104" s="47" t="str" cm="1">
        <f t="array" aca="1" ref="H11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05" spans="1:8" x14ac:dyDescent="0.25">
      <c r="A1105" s="2">
        <f t="shared" ca="1" si="139"/>
        <v>3.0051616983603933</v>
      </c>
      <c r="B1105" s="4" cm="1">
        <f t="array" aca="1" ref="B11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105" s="2">
        <f t="shared" ca="1" si="140"/>
        <v>3.0051158268091678</v>
      </c>
      <c r="D1105" s="4" t="str" cm="1">
        <f t="array" aca="1" ref="D11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05" s="2">
        <f t="shared" ca="1" si="141"/>
        <v>30.003736667613712</v>
      </c>
      <c r="F1105" s="4" t="str" cm="1">
        <f t="array" aca="1" ref="F11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05" s="2">
        <f t="shared" ca="1" si="142"/>
        <v>40.011006606636869</v>
      </c>
      <c r="H1105" s="47" t="str" cm="1">
        <f t="array" aca="1" ref="H11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06" spans="1:8" x14ac:dyDescent="0.25">
      <c r="A1106" s="2">
        <f t="shared" ca="1" si="139"/>
        <v>3.0006022679618112</v>
      </c>
      <c r="B1106" s="4" cm="1">
        <f t="array" aca="1" ref="B11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106" s="2">
        <f t="shared" ca="1" si="140"/>
        <v>3.0006000877438157</v>
      </c>
      <c r="D1106" s="4" t="str" cm="1">
        <f t="array" aca="1" ref="D11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06" s="2">
        <f t="shared" ca="1" si="141"/>
        <v>30.026765798655969</v>
      </c>
      <c r="F1106" s="4" t="str" cm="1">
        <f t="array" aca="1" ref="F11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06" s="2">
        <f t="shared" ca="1" si="142"/>
        <v>40.003387540015787</v>
      </c>
      <c r="H1106" s="47" t="str" cm="1">
        <f t="array" aca="1" ref="H11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07" spans="1:8" x14ac:dyDescent="0.25">
      <c r="A1107" s="2">
        <f t="shared" ca="1" si="139"/>
        <v>3.0033629590037969</v>
      </c>
      <c r="B1107" s="4" cm="1">
        <f t="array" aca="1" ref="B11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107" s="2">
        <f t="shared" ca="1" si="140"/>
        <v>3.028404903973736</v>
      </c>
      <c r="D1107" s="4" t="str" cm="1">
        <f t="array" aca="1" ref="D11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07" s="2">
        <f t="shared" ca="1" si="141"/>
        <v>30.020992533824099</v>
      </c>
      <c r="F1107" s="4" t="str" cm="1">
        <f t="array" aca="1" ref="F11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07" s="2">
        <f t="shared" ca="1" si="142"/>
        <v>40.013416236468366</v>
      </c>
      <c r="H1107" s="47" t="str" cm="1">
        <f t="array" aca="1" ref="H11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08" spans="1:8" x14ac:dyDescent="0.25">
      <c r="A1108" s="2">
        <f t="shared" ca="1" si="139"/>
        <v>3.0080901113252878</v>
      </c>
      <c r="B1108" s="4" cm="1">
        <f t="array" aca="1" ref="B11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108" s="2">
        <f t="shared" ca="1" si="140"/>
        <v>3.0294141982082037</v>
      </c>
      <c r="D1108" s="4" t="str" cm="1">
        <f t="array" aca="1" ref="D11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08" s="2">
        <f t="shared" ca="1" si="141"/>
        <v>30.02386496096695</v>
      </c>
      <c r="F1108" s="4" t="str" cm="1">
        <f t="array" aca="1" ref="F11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08" s="2">
        <f t="shared" ca="1" si="142"/>
        <v>40.028311109094957</v>
      </c>
      <c r="H1108" s="47" t="str" cm="1">
        <f t="array" aca="1" ref="H11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09" spans="1:8" x14ac:dyDescent="0.25">
      <c r="A1109" s="2">
        <f t="shared" ca="1" si="139"/>
        <v>3.0025747600902357</v>
      </c>
      <c r="B1109" s="4" cm="1">
        <f t="array" aca="1" ref="B11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109" s="2">
        <f t="shared" ca="1" si="140"/>
        <v>3.016047636887532</v>
      </c>
      <c r="D1109" s="4" t="str" cm="1">
        <f t="array" aca="1" ref="D11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09" s="2">
        <f t="shared" ca="1" si="141"/>
        <v>30.025636382611825</v>
      </c>
      <c r="F1109" s="4" t="str" cm="1">
        <f t="array" aca="1" ref="F11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09" s="2">
        <f t="shared" ca="1" si="142"/>
        <v>40.010048985976269</v>
      </c>
      <c r="H1109" s="47" t="str" cm="1">
        <f t="array" aca="1" ref="H11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10" spans="1:8" x14ac:dyDescent="0.25">
      <c r="A1110" s="2">
        <f t="shared" ca="1" si="139"/>
        <v>3.0052488628029925</v>
      </c>
      <c r="B1110" s="4" cm="1">
        <f t="array" aca="1" ref="B11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110" s="2">
        <f t="shared" ca="1" si="140"/>
        <v>3.0284950046397268</v>
      </c>
      <c r="D1110" s="4" t="str" cm="1">
        <f t="array" aca="1" ref="D11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10" s="2">
        <f t="shared" ca="1" si="141"/>
        <v>30.012470301016471</v>
      </c>
      <c r="F1110" s="4" t="str" cm="1">
        <f t="array" aca="1" ref="F11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10" s="2">
        <f t="shared" ca="1" si="142"/>
        <v>40.009525180711613</v>
      </c>
      <c r="H1110" s="47" t="str" cm="1">
        <f t="array" aca="1" ref="H11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11" spans="1:8" x14ac:dyDescent="0.25">
      <c r="A1111" s="2">
        <f t="shared" ca="1" si="139"/>
        <v>3.0089563613848358</v>
      </c>
      <c r="B1111" s="4" cm="1">
        <f t="array" aca="1" ref="B11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111" s="2">
        <f t="shared" ca="1" si="140"/>
        <v>3.0278756235757496</v>
      </c>
      <c r="D1111" s="4" t="str" cm="1">
        <f t="array" aca="1" ref="D11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11" s="2">
        <f t="shared" ca="1" si="141"/>
        <v>30.015774410046529</v>
      </c>
      <c r="F1111" s="4" t="str" cm="1">
        <f t="array" aca="1" ref="F11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11" s="2">
        <f t="shared" ca="1" si="142"/>
        <v>40.00849524975699</v>
      </c>
      <c r="H1111" s="47" t="str" cm="1">
        <f t="array" aca="1" ref="H11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12" spans="1:8" x14ac:dyDescent="0.25">
      <c r="A1112" s="2">
        <f t="shared" ca="1" si="139"/>
        <v>3.0005155921296578</v>
      </c>
      <c r="B1112" s="4" cm="1">
        <f t="array" aca="1" ref="B11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112" s="2">
        <f t="shared" ca="1" si="140"/>
        <v>3.0065223865515001</v>
      </c>
      <c r="D1112" s="4" t="str" cm="1">
        <f t="array" aca="1" ref="D11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12" s="2">
        <f t="shared" ca="1" si="141"/>
        <v>30.023873539555286</v>
      </c>
      <c r="F1112" s="4" t="str" cm="1">
        <f t="array" aca="1" ref="F11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12" s="2">
        <f t="shared" ca="1" si="142"/>
        <v>40.022961032862604</v>
      </c>
      <c r="H1112" s="47" t="str" cm="1">
        <f t="array" aca="1" ref="H11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13" spans="1:8" x14ac:dyDescent="0.25">
      <c r="A1113" s="2">
        <f t="shared" ca="1" si="139"/>
        <v>3.0012086660973014</v>
      </c>
      <c r="B1113" s="4" cm="1">
        <f t="array" aca="1" ref="B11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113" s="2">
        <f t="shared" ca="1" si="140"/>
        <v>3.0200202058358494</v>
      </c>
      <c r="D1113" s="4" t="str" cm="1">
        <f t="array" aca="1" ref="D11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13" s="2">
        <f t="shared" ca="1" si="141"/>
        <v>30.001062004134774</v>
      </c>
      <c r="F1113" s="4" t="str" cm="1">
        <f t="array" aca="1" ref="F11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13" s="2">
        <f t="shared" ca="1" si="142"/>
        <v>40.003063752530949</v>
      </c>
      <c r="H1113" s="47" t="str" cm="1">
        <f t="array" aca="1" ref="H11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14" spans="1:8" x14ac:dyDescent="0.25">
      <c r="A1114" s="2">
        <f t="shared" ca="1" si="139"/>
        <v>3.0064247384467429</v>
      </c>
      <c r="B1114" s="4" cm="1">
        <f t="array" aca="1" ref="B11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14" s="2">
        <f t="shared" ca="1" si="140"/>
        <v>3.0041822652880308</v>
      </c>
      <c r="D1114" s="4" t="str" cm="1">
        <f t="array" aca="1" ref="D11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14" s="2">
        <f t="shared" ca="1" si="141"/>
        <v>30.001447870805137</v>
      </c>
      <c r="F1114" s="4" t="str" cm="1">
        <f t="array" aca="1" ref="F11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14" s="2">
        <f t="shared" ca="1" si="142"/>
        <v>40.000067929904304</v>
      </c>
      <c r="H1114" s="47" t="str" cm="1">
        <f t="array" aca="1" ref="H11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15" spans="1:8" x14ac:dyDescent="0.25">
      <c r="A1115" s="2">
        <f t="shared" ca="1" si="139"/>
        <v>3.0095494355263943</v>
      </c>
      <c r="B1115" s="4" cm="1">
        <f t="array" aca="1" ref="B11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115" s="2">
        <f t="shared" ca="1" si="140"/>
        <v>3.0297731566498411</v>
      </c>
      <c r="D1115" s="4" t="str" cm="1">
        <f t="array" aca="1" ref="D11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15" s="2">
        <f t="shared" ca="1" si="141"/>
        <v>30.00369474450358</v>
      </c>
      <c r="F1115" s="4" t="str" cm="1">
        <f t="array" aca="1" ref="F11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15" s="2">
        <f t="shared" ca="1" si="142"/>
        <v>40.025934815744684</v>
      </c>
      <c r="H1115" s="47" t="str" cm="1">
        <f t="array" aca="1" ref="H11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16" spans="1:8" x14ac:dyDescent="0.25">
      <c r="A1116" s="2">
        <f t="shared" ca="1" si="139"/>
        <v>3.0093551208458864</v>
      </c>
      <c r="B1116" s="4" cm="1">
        <f t="array" aca="1" ref="B11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116" s="2">
        <f t="shared" ca="1" si="140"/>
        <v>3.0049159633359532</v>
      </c>
      <c r="D1116" s="4" t="str" cm="1">
        <f t="array" aca="1" ref="D11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16" s="2">
        <f t="shared" ca="1" si="141"/>
        <v>30.006088639489697</v>
      </c>
      <c r="F1116" s="4" t="str" cm="1">
        <f t="array" aca="1" ref="F11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16" s="2">
        <f t="shared" ca="1" si="142"/>
        <v>40.019047073975699</v>
      </c>
      <c r="H1116" s="47" t="str" cm="1">
        <f t="array" aca="1" ref="H11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17" spans="1:8" x14ac:dyDescent="0.25">
      <c r="A1117" s="2">
        <f t="shared" ca="1" si="139"/>
        <v>3.0032500199102481</v>
      </c>
      <c r="B1117" s="4" cm="1">
        <f t="array" aca="1" ref="B11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117" s="2">
        <f t="shared" ca="1" si="140"/>
        <v>3.0110044794870574</v>
      </c>
      <c r="D1117" s="4" t="str" cm="1">
        <f t="array" aca="1" ref="D11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17" s="2">
        <f t="shared" ca="1" si="141"/>
        <v>30.018770909635393</v>
      </c>
      <c r="F1117" s="4" t="str" cm="1">
        <f t="array" aca="1" ref="F11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17" s="2">
        <f t="shared" ca="1" si="142"/>
        <v>40.018228019217482</v>
      </c>
      <c r="H1117" s="47" t="str" cm="1">
        <f t="array" aca="1" ref="H11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18" spans="1:8" x14ac:dyDescent="0.25">
      <c r="A1118" s="2">
        <f t="shared" ca="1" si="139"/>
        <v>3.0009674567607925</v>
      </c>
      <c r="B1118" s="4" cm="1">
        <f t="array" aca="1" ref="B11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118" s="2">
        <f t="shared" ca="1" si="140"/>
        <v>3.0175530992924142</v>
      </c>
      <c r="D1118" s="4" t="str" cm="1">
        <f t="array" aca="1" ref="D11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18" s="2">
        <f t="shared" ca="1" si="141"/>
        <v>30.012034789676306</v>
      </c>
      <c r="F1118" s="4" t="str" cm="1">
        <f t="array" aca="1" ref="F11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18" s="2">
        <f t="shared" ca="1" si="142"/>
        <v>40.003608115932998</v>
      </c>
      <c r="H1118" s="47" t="str" cm="1">
        <f t="array" aca="1" ref="H11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19" spans="1:8" x14ac:dyDescent="0.25">
      <c r="A1119" s="2">
        <f t="shared" ca="1" si="139"/>
        <v>3.0027160405212436</v>
      </c>
      <c r="B1119" s="4" cm="1">
        <f t="array" aca="1" ref="B11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119" s="2">
        <f t="shared" ca="1" si="140"/>
        <v>3.0175713450394106</v>
      </c>
      <c r="D1119" s="4" t="str" cm="1">
        <f t="array" aca="1" ref="D11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19" s="2">
        <f t="shared" ca="1" si="141"/>
        <v>30.018505524781006</v>
      </c>
      <c r="F1119" s="4" t="str" cm="1">
        <f t="array" aca="1" ref="F11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19" s="2">
        <f t="shared" ca="1" si="142"/>
        <v>40.017674022637138</v>
      </c>
      <c r="H1119" s="47" t="str" cm="1">
        <f t="array" aca="1" ref="H11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20" spans="1:8" x14ac:dyDescent="0.25">
      <c r="A1120" s="2">
        <f t="shared" ca="1" si="139"/>
        <v>3.0022606728694776</v>
      </c>
      <c r="B1120" s="4" cm="1">
        <f t="array" aca="1" ref="B11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120" s="2">
        <f t="shared" ca="1" si="140"/>
        <v>3.0037377982617577</v>
      </c>
      <c r="D1120" s="4" t="str" cm="1">
        <f t="array" aca="1" ref="D11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20" s="2">
        <f t="shared" ca="1" si="141"/>
        <v>30.010728173573977</v>
      </c>
      <c r="F1120" s="4" t="str" cm="1">
        <f t="array" aca="1" ref="F11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20" s="2">
        <f t="shared" ca="1" si="142"/>
        <v>40.014164234120301</v>
      </c>
      <c r="H1120" s="47" t="str" cm="1">
        <f t="array" aca="1" ref="H11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21" spans="1:8" x14ac:dyDescent="0.25">
      <c r="A1121" s="2">
        <f t="shared" ca="1" si="139"/>
        <v>3.0098133699883767</v>
      </c>
      <c r="B1121" s="4" cm="1">
        <f t="array" aca="1" ref="B11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121" s="2">
        <f t="shared" ca="1" si="140"/>
        <v>3.0163347600969477</v>
      </c>
      <c r="D1121" s="4" t="str" cm="1">
        <f t="array" aca="1" ref="D11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21" s="2">
        <f t="shared" ca="1" si="141"/>
        <v>30.010256821092614</v>
      </c>
      <c r="F1121" s="4" t="str" cm="1">
        <f t="array" aca="1" ref="F11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21" s="2">
        <f t="shared" ca="1" si="142"/>
        <v>40.009125108612338</v>
      </c>
      <c r="H1121" s="47" t="str" cm="1">
        <f t="array" aca="1" ref="H11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22" spans="1:8" x14ac:dyDescent="0.25">
      <c r="A1122" s="2">
        <f t="shared" ca="1" si="139"/>
        <v>3.0033065049681942</v>
      </c>
      <c r="B1122" s="4" cm="1">
        <f t="array" aca="1" ref="B11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122" s="2">
        <f t="shared" ca="1" si="140"/>
        <v>3.0072626651929344</v>
      </c>
      <c r="D1122" s="4" t="str" cm="1">
        <f t="array" aca="1" ref="D11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22" s="2">
        <f t="shared" ca="1" si="141"/>
        <v>30.027719985696756</v>
      </c>
      <c r="F1122" s="4" t="str" cm="1">
        <f t="array" aca="1" ref="F11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22" s="2">
        <f t="shared" ca="1" si="142"/>
        <v>40.020402301034565</v>
      </c>
      <c r="H1122" s="47" t="str" cm="1">
        <f t="array" aca="1" ref="H11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23" spans="1:8" x14ac:dyDescent="0.25">
      <c r="A1123" s="2">
        <f t="shared" ca="1" si="139"/>
        <v>3.0061166585128487</v>
      </c>
      <c r="B1123" s="4" cm="1">
        <f t="array" aca="1" ref="B11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23" s="2">
        <f t="shared" ca="1" si="140"/>
        <v>3.0116092948810618</v>
      </c>
      <c r="D1123" s="4" t="str" cm="1">
        <f t="array" aca="1" ref="D11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23" s="2">
        <f t="shared" ca="1" si="141"/>
        <v>30.016343437056861</v>
      </c>
      <c r="F1123" s="4" t="str" cm="1">
        <f t="array" aca="1" ref="F11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23" s="2">
        <f t="shared" ca="1" si="142"/>
        <v>40.00252368029998</v>
      </c>
      <c r="H1123" s="47" t="str" cm="1">
        <f t="array" aca="1" ref="H11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24" spans="1:8" x14ac:dyDescent="0.25">
      <c r="A1124" s="2">
        <f t="shared" ca="1" si="139"/>
        <v>3.0066784305462404</v>
      </c>
      <c r="B1124" s="4" cm="1">
        <f t="array" aca="1" ref="B11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24" s="2">
        <f t="shared" ca="1" si="140"/>
        <v>3.009054163718472</v>
      </c>
      <c r="D1124" s="4" t="str" cm="1">
        <f t="array" aca="1" ref="D11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24" s="2">
        <f t="shared" ca="1" si="141"/>
        <v>30.016370332708238</v>
      </c>
      <c r="F1124" s="4" t="str" cm="1">
        <f t="array" aca="1" ref="F11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24" s="2">
        <f t="shared" ca="1" si="142"/>
        <v>40.002545841771941</v>
      </c>
      <c r="H1124" s="47" t="str" cm="1">
        <f t="array" aca="1" ref="H11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25" spans="1:8" x14ac:dyDescent="0.25">
      <c r="A1125" s="2">
        <f t="shared" ca="1" si="139"/>
        <v>3.0027147581769995</v>
      </c>
      <c r="B1125" s="4" cm="1">
        <f t="array" aca="1" ref="B11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125" s="2">
        <f t="shared" ca="1" si="140"/>
        <v>3.0020190806373512</v>
      </c>
      <c r="D1125" s="4" t="str" cm="1">
        <f t="array" aca="1" ref="D11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25" s="2">
        <f t="shared" ca="1" si="141"/>
        <v>30.011206316062403</v>
      </c>
      <c r="F1125" s="4" t="str" cm="1">
        <f t="array" aca="1" ref="F11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25" s="2">
        <f t="shared" ca="1" si="142"/>
        <v>40.009576927003948</v>
      </c>
      <c r="H1125" s="47" t="str" cm="1">
        <f t="array" aca="1" ref="H11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26" spans="1:8" x14ac:dyDescent="0.25">
      <c r="A1126" s="2">
        <f t="shared" ca="1" si="139"/>
        <v>3.0028733731868775</v>
      </c>
      <c r="B1126" s="4" cm="1">
        <f t="array" aca="1" ref="B11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126" s="2">
        <f t="shared" ca="1" si="140"/>
        <v>3.0158343110475383</v>
      </c>
      <c r="D1126" s="4" t="str" cm="1">
        <f t="array" aca="1" ref="D11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26" s="2">
        <f t="shared" ca="1" si="141"/>
        <v>30.027232692033898</v>
      </c>
      <c r="F1126" s="4" t="str" cm="1">
        <f t="array" aca="1" ref="F11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26" s="2">
        <f t="shared" ca="1" si="142"/>
        <v>40.008417685097626</v>
      </c>
      <c r="H1126" s="47" t="str" cm="1">
        <f t="array" aca="1" ref="H11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27" spans="1:8" x14ac:dyDescent="0.25">
      <c r="A1127" s="2">
        <f t="shared" ca="1" si="139"/>
        <v>3.0087877996973633</v>
      </c>
      <c r="B1127" s="4" cm="1">
        <f t="array" aca="1" ref="B11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127" s="2">
        <f t="shared" ca="1" si="140"/>
        <v>3.0204330151432899</v>
      </c>
      <c r="D1127" s="4" t="str" cm="1">
        <f t="array" aca="1" ref="D11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27" s="2">
        <f t="shared" ca="1" si="141"/>
        <v>30.002398625439984</v>
      </c>
      <c r="F1127" s="4" t="str" cm="1">
        <f t="array" aca="1" ref="F11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27" s="2">
        <f t="shared" ca="1" si="142"/>
        <v>40.00808530987625</v>
      </c>
      <c r="H1127" s="47" t="str" cm="1">
        <f t="array" aca="1" ref="H11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28" spans="1:8" x14ac:dyDescent="0.25">
      <c r="A1128" s="2">
        <f t="shared" ca="1" si="139"/>
        <v>3.0069452396016825</v>
      </c>
      <c r="B1128" s="4" cm="1">
        <f t="array" aca="1" ref="B11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28" s="2">
        <f t="shared" ca="1" si="140"/>
        <v>3.0054138450270966</v>
      </c>
      <c r="D1128" s="4" t="str" cm="1">
        <f t="array" aca="1" ref="D11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28" s="2">
        <f t="shared" ca="1" si="141"/>
        <v>30.013220926696171</v>
      </c>
      <c r="F1128" s="4" t="str" cm="1">
        <f t="array" aca="1" ref="F11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28" s="2">
        <f t="shared" ca="1" si="142"/>
        <v>40.011738094571982</v>
      </c>
      <c r="H1128" s="47" t="str" cm="1">
        <f t="array" aca="1" ref="H11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29" spans="1:8" x14ac:dyDescent="0.25">
      <c r="A1129" s="2">
        <f t="shared" ca="1" si="139"/>
        <v>3.002073650638593</v>
      </c>
      <c r="B1129" s="4" cm="1">
        <f t="array" aca="1" ref="B11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129" s="2">
        <f t="shared" ca="1" si="140"/>
        <v>3.0274084940637134</v>
      </c>
      <c r="D1129" s="4" t="str" cm="1">
        <f t="array" aca="1" ref="D11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29" s="2">
        <f t="shared" ca="1" si="141"/>
        <v>30.028278616953518</v>
      </c>
      <c r="F1129" s="4" t="str" cm="1">
        <f t="array" aca="1" ref="F11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29" s="2">
        <f t="shared" ca="1" si="142"/>
        <v>40.029602649927028</v>
      </c>
      <c r="H1129" s="47" t="str" cm="1">
        <f t="array" aca="1" ref="H11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30" spans="1:8" x14ac:dyDescent="0.25">
      <c r="A1130" s="2">
        <f t="shared" ca="1" si="139"/>
        <v>3.000337914729327</v>
      </c>
      <c r="B1130" s="4" cm="1">
        <f t="array" aca="1" ref="B11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130" s="2">
        <f t="shared" ca="1" si="140"/>
        <v>3.0199902285744011</v>
      </c>
      <c r="D1130" s="4" t="str" cm="1">
        <f t="array" aca="1" ref="D11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30" s="2">
        <f t="shared" ca="1" si="141"/>
        <v>30.020401052729138</v>
      </c>
      <c r="F1130" s="4" t="str" cm="1">
        <f t="array" aca="1" ref="F11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30" s="2">
        <f t="shared" ca="1" si="142"/>
        <v>40.023233127063925</v>
      </c>
      <c r="H1130" s="47" t="str" cm="1">
        <f t="array" aca="1" ref="H11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31" spans="1:8" x14ac:dyDescent="0.25">
      <c r="A1131" s="2">
        <f t="shared" ca="1" si="139"/>
        <v>3.0066056197371935</v>
      </c>
      <c r="B1131" s="4" cm="1">
        <f t="array" aca="1" ref="B11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31" s="2">
        <f t="shared" ca="1" si="140"/>
        <v>3.0260518081450112</v>
      </c>
      <c r="D1131" s="4" t="str" cm="1">
        <f t="array" aca="1" ref="D11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31" s="2">
        <f t="shared" ca="1" si="141"/>
        <v>30.007998666804564</v>
      </c>
      <c r="F1131" s="4" t="str" cm="1">
        <f t="array" aca="1" ref="F11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31" s="2">
        <f t="shared" ca="1" si="142"/>
        <v>40.001706454068639</v>
      </c>
      <c r="H1131" s="47" t="str" cm="1">
        <f t="array" aca="1" ref="H11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32" spans="1:8" x14ac:dyDescent="0.25">
      <c r="A1132" s="2">
        <f t="shared" ca="1" si="139"/>
        <v>3.0081718654237037</v>
      </c>
      <c r="B1132" s="4" cm="1">
        <f t="array" aca="1" ref="B11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132" s="2">
        <f t="shared" ca="1" si="140"/>
        <v>3.0091948591382081</v>
      </c>
      <c r="D1132" s="4" t="str" cm="1">
        <f t="array" aca="1" ref="D11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32" s="2">
        <f t="shared" ca="1" si="141"/>
        <v>30.024238838903269</v>
      </c>
      <c r="F1132" s="4" t="str" cm="1">
        <f t="array" aca="1" ref="F11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32" s="2">
        <f t="shared" ca="1" si="142"/>
        <v>40.019439447277854</v>
      </c>
      <c r="H1132" s="47" t="str" cm="1">
        <f t="array" aca="1" ref="H11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33" spans="1:8" x14ac:dyDescent="0.25">
      <c r="A1133" s="2">
        <f t="shared" ca="1" si="139"/>
        <v>3.0009657481526375</v>
      </c>
      <c r="B1133" s="4" cm="1">
        <f t="array" aca="1" ref="B11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133" s="2">
        <f t="shared" ca="1" si="140"/>
        <v>3.0279789128010437</v>
      </c>
      <c r="D1133" s="4" t="str" cm="1">
        <f t="array" aca="1" ref="D11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33" s="2">
        <f t="shared" ca="1" si="141"/>
        <v>30.014474963604261</v>
      </c>
      <c r="F1133" s="4" t="str" cm="1">
        <f t="array" aca="1" ref="F11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33" s="2">
        <f t="shared" ca="1" si="142"/>
        <v>40.009277278017059</v>
      </c>
      <c r="H1133" s="47" t="str" cm="1">
        <f t="array" aca="1" ref="H11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34" spans="1:8" x14ac:dyDescent="0.25">
      <c r="A1134" s="2">
        <f t="shared" ca="1" si="139"/>
        <v>3.0043018640627377</v>
      </c>
      <c r="B1134" s="4" cm="1">
        <f t="array" aca="1" ref="B11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134" s="2">
        <f t="shared" ca="1" si="140"/>
        <v>3.0203052340941032</v>
      </c>
      <c r="D1134" s="4" t="str" cm="1">
        <f t="array" aca="1" ref="D11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34" s="2">
        <f t="shared" ca="1" si="141"/>
        <v>30.020117863362195</v>
      </c>
      <c r="F1134" s="4" t="str" cm="1">
        <f t="array" aca="1" ref="F11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34" s="2">
        <f t="shared" ca="1" si="142"/>
        <v>40.024855673215605</v>
      </c>
      <c r="H1134" s="47" t="str" cm="1">
        <f t="array" aca="1" ref="H11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35" spans="1:8" x14ac:dyDescent="0.25">
      <c r="A1135" s="2">
        <f t="shared" ca="1" si="139"/>
        <v>3.0063116726346348</v>
      </c>
      <c r="B1135" s="4" cm="1">
        <f t="array" aca="1" ref="B11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35" s="2">
        <f t="shared" ca="1" si="140"/>
        <v>3.0134201059366887</v>
      </c>
      <c r="D1135" s="4" t="str" cm="1">
        <f t="array" aca="1" ref="D11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35" s="2">
        <f t="shared" ca="1" si="141"/>
        <v>30.013098425301056</v>
      </c>
      <c r="F1135" s="4" t="str" cm="1">
        <f t="array" aca="1" ref="F11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35" s="2">
        <f t="shared" ca="1" si="142"/>
        <v>40.002745149639658</v>
      </c>
      <c r="H1135" s="47" t="str" cm="1">
        <f t="array" aca="1" ref="H11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36" spans="1:8" x14ac:dyDescent="0.25">
      <c r="A1136" s="2">
        <f t="shared" ca="1" si="139"/>
        <v>3.0087394082775085</v>
      </c>
      <c r="B1136" s="4" cm="1">
        <f t="array" aca="1" ref="B11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136" s="2">
        <f t="shared" ca="1" si="140"/>
        <v>3.0155236235931016</v>
      </c>
      <c r="D1136" s="4" t="str" cm="1">
        <f t="array" aca="1" ref="D11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36" s="2">
        <f t="shared" ca="1" si="141"/>
        <v>30.004598867727683</v>
      </c>
      <c r="F1136" s="4" t="str" cm="1">
        <f t="array" aca="1" ref="F11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36" s="2">
        <f t="shared" ca="1" si="142"/>
        <v>40.028465545403684</v>
      </c>
      <c r="H1136" s="47" t="str" cm="1">
        <f t="array" aca="1" ref="H11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37" spans="1:8" x14ac:dyDescent="0.25">
      <c r="A1137" s="2">
        <f t="shared" ca="1" si="139"/>
        <v>3.0043810920149907</v>
      </c>
      <c r="B1137" s="4" cm="1">
        <f t="array" aca="1" ref="B11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137" s="2">
        <f t="shared" ca="1" si="140"/>
        <v>3.0247585869289884</v>
      </c>
      <c r="D1137" s="4" t="str" cm="1">
        <f t="array" aca="1" ref="D11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37" s="2">
        <f t="shared" ca="1" si="141"/>
        <v>30.015532828664586</v>
      </c>
      <c r="F1137" s="4" t="str" cm="1">
        <f t="array" aca="1" ref="F11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37" s="2">
        <f t="shared" ca="1" si="142"/>
        <v>40.005852245960604</v>
      </c>
      <c r="H1137" s="47" t="str" cm="1">
        <f t="array" aca="1" ref="H11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38" spans="1:8" x14ac:dyDescent="0.25">
      <c r="A1138" s="2">
        <f t="shared" ca="1" si="139"/>
        <v>3.0071509699300925</v>
      </c>
      <c r="B1138" s="4" cm="1">
        <f t="array" aca="1" ref="B11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138" s="2">
        <f t="shared" ca="1" si="140"/>
        <v>3.0255409290142956</v>
      </c>
      <c r="D1138" s="4" t="str" cm="1">
        <f t="array" aca="1" ref="D11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38" s="2">
        <f t="shared" ca="1" si="141"/>
        <v>30.007670685952899</v>
      </c>
      <c r="F1138" s="4" t="str" cm="1">
        <f t="array" aca="1" ref="F11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38" s="2">
        <f t="shared" ca="1" si="142"/>
        <v>40.009909475943168</v>
      </c>
      <c r="H1138" s="47" t="str" cm="1">
        <f t="array" aca="1" ref="H11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39" spans="1:8" x14ac:dyDescent="0.25">
      <c r="A1139" s="2">
        <f t="shared" ca="1" si="139"/>
        <v>3.0035634891010949</v>
      </c>
      <c r="B1139" s="4" cm="1">
        <f t="array" aca="1" ref="B11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139" s="2">
        <f t="shared" ca="1" si="140"/>
        <v>3.0032186533143399</v>
      </c>
      <c r="D1139" s="4" t="str" cm="1">
        <f t="array" aca="1" ref="D11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39" s="2">
        <f t="shared" ca="1" si="141"/>
        <v>30.026868123552745</v>
      </c>
      <c r="F1139" s="4" t="str" cm="1">
        <f t="array" aca="1" ref="F11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39" s="2">
        <f t="shared" ca="1" si="142"/>
        <v>40.006603159299019</v>
      </c>
      <c r="H1139" s="47" t="str" cm="1">
        <f t="array" aca="1" ref="H11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40" spans="1:8" x14ac:dyDescent="0.25">
      <c r="A1140" s="2">
        <f t="shared" ca="1" si="139"/>
        <v>3.0073740211961701</v>
      </c>
      <c r="B1140" s="4" cm="1">
        <f t="array" aca="1" ref="B11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140" s="2">
        <f t="shared" ca="1" si="140"/>
        <v>3.0073371793971924</v>
      </c>
      <c r="D1140" s="4" t="str" cm="1">
        <f t="array" aca="1" ref="D11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40" s="2">
        <f t="shared" ca="1" si="141"/>
        <v>30.014167230425986</v>
      </c>
      <c r="F1140" s="4" t="str" cm="1">
        <f t="array" aca="1" ref="F11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40" s="2">
        <f t="shared" ca="1" si="142"/>
        <v>40.029088356194073</v>
      </c>
      <c r="H1140" s="47" t="str" cm="1">
        <f t="array" aca="1" ref="H11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41" spans="1:8" x14ac:dyDescent="0.25">
      <c r="A1141" s="2">
        <f t="shared" ca="1" si="139"/>
        <v>3.0030032388898249</v>
      </c>
      <c r="B1141" s="4" cm="1">
        <f t="array" aca="1" ref="B11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141" s="2">
        <f t="shared" ca="1" si="140"/>
        <v>3.0257987657952286</v>
      </c>
      <c r="D1141" s="4" t="str" cm="1">
        <f t="array" aca="1" ref="D11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41" s="2">
        <f t="shared" ca="1" si="141"/>
        <v>30.013650096401292</v>
      </c>
      <c r="F1141" s="4" t="str" cm="1">
        <f t="array" aca="1" ref="F11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41" s="2">
        <f t="shared" ca="1" si="142"/>
        <v>40.025204101591385</v>
      </c>
      <c r="H1141" s="47" t="str" cm="1">
        <f t="array" aca="1" ref="H11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42" spans="1:8" x14ac:dyDescent="0.25">
      <c r="A1142" s="2">
        <f t="shared" ca="1" si="139"/>
        <v>3.0093109526976725</v>
      </c>
      <c r="B1142" s="4" cm="1">
        <f t="array" aca="1" ref="B11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142" s="2">
        <f t="shared" ca="1" si="140"/>
        <v>3.0201286533565948</v>
      </c>
      <c r="D1142" s="4" t="str" cm="1">
        <f t="array" aca="1" ref="D11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42" s="2">
        <f t="shared" ca="1" si="141"/>
        <v>30.004327623518698</v>
      </c>
      <c r="F1142" s="4" t="str" cm="1">
        <f t="array" aca="1" ref="F11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42" s="2">
        <f t="shared" ca="1" si="142"/>
        <v>40.013452800815422</v>
      </c>
      <c r="H1142" s="47" t="str" cm="1">
        <f t="array" aca="1" ref="H11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43" spans="1:8" x14ac:dyDescent="0.25">
      <c r="A1143" s="2">
        <f t="shared" ca="1" si="139"/>
        <v>3.0076237748221524</v>
      </c>
      <c r="B1143" s="4" cm="1">
        <f t="array" aca="1" ref="B11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143" s="2">
        <f t="shared" ca="1" si="140"/>
        <v>3.0094574583428675</v>
      </c>
      <c r="D1143" s="4" t="str" cm="1">
        <f t="array" aca="1" ref="D11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43" s="2">
        <f t="shared" ca="1" si="141"/>
        <v>30.007967287886363</v>
      </c>
      <c r="F1143" s="4" t="str" cm="1">
        <f t="array" aca="1" ref="F11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43" s="2">
        <f t="shared" ca="1" si="142"/>
        <v>40.025969183629591</v>
      </c>
      <c r="H1143" s="47" t="str" cm="1">
        <f t="array" aca="1" ref="H11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44" spans="1:8" x14ac:dyDescent="0.25">
      <c r="A1144" s="2">
        <f t="shared" ca="1" si="139"/>
        <v>3.0034723614993126</v>
      </c>
      <c r="B1144" s="4" cm="1">
        <f t="array" aca="1" ref="B11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144" s="2">
        <f t="shared" ca="1" si="140"/>
        <v>3.0201979484040011</v>
      </c>
      <c r="D1144" s="4" t="str" cm="1">
        <f t="array" aca="1" ref="D11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44" s="2">
        <f t="shared" ca="1" si="141"/>
        <v>30.012491759307697</v>
      </c>
      <c r="F1144" s="4" t="str" cm="1">
        <f t="array" aca="1" ref="F11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44" s="2">
        <f t="shared" ca="1" si="142"/>
        <v>40.014782614172006</v>
      </c>
      <c r="H1144" s="47" t="str" cm="1">
        <f t="array" aca="1" ref="H11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45" spans="1:8" x14ac:dyDescent="0.25">
      <c r="A1145" s="2">
        <f t="shared" ca="1" si="139"/>
        <v>3.0061146568375574</v>
      </c>
      <c r="B1145" s="4" cm="1">
        <f t="array" aca="1" ref="B11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45" s="2">
        <f t="shared" ca="1" si="140"/>
        <v>3.0115443374042186</v>
      </c>
      <c r="D1145" s="4" t="str" cm="1">
        <f t="array" aca="1" ref="D11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45" s="2">
        <f t="shared" ca="1" si="141"/>
        <v>30.020186380233685</v>
      </c>
      <c r="F1145" s="4" t="str" cm="1">
        <f t="array" aca="1" ref="F11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45" s="2">
        <f t="shared" ca="1" si="142"/>
        <v>40.022097167288599</v>
      </c>
      <c r="H1145" s="47" t="str" cm="1">
        <f t="array" aca="1" ref="H11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46" spans="1:8" x14ac:dyDescent="0.25">
      <c r="A1146" s="2">
        <f t="shared" ca="1" si="139"/>
        <v>3.007695279797538</v>
      </c>
      <c r="B1146" s="4" cm="1">
        <f t="array" aca="1" ref="B11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146" s="2">
        <f t="shared" ca="1" si="140"/>
        <v>3.0295905169046633</v>
      </c>
      <c r="D1146" s="4" t="str" cm="1">
        <f t="array" aca="1" ref="D11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46" s="2">
        <f t="shared" ca="1" si="141"/>
        <v>30.011073666867777</v>
      </c>
      <c r="F1146" s="4" t="str" cm="1">
        <f t="array" aca="1" ref="F11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46" s="2">
        <f t="shared" ca="1" si="142"/>
        <v>40.000230668351939</v>
      </c>
      <c r="H1146" s="47" t="str" cm="1">
        <f t="array" aca="1" ref="H11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47" spans="1:8" x14ac:dyDescent="0.25">
      <c r="A1147" s="2">
        <f t="shared" ca="1" si="139"/>
        <v>3.0066049589601307</v>
      </c>
      <c r="B1147" s="4" cm="1">
        <f t="array" aca="1" ref="B11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47" s="2">
        <f t="shared" ca="1" si="140"/>
        <v>3.0279071243068967</v>
      </c>
      <c r="D1147" s="4" t="str" cm="1">
        <f t="array" aca="1" ref="D11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47" s="2">
        <f t="shared" ca="1" si="141"/>
        <v>30.018852262931752</v>
      </c>
      <c r="F1147" s="4" t="str" cm="1">
        <f t="array" aca="1" ref="F11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47" s="2">
        <f t="shared" ca="1" si="142"/>
        <v>40.01205523321552</v>
      </c>
      <c r="H1147" s="47" t="str" cm="1">
        <f t="array" aca="1" ref="H11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48" spans="1:8" x14ac:dyDescent="0.25">
      <c r="A1148" s="2">
        <f t="shared" ca="1" si="139"/>
        <v>3.0021477152201292</v>
      </c>
      <c r="B1148" s="4" cm="1">
        <f t="array" aca="1" ref="B11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148" s="2">
        <f t="shared" ca="1" si="140"/>
        <v>3.0005666600473999</v>
      </c>
      <c r="D1148" s="4" t="str" cm="1">
        <f t="array" aca="1" ref="D11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48" s="2">
        <f t="shared" ca="1" si="141"/>
        <v>30.010315973273674</v>
      </c>
      <c r="F1148" s="4" t="str" cm="1">
        <f t="array" aca="1" ref="F11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48" s="2">
        <f t="shared" ca="1" si="142"/>
        <v>40.024817470044084</v>
      </c>
      <c r="H1148" s="47" t="str" cm="1">
        <f t="array" aca="1" ref="H11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49" spans="1:8" x14ac:dyDescent="0.25">
      <c r="A1149" s="2">
        <f t="shared" ca="1" si="139"/>
        <v>3.0032052150270383</v>
      </c>
      <c r="B1149" s="4" cm="1">
        <f t="array" aca="1" ref="B11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149" s="2">
        <f t="shared" ca="1" si="140"/>
        <v>3.017037398667513</v>
      </c>
      <c r="D1149" s="4" t="str" cm="1">
        <f t="array" aca="1" ref="D11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49" s="2">
        <f t="shared" ca="1" si="141"/>
        <v>30.014863637735033</v>
      </c>
      <c r="F1149" s="4" t="str" cm="1">
        <f t="array" aca="1" ref="F11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49" s="2">
        <f t="shared" ca="1" si="142"/>
        <v>40.016140096430725</v>
      </c>
      <c r="H1149" s="47" t="str" cm="1">
        <f t="array" aca="1" ref="H11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50" spans="1:8" x14ac:dyDescent="0.25">
      <c r="A1150" s="2">
        <f t="shared" ca="1" si="139"/>
        <v>3.0010090706434496</v>
      </c>
      <c r="B1150" s="4" cm="1">
        <f t="array" aca="1" ref="B11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150" s="2">
        <f t="shared" ca="1" si="140"/>
        <v>3.0186210015562152</v>
      </c>
      <c r="D1150" s="4" t="str" cm="1">
        <f t="array" aca="1" ref="D11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50" s="2">
        <f t="shared" ca="1" si="141"/>
        <v>30.006430221694792</v>
      </c>
      <c r="F1150" s="4" t="str" cm="1">
        <f t="array" aca="1" ref="F11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50" s="2">
        <f t="shared" ca="1" si="142"/>
        <v>40.022628147707309</v>
      </c>
      <c r="H1150" s="47" t="str" cm="1">
        <f t="array" aca="1" ref="H11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51" spans="1:8" x14ac:dyDescent="0.25">
      <c r="A1151" s="2">
        <f t="shared" ca="1" si="139"/>
        <v>3.0094221622311315</v>
      </c>
      <c r="B1151" s="4" cm="1">
        <f t="array" aca="1" ref="B11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151" s="2">
        <f t="shared" ca="1" si="140"/>
        <v>3.02784295714146</v>
      </c>
      <c r="D1151" s="4" t="str" cm="1">
        <f t="array" aca="1" ref="D11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51" s="2">
        <f t="shared" ca="1" si="141"/>
        <v>30.028781084677846</v>
      </c>
      <c r="F1151" s="4" t="str" cm="1">
        <f t="array" aca="1" ref="F11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51" s="2">
        <f t="shared" ca="1" si="142"/>
        <v>40.002923864199744</v>
      </c>
      <c r="H1151" s="47" t="str" cm="1">
        <f t="array" aca="1" ref="H11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52" spans="1:8" x14ac:dyDescent="0.25">
      <c r="A1152" s="2">
        <f t="shared" ca="1" si="139"/>
        <v>3.0061624786831835</v>
      </c>
      <c r="B1152" s="4" cm="1">
        <f t="array" aca="1" ref="B11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52" s="2">
        <f t="shared" ca="1" si="140"/>
        <v>3.0256136817891046</v>
      </c>
      <c r="D1152" s="4" t="str" cm="1">
        <f t="array" aca="1" ref="D11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52" s="2">
        <f t="shared" ca="1" si="141"/>
        <v>30.003445942057947</v>
      </c>
      <c r="F1152" s="4" t="str" cm="1">
        <f t="array" aca="1" ref="F11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52" s="2">
        <f t="shared" ca="1" si="142"/>
        <v>40.014579534490217</v>
      </c>
      <c r="H1152" s="47" t="str" cm="1">
        <f t="array" aca="1" ref="H11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53" spans="1:8" x14ac:dyDescent="0.25">
      <c r="A1153" s="2">
        <f t="shared" ca="1" si="139"/>
        <v>3.005794170303326</v>
      </c>
      <c r="B1153" s="4" cm="1">
        <f t="array" aca="1" ref="B11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153" s="2">
        <f t="shared" ca="1" si="140"/>
        <v>3.0294225996890338</v>
      </c>
      <c r="D1153" s="4" t="str" cm="1">
        <f t="array" aca="1" ref="D11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53" s="2">
        <f t="shared" ca="1" si="141"/>
        <v>30.014443450257996</v>
      </c>
      <c r="F1153" s="4" t="str" cm="1">
        <f t="array" aca="1" ref="F11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53" s="2">
        <f t="shared" ca="1" si="142"/>
        <v>40.018868685325302</v>
      </c>
      <c r="H1153" s="47" t="str" cm="1">
        <f t="array" aca="1" ref="H11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54" spans="1:8" x14ac:dyDescent="0.25">
      <c r="A1154" s="2">
        <f t="shared" ref="A1154:A1217" ca="1" si="143">3+RAND()*0.01</f>
        <v>3.0085555465738141</v>
      </c>
      <c r="B1154" s="4" cm="1">
        <f t="array" aca="1" ref="B11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154" s="2">
        <f t="shared" ref="C1154:C1217" ca="1" si="144">3+RAND()*0.03</f>
        <v>3.0293990313122166</v>
      </c>
      <c r="D1154" s="4" t="str" cm="1">
        <f t="array" aca="1" ref="D11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54" s="2">
        <f t="shared" ref="E1154:E1217" ca="1" si="145">30+RAND()*0.03</f>
        <v>30.016050851323669</v>
      </c>
      <c r="F1154" s="4" t="str" cm="1">
        <f t="array" aca="1" ref="F11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54" s="2">
        <f t="shared" ref="G1154:G1217" ca="1" si="146">40+RAND()*0.03</f>
        <v>40.020902840334408</v>
      </c>
      <c r="H1154" s="47" t="str" cm="1">
        <f t="array" aca="1" ref="H11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55" spans="1:8" x14ac:dyDescent="0.25">
      <c r="A1155" s="2">
        <f t="shared" ca="1" si="143"/>
        <v>3.0063326814252775</v>
      </c>
      <c r="B1155" s="4" cm="1">
        <f t="array" aca="1" ref="B11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55" s="2">
        <f t="shared" ca="1" si="144"/>
        <v>3.0017827984229628</v>
      </c>
      <c r="D1155" s="4" t="str" cm="1">
        <f t="array" aca="1" ref="D11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55" s="2">
        <f t="shared" ca="1" si="145"/>
        <v>30.019342441542598</v>
      </c>
      <c r="F1155" s="4" t="str" cm="1">
        <f t="array" aca="1" ref="F11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55" s="2">
        <f t="shared" ca="1" si="146"/>
        <v>40.001235588057845</v>
      </c>
      <c r="H1155" s="47" t="str" cm="1">
        <f t="array" aca="1" ref="H11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56" spans="1:8" x14ac:dyDescent="0.25">
      <c r="A1156" s="2">
        <f t="shared" ca="1" si="143"/>
        <v>3.0024966750040347</v>
      </c>
      <c r="B1156" s="4" cm="1">
        <f t="array" aca="1" ref="B11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156" s="2">
        <f t="shared" ca="1" si="144"/>
        <v>3.0289136928185214</v>
      </c>
      <c r="D1156" s="4" t="str" cm="1">
        <f t="array" aca="1" ref="D11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56" s="2">
        <f t="shared" ca="1" si="145"/>
        <v>30.027705159450143</v>
      </c>
      <c r="F1156" s="4" t="str" cm="1">
        <f t="array" aca="1" ref="F11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56" s="2">
        <f t="shared" ca="1" si="146"/>
        <v>40.014844198193835</v>
      </c>
      <c r="H1156" s="47" t="str" cm="1">
        <f t="array" aca="1" ref="H11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57" spans="1:8" x14ac:dyDescent="0.25">
      <c r="A1157" s="2">
        <f t="shared" ca="1" si="143"/>
        <v>3.0023191473540032</v>
      </c>
      <c r="B1157" s="4" cm="1">
        <f t="array" aca="1" ref="B11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157" s="2">
        <f t="shared" ca="1" si="144"/>
        <v>3.0179706733302649</v>
      </c>
      <c r="D1157" s="4" t="str" cm="1">
        <f t="array" aca="1" ref="D11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57" s="2">
        <f t="shared" ca="1" si="145"/>
        <v>30.008078826831351</v>
      </c>
      <c r="F1157" s="4" t="str" cm="1">
        <f t="array" aca="1" ref="F11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57" s="2">
        <f t="shared" ca="1" si="146"/>
        <v>40.019240385210423</v>
      </c>
      <c r="H1157" s="47" t="str" cm="1">
        <f t="array" aca="1" ref="H11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58" spans="1:8" x14ac:dyDescent="0.25">
      <c r="A1158" s="2">
        <f t="shared" ca="1" si="143"/>
        <v>3.0041599264750252</v>
      </c>
      <c r="B1158" s="4" cm="1">
        <f t="array" aca="1" ref="B11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158" s="2">
        <f t="shared" ca="1" si="144"/>
        <v>3.0002100440824746</v>
      </c>
      <c r="D1158" s="4" t="str" cm="1">
        <f t="array" aca="1" ref="D11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58" s="2">
        <f t="shared" ca="1" si="145"/>
        <v>30.004637819648739</v>
      </c>
      <c r="F1158" s="4" t="str" cm="1">
        <f t="array" aca="1" ref="F11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58" s="2">
        <f t="shared" ca="1" si="146"/>
        <v>40.002259995706062</v>
      </c>
      <c r="H1158" s="47" t="str" cm="1">
        <f t="array" aca="1" ref="H11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59" spans="1:8" x14ac:dyDescent="0.25">
      <c r="A1159" s="2">
        <f t="shared" ca="1" si="143"/>
        <v>3.0087267620125995</v>
      </c>
      <c r="B1159" s="4" cm="1">
        <f t="array" aca="1" ref="B11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159" s="2">
        <f t="shared" ca="1" si="144"/>
        <v>3.0236231427557669</v>
      </c>
      <c r="D1159" s="4" t="str" cm="1">
        <f t="array" aca="1" ref="D11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59" s="2">
        <f t="shared" ca="1" si="145"/>
        <v>30.009790131351128</v>
      </c>
      <c r="F1159" s="4" t="str" cm="1">
        <f t="array" aca="1" ref="F11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59" s="2">
        <f t="shared" ca="1" si="146"/>
        <v>40.018403581135246</v>
      </c>
      <c r="H1159" s="47" t="str" cm="1">
        <f t="array" aca="1" ref="H11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60" spans="1:8" x14ac:dyDescent="0.25">
      <c r="A1160" s="2">
        <f t="shared" ca="1" si="143"/>
        <v>3.0009231203855773</v>
      </c>
      <c r="B1160" s="4" cm="1">
        <f t="array" aca="1" ref="B11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160" s="2">
        <f t="shared" ca="1" si="144"/>
        <v>3.0077663761832931</v>
      </c>
      <c r="D1160" s="4" t="str" cm="1">
        <f t="array" aca="1" ref="D11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60" s="2">
        <f t="shared" ca="1" si="145"/>
        <v>30.005459717928076</v>
      </c>
      <c r="F1160" s="4" t="str" cm="1">
        <f t="array" aca="1" ref="F11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60" s="2">
        <f t="shared" ca="1" si="146"/>
        <v>40.014793865744103</v>
      </c>
      <c r="H1160" s="47" t="str" cm="1">
        <f t="array" aca="1" ref="H11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61" spans="1:8" x14ac:dyDescent="0.25">
      <c r="A1161" s="2">
        <f t="shared" ca="1" si="143"/>
        <v>3.0001765195870789</v>
      </c>
      <c r="B1161" s="4" cm="1">
        <f t="array" aca="1" ref="B11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161" s="2">
        <f t="shared" ca="1" si="144"/>
        <v>3.0105817398096133</v>
      </c>
      <c r="D1161" s="4" t="str" cm="1">
        <f t="array" aca="1" ref="D11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61" s="2">
        <f t="shared" ca="1" si="145"/>
        <v>30.013767153682878</v>
      </c>
      <c r="F1161" s="4" t="str" cm="1">
        <f t="array" aca="1" ref="F11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61" s="2">
        <f t="shared" ca="1" si="146"/>
        <v>40.01991204983387</v>
      </c>
      <c r="H1161" s="47" t="str" cm="1">
        <f t="array" aca="1" ref="H11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62" spans="1:8" x14ac:dyDescent="0.25">
      <c r="A1162" s="2">
        <f t="shared" ca="1" si="143"/>
        <v>3.0047428940801151</v>
      </c>
      <c r="B1162" s="4" cm="1">
        <f t="array" aca="1" ref="B11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162" s="2">
        <f t="shared" ca="1" si="144"/>
        <v>3.0084467838413902</v>
      </c>
      <c r="D1162" s="4" t="str" cm="1">
        <f t="array" aca="1" ref="D11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62" s="2">
        <f t="shared" ca="1" si="145"/>
        <v>30.013160901975649</v>
      </c>
      <c r="F1162" s="4" t="str" cm="1">
        <f t="array" aca="1" ref="F11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62" s="2">
        <f t="shared" ca="1" si="146"/>
        <v>40.012036138329037</v>
      </c>
      <c r="H1162" s="47" t="str" cm="1">
        <f t="array" aca="1" ref="H11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63" spans="1:8" x14ac:dyDescent="0.25">
      <c r="A1163" s="2">
        <f t="shared" ca="1" si="143"/>
        <v>3.0062088425075886</v>
      </c>
      <c r="B1163" s="4" cm="1">
        <f t="array" aca="1" ref="B11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63" s="2">
        <f t="shared" ca="1" si="144"/>
        <v>3.0051176664082235</v>
      </c>
      <c r="D1163" s="4" t="str" cm="1">
        <f t="array" aca="1" ref="D11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63" s="2">
        <f t="shared" ca="1" si="145"/>
        <v>30.021870756580746</v>
      </c>
      <c r="F1163" s="4" t="str" cm="1">
        <f t="array" aca="1" ref="F11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63" s="2">
        <f t="shared" ca="1" si="146"/>
        <v>40.005281714071387</v>
      </c>
      <c r="H1163" s="47" t="str" cm="1">
        <f t="array" aca="1" ref="H11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64" spans="1:8" x14ac:dyDescent="0.25">
      <c r="A1164" s="2">
        <f t="shared" ca="1" si="143"/>
        <v>3.002952096000191</v>
      </c>
      <c r="B1164" s="4" cm="1">
        <f t="array" aca="1" ref="B11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164" s="2">
        <f t="shared" ca="1" si="144"/>
        <v>3.0292955810744275</v>
      </c>
      <c r="D1164" s="4" t="str" cm="1">
        <f t="array" aca="1" ref="D11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64" s="2">
        <f t="shared" ca="1" si="145"/>
        <v>30.007310524328076</v>
      </c>
      <c r="F1164" s="4" t="str" cm="1">
        <f t="array" aca="1" ref="F11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64" s="2">
        <f t="shared" ca="1" si="146"/>
        <v>40.005990015193404</v>
      </c>
      <c r="H1164" s="47" t="str" cm="1">
        <f t="array" aca="1" ref="H11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65" spans="1:8" x14ac:dyDescent="0.25">
      <c r="A1165" s="2">
        <f t="shared" ca="1" si="143"/>
        <v>3.0088543809376915</v>
      </c>
      <c r="B1165" s="4" cm="1">
        <f t="array" aca="1" ref="B11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165" s="2">
        <f t="shared" ca="1" si="144"/>
        <v>3.0173747644379976</v>
      </c>
      <c r="D1165" s="4" t="str" cm="1">
        <f t="array" aca="1" ref="D11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65" s="2">
        <f t="shared" ca="1" si="145"/>
        <v>30.009562855035792</v>
      </c>
      <c r="F1165" s="4" t="str" cm="1">
        <f t="array" aca="1" ref="F11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65" s="2">
        <f t="shared" ca="1" si="146"/>
        <v>40.019337814554817</v>
      </c>
      <c r="H1165" s="47" t="str" cm="1">
        <f t="array" aca="1" ref="H11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66" spans="1:8" x14ac:dyDescent="0.25">
      <c r="A1166" s="2">
        <f t="shared" ca="1" si="143"/>
        <v>3.0011100043434324</v>
      </c>
      <c r="B1166" s="4" cm="1">
        <f t="array" aca="1" ref="B11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166" s="2">
        <f t="shared" ca="1" si="144"/>
        <v>3.0292614460519052</v>
      </c>
      <c r="D1166" s="4" t="str" cm="1">
        <f t="array" aca="1" ref="D11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66" s="2">
        <f t="shared" ca="1" si="145"/>
        <v>30.014776129823534</v>
      </c>
      <c r="F1166" s="4" t="str" cm="1">
        <f t="array" aca="1" ref="F11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66" s="2">
        <f t="shared" ca="1" si="146"/>
        <v>40.024683169018758</v>
      </c>
      <c r="H1166" s="47" t="str" cm="1">
        <f t="array" aca="1" ref="H11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67" spans="1:8" x14ac:dyDescent="0.25">
      <c r="A1167" s="2">
        <f t="shared" ca="1" si="143"/>
        <v>3.0015672003115021</v>
      </c>
      <c r="B1167" s="4" cm="1">
        <f t="array" aca="1" ref="B11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167" s="2">
        <f t="shared" ca="1" si="144"/>
        <v>3.0171611192711874</v>
      </c>
      <c r="D1167" s="4" t="str" cm="1">
        <f t="array" aca="1" ref="D11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67" s="2">
        <f t="shared" ca="1" si="145"/>
        <v>30.007264678981105</v>
      </c>
      <c r="F1167" s="4" t="str" cm="1">
        <f t="array" aca="1" ref="F11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67" s="2">
        <f t="shared" ca="1" si="146"/>
        <v>40.029406667819259</v>
      </c>
      <c r="H1167" s="47" t="str" cm="1">
        <f t="array" aca="1" ref="H11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68" spans="1:8" x14ac:dyDescent="0.25">
      <c r="A1168" s="2">
        <f t="shared" ca="1" si="143"/>
        <v>3.0064156205610026</v>
      </c>
      <c r="B1168" s="4" cm="1">
        <f t="array" aca="1" ref="B11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68" s="2">
        <f t="shared" ca="1" si="144"/>
        <v>3.004172311299238</v>
      </c>
      <c r="D1168" s="4" t="str" cm="1">
        <f t="array" aca="1" ref="D11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68" s="2">
        <f t="shared" ca="1" si="145"/>
        <v>30.002956551711453</v>
      </c>
      <c r="F1168" s="4" t="str" cm="1">
        <f t="array" aca="1" ref="F11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68" s="2">
        <f t="shared" ca="1" si="146"/>
        <v>40.016120131785598</v>
      </c>
      <c r="H1168" s="47" t="str" cm="1">
        <f t="array" aca="1" ref="H11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69" spans="1:8" x14ac:dyDescent="0.25">
      <c r="A1169" s="2">
        <f t="shared" ca="1" si="143"/>
        <v>3.0048644193954117</v>
      </c>
      <c r="B1169" s="4" cm="1">
        <f t="array" aca="1" ref="B11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169" s="2">
        <f t="shared" ca="1" si="144"/>
        <v>3.018018650717011</v>
      </c>
      <c r="D1169" s="4" t="str" cm="1">
        <f t="array" aca="1" ref="D11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69" s="2">
        <f t="shared" ca="1" si="145"/>
        <v>30.014479752324636</v>
      </c>
      <c r="F1169" s="4" t="str" cm="1">
        <f t="array" aca="1" ref="F11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69" s="2">
        <f t="shared" ca="1" si="146"/>
        <v>40.027268308104439</v>
      </c>
      <c r="H1169" s="47" t="str" cm="1">
        <f t="array" aca="1" ref="H11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70" spans="1:8" x14ac:dyDescent="0.25">
      <c r="A1170" s="2">
        <f t="shared" ca="1" si="143"/>
        <v>3.0022028622933967</v>
      </c>
      <c r="B1170" s="4" cm="1">
        <f t="array" aca="1" ref="B11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170" s="2">
        <f t="shared" ca="1" si="144"/>
        <v>3.016774242961918</v>
      </c>
      <c r="D1170" s="4" t="str" cm="1">
        <f t="array" aca="1" ref="D11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70" s="2">
        <f t="shared" ca="1" si="145"/>
        <v>30.011222286067696</v>
      </c>
      <c r="F1170" s="4" t="str" cm="1">
        <f t="array" aca="1" ref="F11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70" s="2">
        <f t="shared" ca="1" si="146"/>
        <v>40.019638590083218</v>
      </c>
      <c r="H1170" s="47" t="str" cm="1">
        <f t="array" aca="1" ref="H11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71" spans="1:8" x14ac:dyDescent="0.25">
      <c r="A1171" s="2">
        <f t="shared" ca="1" si="143"/>
        <v>3.0018180888861696</v>
      </c>
      <c r="B1171" s="4" cm="1">
        <f t="array" aca="1" ref="B11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171" s="2">
        <f t="shared" ca="1" si="144"/>
        <v>3.0210497530811669</v>
      </c>
      <c r="D1171" s="4" t="str" cm="1">
        <f t="array" aca="1" ref="D11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71" s="2">
        <f t="shared" ca="1" si="145"/>
        <v>30.017775269364833</v>
      </c>
      <c r="F1171" s="4" t="str" cm="1">
        <f t="array" aca="1" ref="F11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71" s="2">
        <f t="shared" ca="1" si="146"/>
        <v>40.028134435295847</v>
      </c>
      <c r="H1171" s="47" t="str" cm="1">
        <f t="array" aca="1" ref="H11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72" spans="1:8" x14ac:dyDescent="0.25">
      <c r="A1172" s="2">
        <f t="shared" ca="1" si="143"/>
        <v>3.0073546664333839</v>
      </c>
      <c r="B1172" s="4" cm="1">
        <f t="array" aca="1" ref="B11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172" s="2">
        <f t="shared" ca="1" si="144"/>
        <v>3.0259445239899052</v>
      </c>
      <c r="D1172" s="4" t="str" cm="1">
        <f t="array" aca="1" ref="D11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72" s="2">
        <f t="shared" ca="1" si="145"/>
        <v>30.026616275771005</v>
      </c>
      <c r="F1172" s="4" t="str" cm="1">
        <f t="array" aca="1" ref="F11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72" s="2">
        <f t="shared" ca="1" si="146"/>
        <v>40.028158242283482</v>
      </c>
      <c r="H1172" s="47" t="str" cm="1">
        <f t="array" aca="1" ref="H11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73" spans="1:8" x14ac:dyDescent="0.25">
      <c r="A1173" s="2">
        <f t="shared" ca="1" si="143"/>
        <v>3.0015101298282052</v>
      </c>
      <c r="B1173" s="4" cm="1">
        <f t="array" aca="1" ref="B11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173" s="2">
        <f t="shared" ca="1" si="144"/>
        <v>3.002853946329421</v>
      </c>
      <c r="D1173" s="4" t="str" cm="1">
        <f t="array" aca="1" ref="D11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73" s="2">
        <f t="shared" ca="1" si="145"/>
        <v>30.000864079256061</v>
      </c>
      <c r="F1173" s="4" t="str" cm="1">
        <f t="array" aca="1" ref="F11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73" s="2">
        <f t="shared" ca="1" si="146"/>
        <v>40.025198340226993</v>
      </c>
      <c r="H1173" s="47" t="str" cm="1">
        <f t="array" aca="1" ref="H11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74" spans="1:8" x14ac:dyDescent="0.25">
      <c r="A1174" s="2">
        <f t="shared" ca="1" si="143"/>
        <v>3.0056185266176083</v>
      </c>
      <c r="B1174" s="4" cm="1">
        <f t="array" aca="1" ref="B11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174" s="2">
        <f t="shared" ca="1" si="144"/>
        <v>3.0245344738852546</v>
      </c>
      <c r="D1174" s="4" t="str" cm="1">
        <f t="array" aca="1" ref="D11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74" s="2">
        <f t="shared" ca="1" si="145"/>
        <v>30.0265225410268</v>
      </c>
      <c r="F1174" s="4" t="str" cm="1">
        <f t="array" aca="1" ref="F11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74" s="2">
        <f t="shared" ca="1" si="146"/>
        <v>40.007875721044485</v>
      </c>
      <c r="H1174" s="47" t="str" cm="1">
        <f t="array" aca="1" ref="H11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75" spans="1:8" x14ac:dyDescent="0.25">
      <c r="A1175" s="2">
        <f t="shared" ca="1" si="143"/>
        <v>3.0097909150193405</v>
      </c>
      <c r="B1175" s="4" cm="1">
        <f t="array" aca="1" ref="B11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175" s="2">
        <f t="shared" ca="1" si="144"/>
        <v>3.0147821130150203</v>
      </c>
      <c r="D1175" s="4" t="str" cm="1">
        <f t="array" aca="1" ref="D11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75" s="2">
        <f t="shared" ca="1" si="145"/>
        <v>30.006828244478669</v>
      </c>
      <c r="F1175" s="4" t="str" cm="1">
        <f t="array" aca="1" ref="F11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75" s="2">
        <f t="shared" ca="1" si="146"/>
        <v>40.01856837985305</v>
      </c>
      <c r="H1175" s="47" t="str" cm="1">
        <f t="array" aca="1" ref="H11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76" spans="1:8" x14ac:dyDescent="0.25">
      <c r="A1176" s="2">
        <f t="shared" ca="1" si="143"/>
        <v>3.0032358754059065</v>
      </c>
      <c r="B1176" s="4" cm="1">
        <f t="array" aca="1" ref="B11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176" s="2">
        <f t="shared" ca="1" si="144"/>
        <v>3.0220024525505331</v>
      </c>
      <c r="D1176" s="4" t="str" cm="1">
        <f t="array" aca="1" ref="D11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76" s="2">
        <f t="shared" ca="1" si="145"/>
        <v>30.009969001688194</v>
      </c>
      <c r="F1176" s="4" t="str" cm="1">
        <f t="array" aca="1" ref="F11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76" s="2">
        <f t="shared" ca="1" si="146"/>
        <v>40.029134520472724</v>
      </c>
      <c r="H1176" s="47" t="str" cm="1">
        <f t="array" aca="1" ref="H11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77" spans="1:8" x14ac:dyDescent="0.25">
      <c r="A1177" s="2">
        <f t="shared" ca="1" si="143"/>
        <v>3.0015587515795379</v>
      </c>
      <c r="B1177" s="4" cm="1">
        <f t="array" aca="1" ref="B11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177" s="2">
        <f t="shared" ca="1" si="144"/>
        <v>3.0125100772364961</v>
      </c>
      <c r="D1177" s="4" t="str" cm="1">
        <f t="array" aca="1" ref="D11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77" s="2">
        <f t="shared" ca="1" si="145"/>
        <v>30.003187927691091</v>
      </c>
      <c r="F1177" s="4" t="str" cm="1">
        <f t="array" aca="1" ref="F11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77" s="2">
        <f t="shared" ca="1" si="146"/>
        <v>40.010982875931845</v>
      </c>
      <c r="H1177" s="47" t="str" cm="1">
        <f t="array" aca="1" ref="H11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78" spans="1:8" x14ac:dyDescent="0.25">
      <c r="A1178" s="2">
        <f t="shared" ca="1" si="143"/>
        <v>3.0090760082853083</v>
      </c>
      <c r="B1178" s="4" cm="1">
        <f t="array" aca="1" ref="B11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178" s="2">
        <f t="shared" ca="1" si="144"/>
        <v>3.0286121385087084</v>
      </c>
      <c r="D1178" s="4" t="str" cm="1">
        <f t="array" aca="1" ref="D11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78" s="2">
        <f t="shared" ca="1" si="145"/>
        <v>30.019647705045966</v>
      </c>
      <c r="F1178" s="4" t="str" cm="1">
        <f t="array" aca="1" ref="F11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78" s="2">
        <f t="shared" ca="1" si="146"/>
        <v>40.02015255796708</v>
      </c>
      <c r="H1178" s="47" t="str" cm="1">
        <f t="array" aca="1" ref="H11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79" spans="1:8" x14ac:dyDescent="0.25">
      <c r="A1179" s="2">
        <f t="shared" ca="1" si="143"/>
        <v>3.0054379035818273</v>
      </c>
      <c r="B1179" s="4" cm="1">
        <f t="array" aca="1" ref="B11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179" s="2">
        <f t="shared" ca="1" si="144"/>
        <v>3.0132761792455174</v>
      </c>
      <c r="D1179" s="4" t="str" cm="1">
        <f t="array" aca="1" ref="D11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79" s="2">
        <f t="shared" ca="1" si="145"/>
        <v>30.022518214649349</v>
      </c>
      <c r="F1179" s="4" t="str" cm="1">
        <f t="array" aca="1" ref="F11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79" s="2">
        <f t="shared" ca="1" si="146"/>
        <v>40.027230971661545</v>
      </c>
      <c r="H1179" s="47" t="str" cm="1">
        <f t="array" aca="1" ref="H11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80" spans="1:8" x14ac:dyDescent="0.25">
      <c r="A1180" s="2">
        <f t="shared" ca="1" si="143"/>
        <v>3.0047072149806522</v>
      </c>
      <c r="B1180" s="4" cm="1">
        <f t="array" aca="1" ref="B11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180" s="2">
        <f t="shared" ca="1" si="144"/>
        <v>3.0049181044567801</v>
      </c>
      <c r="D1180" s="4" t="str" cm="1">
        <f t="array" aca="1" ref="D11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80" s="2">
        <f t="shared" ca="1" si="145"/>
        <v>30.022794842194443</v>
      </c>
      <c r="F1180" s="4" t="str" cm="1">
        <f t="array" aca="1" ref="F11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80" s="2">
        <f t="shared" ca="1" si="146"/>
        <v>40.027269913515084</v>
      </c>
      <c r="H1180" s="47" t="str" cm="1">
        <f t="array" aca="1" ref="H11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81" spans="1:8" x14ac:dyDescent="0.25">
      <c r="A1181" s="2">
        <f t="shared" ca="1" si="143"/>
        <v>3.0068864527772488</v>
      </c>
      <c r="B1181" s="4" cm="1">
        <f t="array" aca="1" ref="B11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81" s="2">
        <f t="shared" ca="1" si="144"/>
        <v>3.0156157502359275</v>
      </c>
      <c r="D1181" s="4" t="str" cm="1">
        <f t="array" aca="1" ref="D11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81" s="2">
        <f t="shared" ca="1" si="145"/>
        <v>30.028068946891874</v>
      </c>
      <c r="F1181" s="4" t="str" cm="1">
        <f t="array" aca="1" ref="F11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81" s="2">
        <f t="shared" ca="1" si="146"/>
        <v>40.001184145990564</v>
      </c>
      <c r="H1181" s="47" t="str" cm="1">
        <f t="array" aca="1" ref="H11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82" spans="1:8" x14ac:dyDescent="0.25">
      <c r="A1182" s="2">
        <f t="shared" ca="1" si="143"/>
        <v>3.0012130836618622</v>
      </c>
      <c r="B1182" s="4" cm="1">
        <f t="array" aca="1" ref="B11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182" s="2">
        <f t="shared" ca="1" si="144"/>
        <v>3.005361717734679</v>
      </c>
      <c r="D1182" s="4" t="str" cm="1">
        <f t="array" aca="1" ref="D11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82" s="2">
        <f t="shared" ca="1" si="145"/>
        <v>30.028220121569099</v>
      </c>
      <c r="F1182" s="4" t="str" cm="1">
        <f t="array" aca="1" ref="F11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82" s="2">
        <f t="shared" ca="1" si="146"/>
        <v>40.024237645513118</v>
      </c>
      <c r="H1182" s="47" t="str" cm="1">
        <f t="array" aca="1" ref="H11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83" spans="1:8" x14ac:dyDescent="0.25">
      <c r="A1183" s="2">
        <f t="shared" ca="1" si="143"/>
        <v>3.0015780143649655</v>
      </c>
      <c r="B1183" s="4" cm="1">
        <f t="array" aca="1" ref="B11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183" s="2">
        <f t="shared" ca="1" si="144"/>
        <v>3.0292643546727684</v>
      </c>
      <c r="D1183" s="4" t="str" cm="1">
        <f t="array" aca="1" ref="D11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83" s="2">
        <f t="shared" ca="1" si="145"/>
        <v>30.018533598869741</v>
      </c>
      <c r="F1183" s="4" t="str" cm="1">
        <f t="array" aca="1" ref="F11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83" s="2">
        <f t="shared" ca="1" si="146"/>
        <v>40.010000482261241</v>
      </c>
      <c r="H1183" s="47" t="str" cm="1">
        <f t="array" aca="1" ref="H11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84" spans="1:8" x14ac:dyDescent="0.25">
      <c r="A1184" s="2">
        <f t="shared" ca="1" si="143"/>
        <v>3.0060091261149036</v>
      </c>
      <c r="B1184" s="4" cm="1">
        <f t="array" aca="1" ref="B11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84" s="2">
        <f t="shared" ca="1" si="144"/>
        <v>3.0100898929512669</v>
      </c>
      <c r="D1184" s="4" t="str" cm="1">
        <f t="array" aca="1" ref="D11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84" s="2">
        <f t="shared" ca="1" si="145"/>
        <v>30.006633739900504</v>
      </c>
      <c r="F1184" s="4" t="str" cm="1">
        <f t="array" aca="1" ref="F11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84" s="2">
        <f t="shared" ca="1" si="146"/>
        <v>40.020133770406616</v>
      </c>
      <c r="H1184" s="47" t="str" cm="1">
        <f t="array" aca="1" ref="H11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85" spans="1:8" x14ac:dyDescent="0.25">
      <c r="A1185" s="2">
        <f t="shared" ca="1" si="143"/>
        <v>3.0041374675426034</v>
      </c>
      <c r="B1185" s="4" cm="1">
        <f t="array" aca="1" ref="B11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185" s="2">
        <f t="shared" ca="1" si="144"/>
        <v>3.009195267861644</v>
      </c>
      <c r="D1185" s="4" t="str" cm="1">
        <f t="array" aca="1" ref="D11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85" s="2">
        <f t="shared" ca="1" si="145"/>
        <v>30.004426736067725</v>
      </c>
      <c r="F1185" s="4" t="str" cm="1">
        <f t="array" aca="1" ref="F11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85" s="2">
        <f t="shared" ca="1" si="146"/>
        <v>40.002089371016169</v>
      </c>
      <c r="H1185" s="47" t="str" cm="1">
        <f t="array" aca="1" ref="H11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86" spans="1:8" x14ac:dyDescent="0.25">
      <c r="A1186" s="2">
        <f t="shared" ca="1" si="143"/>
        <v>3.0022772409155998</v>
      </c>
      <c r="B1186" s="4" cm="1">
        <f t="array" aca="1" ref="B11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186" s="2">
        <f t="shared" ca="1" si="144"/>
        <v>3.0194882244010124</v>
      </c>
      <c r="D1186" s="4" t="str" cm="1">
        <f t="array" aca="1" ref="D11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86" s="2">
        <f t="shared" ca="1" si="145"/>
        <v>30.016316911756032</v>
      </c>
      <c r="F1186" s="4" t="str" cm="1">
        <f t="array" aca="1" ref="F11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86" s="2">
        <f t="shared" ca="1" si="146"/>
        <v>40.017121126447087</v>
      </c>
      <c r="H1186" s="47" t="str" cm="1">
        <f t="array" aca="1" ref="H11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87" spans="1:8" x14ac:dyDescent="0.25">
      <c r="A1187" s="2">
        <f t="shared" ca="1" si="143"/>
        <v>3.0003786528133429</v>
      </c>
      <c r="B1187" s="4" cm="1">
        <f t="array" aca="1" ref="B11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187" s="2">
        <f t="shared" ca="1" si="144"/>
        <v>3.008367871383467</v>
      </c>
      <c r="D1187" s="4" t="str" cm="1">
        <f t="array" aca="1" ref="D11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87" s="2">
        <f t="shared" ca="1" si="145"/>
        <v>30.025211080675525</v>
      </c>
      <c r="F1187" s="4" t="str" cm="1">
        <f t="array" aca="1" ref="F11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87" s="2">
        <f t="shared" ca="1" si="146"/>
        <v>40.008560266765109</v>
      </c>
      <c r="H1187" s="47" t="str" cm="1">
        <f t="array" aca="1" ref="H11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88" spans="1:8" x14ac:dyDescent="0.25">
      <c r="A1188" s="2">
        <f t="shared" ca="1" si="143"/>
        <v>3.0021682057119765</v>
      </c>
      <c r="B1188" s="4" cm="1">
        <f t="array" aca="1" ref="B11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188" s="2">
        <f t="shared" ca="1" si="144"/>
        <v>3.0261726790839005</v>
      </c>
      <c r="D1188" s="4" t="str" cm="1">
        <f t="array" aca="1" ref="D11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88" s="2">
        <f t="shared" ca="1" si="145"/>
        <v>30.025674504757614</v>
      </c>
      <c r="F1188" s="4" t="str" cm="1">
        <f t="array" aca="1" ref="F11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88" s="2">
        <f t="shared" ca="1" si="146"/>
        <v>40.000639060222142</v>
      </c>
      <c r="H1188" s="47" t="str" cm="1">
        <f t="array" aca="1" ref="H11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89" spans="1:8" x14ac:dyDescent="0.25">
      <c r="A1189" s="2">
        <f t="shared" ca="1" si="143"/>
        <v>3.0098042504429765</v>
      </c>
      <c r="B1189" s="4" cm="1">
        <f t="array" aca="1" ref="B11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189" s="2">
        <f t="shared" ca="1" si="144"/>
        <v>3.0291811024231343</v>
      </c>
      <c r="D1189" s="4" t="str" cm="1">
        <f t="array" aca="1" ref="D11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89" s="2">
        <f t="shared" ca="1" si="145"/>
        <v>30.028835089628512</v>
      </c>
      <c r="F1189" s="4" t="str" cm="1">
        <f t="array" aca="1" ref="F11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89" s="2">
        <f t="shared" ca="1" si="146"/>
        <v>40.01968599473846</v>
      </c>
      <c r="H1189" s="47" t="str" cm="1">
        <f t="array" aca="1" ref="H11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90" spans="1:8" x14ac:dyDescent="0.25">
      <c r="A1190" s="2">
        <f t="shared" ca="1" si="143"/>
        <v>3.0083006626138928</v>
      </c>
      <c r="B1190" s="4" cm="1">
        <f t="array" aca="1" ref="B11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190" s="2">
        <f t="shared" ca="1" si="144"/>
        <v>3.0186749108621003</v>
      </c>
      <c r="D1190" s="4" t="str" cm="1">
        <f t="array" aca="1" ref="D11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90" s="2">
        <f t="shared" ca="1" si="145"/>
        <v>30.010170811543283</v>
      </c>
      <c r="F1190" s="4" t="str" cm="1">
        <f t="array" aca="1" ref="F11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90" s="2">
        <f t="shared" ca="1" si="146"/>
        <v>40.015152322267205</v>
      </c>
      <c r="H1190" s="47" t="str" cm="1">
        <f t="array" aca="1" ref="H11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91" spans="1:8" x14ac:dyDescent="0.25">
      <c r="A1191" s="2">
        <f t="shared" ca="1" si="143"/>
        <v>3.0027879100100687</v>
      </c>
      <c r="B1191" s="4" cm="1">
        <f t="array" aca="1" ref="B11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191" s="2">
        <f t="shared" ca="1" si="144"/>
        <v>3.0052427691145227</v>
      </c>
      <c r="D1191" s="4" t="str" cm="1">
        <f t="array" aca="1" ref="D11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91" s="2">
        <f t="shared" ca="1" si="145"/>
        <v>30.017751212778165</v>
      </c>
      <c r="F1191" s="4" t="str" cm="1">
        <f t="array" aca="1" ref="F11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191" s="2">
        <f t="shared" ca="1" si="146"/>
        <v>40.011586530692611</v>
      </c>
      <c r="H1191" s="47" t="str" cm="1">
        <f t="array" aca="1" ref="H11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92" spans="1:8" x14ac:dyDescent="0.25">
      <c r="A1192" s="2">
        <f t="shared" ca="1" si="143"/>
        <v>3.0024070237290319</v>
      </c>
      <c r="B1192" s="4" cm="1">
        <f t="array" aca="1" ref="B11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192" s="2">
        <f t="shared" ca="1" si="144"/>
        <v>3.0257320819578739</v>
      </c>
      <c r="D1192" s="4" t="str" cm="1">
        <f t="array" aca="1" ref="D11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92" s="2">
        <f t="shared" ca="1" si="145"/>
        <v>30.007308217649491</v>
      </c>
      <c r="F1192" s="4" t="str" cm="1">
        <f t="array" aca="1" ref="F11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92" s="2">
        <f t="shared" ca="1" si="146"/>
        <v>40.029078001555526</v>
      </c>
      <c r="H1192" s="47" t="str" cm="1">
        <f t="array" aca="1" ref="H11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93" spans="1:8" x14ac:dyDescent="0.25">
      <c r="A1193" s="2">
        <f t="shared" ca="1" si="143"/>
        <v>3.007982579691002</v>
      </c>
      <c r="B1193" s="4" cm="1">
        <f t="array" aca="1" ref="B11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193" s="2">
        <f t="shared" ca="1" si="144"/>
        <v>3.0004929143112746</v>
      </c>
      <c r="D1193" s="4" t="str" cm="1">
        <f t="array" aca="1" ref="D11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93" s="2">
        <f t="shared" ca="1" si="145"/>
        <v>30.026234853238687</v>
      </c>
      <c r="F1193" s="4" t="str" cm="1">
        <f t="array" aca="1" ref="F11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93" s="2">
        <f t="shared" ca="1" si="146"/>
        <v>40.010678549059314</v>
      </c>
      <c r="H1193" s="47" t="str" cm="1">
        <f t="array" aca="1" ref="H11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94" spans="1:8" x14ac:dyDescent="0.25">
      <c r="A1194" s="2">
        <f t="shared" ca="1" si="143"/>
        <v>3.0000292746519275</v>
      </c>
      <c r="B1194" s="4" cm="1">
        <f t="array" aca="1" ref="B11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194" s="2">
        <f t="shared" ca="1" si="144"/>
        <v>3.0166104643871341</v>
      </c>
      <c r="D1194" s="4" t="str" cm="1">
        <f t="array" aca="1" ref="D11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94" s="2">
        <f t="shared" ca="1" si="145"/>
        <v>30.001661726580817</v>
      </c>
      <c r="F1194" s="4" t="str" cm="1">
        <f t="array" aca="1" ref="F11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94" s="2">
        <f t="shared" ca="1" si="146"/>
        <v>40.024527439604753</v>
      </c>
      <c r="H1194" s="47" t="str" cm="1">
        <f t="array" aca="1" ref="H11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95" spans="1:8" x14ac:dyDescent="0.25">
      <c r="A1195" s="2">
        <f t="shared" ca="1" si="143"/>
        <v>3.0076717646964588</v>
      </c>
      <c r="B1195" s="4" cm="1">
        <f t="array" aca="1" ref="B11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195" s="2">
        <f t="shared" ca="1" si="144"/>
        <v>3.0183322438051139</v>
      </c>
      <c r="D1195" s="4" t="str" cm="1">
        <f t="array" aca="1" ref="D11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195" s="2">
        <f t="shared" ca="1" si="145"/>
        <v>30.02884623972254</v>
      </c>
      <c r="F1195" s="4" t="str" cm="1">
        <f t="array" aca="1" ref="F11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95" s="2">
        <f t="shared" ca="1" si="146"/>
        <v>40.020526850205258</v>
      </c>
      <c r="H1195" s="47" t="str" cm="1">
        <f t="array" aca="1" ref="H11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196" spans="1:8" x14ac:dyDescent="0.25">
      <c r="A1196" s="2">
        <f t="shared" ca="1" si="143"/>
        <v>3.0082064682867631</v>
      </c>
      <c r="B1196" s="4" cm="1">
        <f t="array" aca="1" ref="B11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196" s="2">
        <f t="shared" ca="1" si="144"/>
        <v>3.0272557859917586</v>
      </c>
      <c r="D1196" s="4" t="str" cm="1">
        <f t="array" aca="1" ref="D11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96" s="2">
        <f t="shared" ca="1" si="145"/>
        <v>30.025515882811433</v>
      </c>
      <c r="F1196" s="4" t="str" cm="1">
        <f t="array" aca="1" ref="F11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96" s="2">
        <f t="shared" ca="1" si="146"/>
        <v>40.003737987149222</v>
      </c>
      <c r="H1196" s="47" t="str" cm="1">
        <f t="array" aca="1" ref="H11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97" spans="1:8" x14ac:dyDescent="0.25">
      <c r="A1197" s="2">
        <f t="shared" ca="1" si="143"/>
        <v>3.0062371501993939</v>
      </c>
      <c r="B1197" s="4" cm="1">
        <f t="array" aca="1" ref="B11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197" s="2">
        <f t="shared" ca="1" si="144"/>
        <v>3.0266684814592524</v>
      </c>
      <c r="D1197" s="4" t="str" cm="1">
        <f t="array" aca="1" ref="D11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97" s="2">
        <f t="shared" ca="1" si="145"/>
        <v>30.008212888350528</v>
      </c>
      <c r="F1197" s="4" t="str" cm="1">
        <f t="array" aca="1" ref="F11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97" s="2">
        <f t="shared" ca="1" si="146"/>
        <v>40.007481274124402</v>
      </c>
      <c r="H1197" s="47" t="str" cm="1">
        <f t="array" aca="1" ref="H11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198" spans="1:8" x14ac:dyDescent="0.25">
      <c r="A1198" s="2">
        <f t="shared" ca="1" si="143"/>
        <v>3.0052148837281121</v>
      </c>
      <c r="B1198" s="4" cm="1">
        <f t="array" aca="1" ref="B11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198" s="2">
        <f t="shared" ca="1" si="144"/>
        <v>3.0092429506722636</v>
      </c>
      <c r="D1198" s="4" t="str" cm="1">
        <f t="array" aca="1" ref="D11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198" s="2">
        <f t="shared" ca="1" si="145"/>
        <v>30.003357616241907</v>
      </c>
      <c r="F1198" s="4" t="str" cm="1">
        <f t="array" aca="1" ref="F11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198" s="2">
        <f t="shared" ca="1" si="146"/>
        <v>40.012512329565901</v>
      </c>
      <c r="H1198" s="47" t="str" cm="1">
        <f t="array" aca="1" ref="H11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199" spans="1:8" x14ac:dyDescent="0.25">
      <c r="A1199" s="2">
        <f t="shared" ca="1" si="143"/>
        <v>3.002745090046314</v>
      </c>
      <c r="B1199" s="4" cm="1">
        <f t="array" aca="1" ref="B11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199" s="2">
        <f t="shared" ca="1" si="144"/>
        <v>3.0238711879045987</v>
      </c>
      <c r="D1199" s="4" t="str" cm="1">
        <f t="array" aca="1" ref="D11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199" s="2">
        <f t="shared" ca="1" si="145"/>
        <v>30.020504884329981</v>
      </c>
      <c r="F1199" s="4" t="str" cm="1">
        <f t="array" aca="1" ref="F11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199" s="2">
        <f t="shared" ca="1" si="146"/>
        <v>40.026189658114994</v>
      </c>
      <c r="H1199" s="47" t="str" cm="1">
        <f t="array" aca="1" ref="H11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00" spans="1:8" x14ac:dyDescent="0.25">
      <c r="A1200" s="2">
        <f t="shared" ca="1" si="143"/>
        <v>3.0075915352590359</v>
      </c>
      <c r="B1200" s="4" cm="1">
        <f t="array" aca="1" ref="B12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200" s="2">
        <f t="shared" ca="1" si="144"/>
        <v>3.0177148308054509</v>
      </c>
      <c r="D1200" s="4" t="str" cm="1">
        <f t="array" aca="1" ref="D12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00" s="2">
        <f t="shared" ca="1" si="145"/>
        <v>30.003525035093784</v>
      </c>
      <c r="F1200" s="4" t="str" cm="1">
        <f t="array" aca="1" ref="F12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00" s="2">
        <f t="shared" ca="1" si="146"/>
        <v>40.000503224036954</v>
      </c>
      <c r="H1200" s="47" t="str" cm="1">
        <f t="array" aca="1" ref="H12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01" spans="1:8" x14ac:dyDescent="0.25">
      <c r="A1201" s="2">
        <f t="shared" ca="1" si="143"/>
        <v>3.0098734300300802</v>
      </c>
      <c r="B1201" s="4" cm="1">
        <f t="array" aca="1" ref="B12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201" s="2">
        <f t="shared" ca="1" si="144"/>
        <v>3.0126409496000877</v>
      </c>
      <c r="D1201" s="4" t="str" cm="1">
        <f t="array" aca="1" ref="D12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01" s="2">
        <f t="shared" ca="1" si="145"/>
        <v>30.015704854566717</v>
      </c>
      <c r="F1201" s="4" t="str" cm="1">
        <f t="array" aca="1" ref="F12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01" s="2">
        <f t="shared" ca="1" si="146"/>
        <v>40.023638295070462</v>
      </c>
      <c r="H1201" s="47" t="str" cm="1">
        <f t="array" aca="1" ref="H12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02" spans="1:8" x14ac:dyDescent="0.25">
      <c r="A1202" s="2">
        <f t="shared" ca="1" si="143"/>
        <v>3.0099651691273439</v>
      </c>
      <c r="B1202" s="4" cm="1">
        <f t="array" aca="1" ref="B12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202" s="2">
        <f t="shared" ca="1" si="144"/>
        <v>3.0219296449480355</v>
      </c>
      <c r="D1202" s="4" t="str" cm="1">
        <f t="array" aca="1" ref="D12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02" s="2">
        <f t="shared" ca="1" si="145"/>
        <v>30.027210063551443</v>
      </c>
      <c r="F1202" s="4" t="str" cm="1">
        <f t="array" aca="1" ref="F12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02" s="2">
        <f t="shared" ca="1" si="146"/>
        <v>40.008018570518736</v>
      </c>
      <c r="H1202" s="47" t="str" cm="1">
        <f t="array" aca="1" ref="H12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03" spans="1:8" x14ac:dyDescent="0.25">
      <c r="A1203" s="2">
        <f t="shared" ca="1" si="143"/>
        <v>3.0024882174441085</v>
      </c>
      <c r="B1203" s="4" cm="1">
        <f t="array" aca="1" ref="B12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203" s="2">
        <f t="shared" ca="1" si="144"/>
        <v>3.0151834134617705</v>
      </c>
      <c r="D1203" s="4" t="str" cm="1">
        <f t="array" aca="1" ref="D12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03" s="2">
        <f t="shared" ca="1" si="145"/>
        <v>30.020350835873945</v>
      </c>
      <c r="F1203" s="4" t="str" cm="1">
        <f t="array" aca="1" ref="F12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03" s="2">
        <f t="shared" ca="1" si="146"/>
        <v>40.014021497135097</v>
      </c>
      <c r="H1203" s="47" t="str" cm="1">
        <f t="array" aca="1" ref="H12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04" spans="1:8" x14ac:dyDescent="0.25">
      <c r="A1204" s="2">
        <f t="shared" ca="1" si="143"/>
        <v>3.0064347211611246</v>
      </c>
      <c r="B1204" s="4" cm="1">
        <f t="array" aca="1" ref="B12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204" s="2">
        <f t="shared" ca="1" si="144"/>
        <v>3.0090592921409538</v>
      </c>
      <c r="D1204" s="4" t="str" cm="1">
        <f t="array" aca="1" ref="D12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04" s="2">
        <f t="shared" ca="1" si="145"/>
        <v>30.004841439381202</v>
      </c>
      <c r="F1204" s="4" t="str" cm="1">
        <f t="array" aca="1" ref="F12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04" s="2">
        <f t="shared" ca="1" si="146"/>
        <v>40.012427377040112</v>
      </c>
      <c r="H1204" s="47" t="str" cm="1">
        <f t="array" aca="1" ref="H12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05" spans="1:8" x14ac:dyDescent="0.25">
      <c r="A1205" s="2">
        <f t="shared" ca="1" si="143"/>
        <v>3.0065711024742763</v>
      </c>
      <c r="B1205" s="4" cm="1">
        <f t="array" aca="1" ref="B12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205" s="2">
        <f t="shared" ca="1" si="144"/>
        <v>3.0096090168463725</v>
      </c>
      <c r="D1205" s="4" t="str" cm="1">
        <f t="array" aca="1" ref="D12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05" s="2">
        <f t="shared" ca="1" si="145"/>
        <v>30.011667479597403</v>
      </c>
      <c r="F1205" s="4" t="str" cm="1">
        <f t="array" aca="1" ref="F12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05" s="2">
        <f t="shared" ca="1" si="146"/>
        <v>40.025727724446803</v>
      </c>
      <c r="H1205" s="47" t="str" cm="1">
        <f t="array" aca="1" ref="H12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06" spans="1:8" x14ac:dyDescent="0.25">
      <c r="A1206" s="2">
        <f t="shared" ca="1" si="143"/>
        <v>3.006326078640885</v>
      </c>
      <c r="B1206" s="4" cm="1">
        <f t="array" aca="1" ref="B12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206" s="2">
        <f t="shared" ca="1" si="144"/>
        <v>3.0008507592018012</v>
      </c>
      <c r="D1206" s="4" t="str" cm="1">
        <f t="array" aca="1" ref="D12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06" s="2">
        <f t="shared" ca="1" si="145"/>
        <v>30.002404031833496</v>
      </c>
      <c r="F1206" s="4" t="str" cm="1">
        <f t="array" aca="1" ref="F12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06" s="2">
        <f t="shared" ca="1" si="146"/>
        <v>40.003169055417509</v>
      </c>
      <c r="H1206" s="47" t="str" cm="1">
        <f t="array" aca="1" ref="H12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07" spans="1:8" x14ac:dyDescent="0.25">
      <c r="A1207" s="2">
        <f t="shared" ca="1" si="143"/>
        <v>3.0048482813150259</v>
      </c>
      <c r="B1207" s="4" cm="1">
        <f t="array" aca="1" ref="B12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207" s="2">
        <f t="shared" ca="1" si="144"/>
        <v>3.0029334376308863</v>
      </c>
      <c r="D1207" s="4" t="str" cm="1">
        <f t="array" aca="1" ref="D12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07" s="2">
        <f t="shared" ca="1" si="145"/>
        <v>30.014114256514006</v>
      </c>
      <c r="F1207" s="4" t="str" cm="1">
        <f t="array" aca="1" ref="F12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07" s="2">
        <f t="shared" ca="1" si="146"/>
        <v>40.024895329952813</v>
      </c>
      <c r="H1207" s="47" t="str" cm="1">
        <f t="array" aca="1" ref="H12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08" spans="1:8" x14ac:dyDescent="0.25">
      <c r="A1208" s="2">
        <f t="shared" ca="1" si="143"/>
        <v>3.0088807680513856</v>
      </c>
      <c r="B1208" s="4" cm="1">
        <f t="array" aca="1" ref="B12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208" s="2">
        <f t="shared" ca="1" si="144"/>
        <v>3.0018202036465524</v>
      </c>
      <c r="D1208" s="4" t="str" cm="1">
        <f t="array" aca="1" ref="D12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08" s="2">
        <f t="shared" ca="1" si="145"/>
        <v>30.019618700647158</v>
      </c>
      <c r="F1208" s="4" t="str" cm="1">
        <f t="array" aca="1" ref="F12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08" s="2">
        <f t="shared" ca="1" si="146"/>
        <v>40.023257117320476</v>
      </c>
      <c r="H1208" s="47" t="str" cm="1">
        <f t="array" aca="1" ref="H12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09" spans="1:8" x14ac:dyDescent="0.25">
      <c r="A1209" s="2">
        <f t="shared" ca="1" si="143"/>
        <v>3.0077247551141864</v>
      </c>
      <c r="B1209" s="4" cm="1">
        <f t="array" aca="1" ref="B12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209" s="2">
        <f t="shared" ca="1" si="144"/>
        <v>3.0040527294220625</v>
      </c>
      <c r="D1209" s="4" t="str" cm="1">
        <f t="array" aca="1" ref="D12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09" s="2">
        <f t="shared" ca="1" si="145"/>
        <v>30.025966836943191</v>
      </c>
      <c r="F1209" s="4" t="str" cm="1">
        <f t="array" aca="1" ref="F12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09" s="2">
        <f t="shared" ca="1" si="146"/>
        <v>40.018176381899217</v>
      </c>
      <c r="H1209" s="47" t="str" cm="1">
        <f t="array" aca="1" ref="H12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10" spans="1:8" x14ac:dyDescent="0.25">
      <c r="A1210" s="2">
        <f t="shared" ca="1" si="143"/>
        <v>3.0054367893726948</v>
      </c>
      <c r="B1210" s="4" cm="1">
        <f t="array" aca="1" ref="B12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210" s="2">
        <f t="shared" ca="1" si="144"/>
        <v>3.0019260843844395</v>
      </c>
      <c r="D1210" s="4" t="str" cm="1">
        <f t="array" aca="1" ref="D12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10" s="2">
        <f t="shared" ca="1" si="145"/>
        <v>30.017174777184984</v>
      </c>
      <c r="F1210" s="4" t="str" cm="1">
        <f t="array" aca="1" ref="F12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10" s="2">
        <f t="shared" ca="1" si="146"/>
        <v>40.007591043144522</v>
      </c>
      <c r="H1210" s="47" t="str" cm="1">
        <f t="array" aca="1" ref="H12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11" spans="1:8" x14ac:dyDescent="0.25">
      <c r="A1211" s="2">
        <f t="shared" ca="1" si="143"/>
        <v>3.0006161027140297</v>
      </c>
      <c r="B1211" s="4" cm="1">
        <f t="array" aca="1" ref="B12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211" s="2">
        <f t="shared" ca="1" si="144"/>
        <v>3.0262294960943832</v>
      </c>
      <c r="D1211" s="4" t="str" cm="1">
        <f t="array" aca="1" ref="D12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11" s="2">
        <f t="shared" ca="1" si="145"/>
        <v>30.005524904864391</v>
      </c>
      <c r="F1211" s="4" t="str" cm="1">
        <f t="array" aca="1" ref="F12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11" s="2">
        <f t="shared" ca="1" si="146"/>
        <v>40.001796334131313</v>
      </c>
      <c r="H1211" s="47" t="str" cm="1">
        <f t="array" aca="1" ref="H12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12" spans="1:8" x14ac:dyDescent="0.25">
      <c r="A1212" s="2">
        <f t="shared" ca="1" si="143"/>
        <v>3.0031626661895063</v>
      </c>
      <c r="B1212" s="4" cm="1">
        <f t="array" aca="1" ref="B12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212" s="2">
        <f t="shared" ca="1" si="144"/>
        <v>3.0042469396850526</v>
      </c>
      <c r="D1212" s="4" t="str" cm="1">
        <f t="array" aca="1" ref="D12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12" s="2">
        <f t="shared" ca="1" si="145"/>
        <v>30.002807091471734</v>
      </c>
      <c r="F1212" s="4" t="str" cm="1">
        <f t="array" aca="1" ref="F12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12" s="2">
        <f t="shared" ca="1" si="146"/>
        <v>40.020238440728072</v>
      </c>
      <c r="H1212" s="47" t="str" cm="1">
        <f t="array" aca="1" ref="H12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13" spans="1:8" x14ac:dyDescent="0.25">
      <c r="A1213" s="2">
        <f t="shared" ca="1" si="143"/>
        <v>3.0038071793389749</v>
      </c>
      <c r="B1213" s="4" cm="1">
        <f t="array" aca="1" ref="B12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213" s="2">
        <f t="shared" ca="1" si="144"/>
        <v>3.0246244373043822</v>
      </c>
      <c r="D1213" s="4" t="str" cm="1">
        <f t="array" aca="1" ref="D12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13" s="2">
        <f t="shared" ca="1" si="145"/>
        <v>30.007228003686862</v>
      </c>
      <c r="F1213" s="4" t="str" cm="1">
        <f t="array" aca="1" ref="F12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13" s="2">
        <f t="shared" ca="1" si="146"/>
        <v>40.020311203993501</v>
      </c>
      <c r="H1213" s="47" t="str" cm="1">
        <f t="array" aca="1" ref="H12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14" spans="1:8" x14ac:dyDescent="0.25">
      <c r="A1214" s="2">
        <f t="shared" ca="1" si="143"/>
        <v>3.0007317079786571</v>
      </c>
      <c r="B1214" s="4" cm="1">
        <f t="array" aca="1" ref="B12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214" s="2">
        <f t="shared" ca="1" si="144"/>
        <v>3.0082595229005391</v>
      </c>
      <c r="D1214" s="4" t="str" cm="1">
        <f t="array" aca="1" ref="D12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14" s="2">
        <f t="shared" ca="1" si="145"/>
        <v>30.009213640444738</v>
      </c>
      <c r="F1214" s="4" t="str" cm="1">
        <f t="array" aca="1" ref="F12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14" s="2">
        <f t="shared" ca="1" si="146"/>
        <v>40.000984274678245</v>
      </c>
      <c r="H1214" s="47" t="str" cm="1">
        <f t="array" aca="1" ref="H12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15" spans="1:8" x14ac:dyDescent="0.25">
      <c r="A1215" s="2">
        <f t="shared" ca="1" si="143"/>
        <v>3.0011225005410394</v>
      </c>
      <c r="B1215" s="4" cm="1">
        <f t="array" aca="1" ref="B12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215" s="2">
        <f t="shared" ca="1" si="144"/>
        <v>3.0019054439114785</v>
      </c>
      <c r="D1215" s="4" t="str" cm="1">
        <f t="array" aca="1" ref="D12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15" s="2">
        <f t="shared" ca="1" si="145"/>
        <v>30.025461677661617</v>
      </c>
      <c r="F1215" s="4" t="str" cm="1">
        <f t="array" aca="1" ref="F12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15" s="2">
        <f t="shared" ca="1" si="146"/>
        <v>40.001858747401165</v>
      </c>
      <c r="H1215" s="47" t="str" cm="1">
        <f t="array" aca="1" ref="H12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16" spans="1:8" x14ac:dyDescent="0.25">
      <c r="A1216" s="2">
        <f t="shared" ca="1" si="143"/>
        <v>3.0087910370181565</v>
      </c>
      <c r="B1216" s="4" cm="1">
        <f t="array" aca="1" ref="B12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216" s="2">
        <f t="shared" ca="1" si="144"/>
        <v>3.0269922453591738</v>
      </c>
      <c r="D1216" s="4" t="str" cm="1">
        <f t="array" aca="1" ref="D12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16" s="2">
        <f t="shared" ca="1" si="145"/>
        <v>30.000318096246044</v>
      </c>
      <c r="F1216" s="4" t="str" cm="1">
        <f t="array" aca="1" ref="F12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16" s="2">
        <f t="shared" ca="1" si="146"/>
        <v>40.004581617840657</v>
      </c>
      <c r="H1216" s="47" t="str" cm="1">
        <f t="array" aca="1" ref="H12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17" spans="1:8" x14ac:dyDescent="0.25">
      <c r="A1217" s="2">
        <f t="shared" ca="1" si="143"/>
        <v>3.0042070398258436</v>
      </c>
      <c r="B1217" s="4" cm="1">
        <f t="array" aca="1" ref="B12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217" s="2">
        <f t="shared" ca="1" si="144"/>
        <v>3.0059843077780601</v>
      </c>
      <c r="D1217" s="4" t="str" cm="1">
        <f t="array" aca="1" ref="D12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17" s="2">
        <f t="shared" ca="1" si="145"/>
        <v>30.008368051302263</v>
      </c>
      <c r="F1217" s="4" t="str" cm="1">
        <f t="array" aca="1" ref="F12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17" s="2">
        <f t="shared" ca="1" si="146"/>
        <v>40.006396026491124</v>
      </c>
      <c r="H1217" s="47" t="str" cm="1">
        <f t="array" aca="1" ref="H12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18" spans="1:8" x14ac:dyDescent="0.25">
      <c r="A1218" s="2">
        <f t="shared" ref="A1218:A1281" ca="1" si="147">3+RAND()*0.01</f>
        <v>3.0012052120802406</v>
      </c>
      <c r="B1218" s="4" cm="1">
        <f t="array" aca="1" ref="B12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218" s="2">
        <f t="shared" ref="C1218:C1281" ca="1" si="148">3+RAND()*0.03</f>
        <v>3.0078610061581852</v>
      </c>
      <c r="D1218" s="4" t="str" cm="1">
        <f t="array" aca="1" ref="D12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18" s="2">
        <f t="shared" ref="E1218:E1281" ca="1" si="149">30+RAND()*0.03</f>
        <v>30.008131856981105</v>
      </c>
      <c r="F1218" s="4" t="str" cm="1">
        <f t="array" aca="1" ref="F12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18" s="2">
        <f t="shared" ref="G1218:G1281" ca="1" si="150">40+RAND()*0.03</f>
        <v>40.023850303027864</v>
      </c>
      <c r="H1218" s="47" t="str" cm="1">
        <f t="array" aca="1" ref="H12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19" spans="1:8" x14ac:dyDescent="0.25">
      <c r="A1219" s="2">
        <f t="shared" ca="1" si="147"/>
        <v>3.0076554473119232</v>
      </c>
      <c r="B1219" s="4" cm="1">
        <f t="array" aca="1" ref="B12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219" s="2">
        <f t="shared" ca="1" si="148"/>
        <v>3.0273627257012214</v>
      </c>
      <c r="D1219" s="4" t="str" cm="1">
        <f t="array" aca="1" ref="D12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19" s="2">
        <f t="shared" ca="1" si="149"/>
        <v>30.001102383886927</v>
      </c>
      <c r="F1219" s="4" t="str" cm="1">
        <f t="array" aca="1" ref="F12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19" s="2">
        <f t="shared" ca="1" si="150"/>
        <v>40.004758335751156</v>
      </c>
      <c r="H1219" s="47" t="str" cm="1">
        <f t="array" aca="1" ref="H12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20" spans="1:8" x14ac:dyDescent="0.25">
      <c r="A1220" s="2">
        <f t="shared" ca="1" si="147"/>
        <v>3.0046990340128632</v>
      </c>
      <c r="B1220" s="4" cm="1">
        <f t="array" aca="1" ref="B12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220" s="2">
        <f t="shared" ca="1" si="148"/>
        <v>3.0239832330260086</v>
      </c>
      <c r="D1220" s="4" t="str" cm="1">
        <f t="array" aca="1" ref="D12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20" s="2">
        <f t="shared" ca="1" si="149"/>
        <v>30.023119817328837</v>
      </c>
      <c r="F1220" s="4" t="str" cm="1">
        <f t="array" aca="1" ref="F12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20" s="2">
        <f t="shared" ca="1" si="150"/>
        <v>40.020613949218436</v>
      </c>
      <c r="H1220" s="47" t="str" cm="1">
        <f t="array" aca="1" ref="H12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21" spans="1:8" x14ac:dyDescent="0.25">
      <c r="A1221" s="2">
        <f t="shared" ca="1" si="147"/>
        <v>3.0042065829712827</v>
      </c>
      <c r="B1221" s="4" cm="1">
        <f t="array" aca="1" ref="B12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221" s="2">
        <f t="shared" ca="1" si="148"/>
        <v>3.0209602937449285</v>
      </c>
      <c r="D1221" s="4" t="str" cm="1">
        <f t="array" aca="1" ref="D12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21" s="2">
        <f t="shared" ca="1" si="149"/>
        <v>30.024611098585105</v>
      </c>
      <c r="F1221" s="4" t="str" cm="1">
        <f t="array" aca="1" ref="F12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21" s="2">
        <f t="shared" ca="1" si="150"/>
        <v>40.025357782417615</v>
      </c>
      <c r="H1221" s="47" t="str" cm="1">
        <f t="array" aca="1" ref="H12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22" spans="1:8" x14ac:dyDescent="0.25">
      <c r="A1222" s="2">
        <f t="shared" ca="1" si="147"/>
        <v>3.0052944310569365</v>
      </c>
      <c r="B1222" s="4" cm="1">
        <f t="array" aca="1" ref="B12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222" s="2">
        <f t="shared" ca="1" si="148"/>
        <v>3.0176190442053996</v>
      </c>
      <c r="D1222" s="4" t="str" cm="1">
        <f t="array" aca="1" ref="D12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22" s="2">
        <f t="shared" ca="1" si="149"/>
        <v>30.000521589113884</v>
      </c>
      <c r="F1222" s="4" t="str" cm="1">
        <f t="array" aca="1" ref="F12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22" s="2">
        <f t="shared" ca="1" si="150"/>
        <v>40.021141908781686</v>
      </c>
      <c r="H1222" s="47" t="str" cm="1">
        <f t="array" aca="1" ref="H12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23" spans="1:8" x14ac:dyDescent="0.25">
      <c r="A1223" s="2">
        <f t="shared" ca="1" si="147"/>
        <v>3.0025240770760879</v>
      </c>
      <c r="B1223" s="4" cm="1">
        <f t="array" aca="1" ref="B12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223" s="2">
        <f t="shared" ca="1" si="148"/>
        <v>3.0086718410053379</v>
      </c>
      <c r="D1223" s="4" t="str" cm="1">
        <f t="array" aca="1" ref="D12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23" s="2">
        <f t="shared" ca="1" si="149"/>
        <v>30.010064199363363</v>
      </c>
      <c r="F1223" s="4" t="str" cm="1">
        <f t="array" aca="1" ref="F12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23" s="2">
        <f t="shared" ca="1" si="150"/>
        <v>40.024930900830817</v>
      </c>
      <c r="H1223" s="47" t="str" cm="1">
        <f t="array" aca="1" ref="H12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24" spans="1:8" x14ac:dyDescent="0.25">
      <c r="A1224" s="2">
        <f t="shared" ca="1" si="147"/>
        <v>3.0068228232647694</v>
      </c>
      <c r="B1224" s="4" cm="1">
        <f t="array" aca="1" ref="B12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224" s="2">
        <f t="shared" ca="1" si="148"/>
        <v>3.0154103110035186</v>
      </c>
      <c r="D1224" s="4" t="str" cm="1">
        <f t="array" aca="1" ref="D12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24" s="2">
        <f t="shared" ca="1" si="149"/>
        <v>30.027483400094741</v>
      </c>
      <c r="F1224" s="4" t="str" cm="1">
        <f t="array" aca="1" ref="F12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24" s="2">
        <f t="shared" ca="1" si="150"/>
        <v>40.028833211172007</v>
      </c>
      <c r="H1224" s="47" t="str" cm="1">
        <f t="array" aca="1" ref="H12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25" spans="1:8" x14ac:dyDescent="0.25">
      <c r="A1225" s="2">
        <f t="shared" ca="1" si="147"/>
        <v>3.0082557418124654</v>
      </c>
      <c r="B1225" s="4" cm="1">
        <f t="array" aca="1" ref="B12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225" s="2">
        <f t="shared" ca="1" si="148"/>
        <v>3.0110979269097702</v>
      </c>
      <c r="D1225" s="4" t="str" cm="1">
        <f t="array" aca="1" ref="D12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25" s="2">
        <f t="shared" ca="1" si="149"/>
        <v>30.017490811761053</v>
      </c>
      <c r="F1225" s="4" t="str" cm="1">
        <f t="array" aca="1" ref="F12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25" s="2">
        <f t="shared" ca="1" si="150"/>
        <v>40.012648400515033</v>
      </c>
      <c r="H1225" s="47" t="str" cm="1">
        <f t="array" aca="1" ref="H12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26" spans="1:8" x14ac:dyDescent="0.25">
      <c r="A1226" s="2">
        <f t="shared" ca="1" si="147"/>
        <v>3.0071326144602621</v>
      </c>
      <c r="B1226" s="4" cm="1">
        <f t="array" aca="1" ref="B12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226" s="2">
        <f t="shared" ca="1" si="148"/>
        <v>3.0000320247775627</v>
      </c>
      <c r="D1226" s="4" t="str" cm="1">
        <f t="array" aca="1" ref="D12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26" s="2">
        <f t="shared" ca="1" si="149"/>
        <v>30.007067997412296</v>
      </c>
      <c r="F1226" s="4" t="str" cm="1">
        <f t="array" aca="1" ref="F12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26" s="2">
        <f t="shared" ca="1" si="150"/>
        <v>40.026891312200824</v>
      </c>
      <c r="H1226" s="47" t="str" cm="1">
        <f t="array" aca="1" ref="H12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27" spans="1:8" x14ac:dyDescent="0.25">
      <c r="A1227" s="2">
        <f t="shared" ca="1" si="147"/>
        <v>3.0056033760410887</v>
      </c>
      <c r="B1227" s="4" cm="1">
        <f t="array" aca="1" ref="B12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227" s="2">
        <f t="shared" ca="1" si="148"/>
        <v>3.0298672347394819</v>
      </c>
      <c r="D1227" s="4" t="str" cm="1">
        <f t="array" aca="1" ref="D12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27" s="2">
        <f t="shared" ca="1" si="149"/>
        <v>30.01529633161956</v>
      </c>
      <c r="F1227" s="4" t="str" cm="1">
        <f t="array" aca="1" ref="F12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27" s="2">
        <f t="shared" ca="1" si="150"/>
        <v>40.004956020456795</v>
      </c>
      <c r="H1227" s="47" t="str" cm="1">
        <f t="array" aca="1" ref="H12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28" spans="1:8" x14ac:dyDescent="0.25">
      <c r="A1228" s="2">
        <f t="shared" ca="1" si="147"/>
        <v>3.0063188931454321</v>
      </c>
      <c r="B1228" s="4" cm="1">
        <f t="array" aca="1" ref="B12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228" s="2">
        <f t="shared" ca="1" si="148"/>
        <v>3.0186643199235417</v>
      </c>
      <c r="D1228" s="4" t="str" cm="1">
        <f t="array" aca="1" ref="D12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28" s="2">
        <f t="shared" ca="1" si="149"/>
        <v>30.01087957245505</v>
      </c>
      <c r="F1228" s="4" t="str" cm="1">
        <f t="array" aca="1" ref="F12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28" s="2">
        <f t="shared" ca="1" si="150"/>
        <v>40.024367802571042</v>
      </c>
      <c r="H1228" s="47" t="str" cm="1">
        <f t="array" aca="1" ref="H12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29" spans="1:8" x14ac:dyDescent="0.25">
      <c r="A1229" s="2">
        <f t="shared" ca="1" si="147"/>
        <v>3.0069901261196144</v>
      </c>
      <c r="B1229" s="4" cm="1">
        <f t="array" aca="1" ref="B12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229" s="2">
        <f t="shared" ca="1" si="148"/>
        <v>3.0133923876222708</v>
      </c>
      <c r="D1229" s="4" t="str" cm="1">
        <f t="array" aca="1" ref="D12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29" s="2">
        <f t="shared" ca="1" si="149"/>
        <v>30.005455144368732</v>
      </c>
      <c r="F1229" s="4" t="str" cm="1">
        <f t="array" aca="1" ref="F12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29" s="2">
        <f t="shared" ca="1" si="150"/>
        <v>40.017081756679552</v>
      </c>
      <c r="H1229" s="47" t="str" cm="1">
        <f t="array" aca="1" ref="H12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30" spans="1:8" x14ac:dyDescent="0.25">
      <c r="A1230" s="2">
        <f t="shared" ca="1" si="147"/>
        <v>3.0065500146683122</v>
      </c>
      <c r="B1230" s="4" cm="1">
        <f t="array" aca="1" ref="B12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230" s="2">
        <f t="shared" ca="1" si="148"/>
        <v>3.0181855527542298</v>
      </c>
      <c r="D1230" s="4" t="str" cm="1">
        <f t="array" aca="1" ref="D12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30" s="2">
        <f t="shared" ca="1" si="149"/>
        <v>30.002982646280092</v>
      </c>
      <c r="F1230" s="4" t="str" cm="1">
        <f t="array" aca="1" ref="F12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30" s="2">
        <f t="shared" ca="1" si="150"/>
        <v>40.000217786585424</v>
      </c>
      <c r="H1230" s="47" t="str" cm="1">
        <f t="array" aca="1" ref="H12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31" spans="1:8" x14ac:dyDescent="0.25">
      <c r="A1231" s="2">
        <f t="shared" ca="1" si="147"/>
        <v>3.0030227509942273</v>
      </c>
      <c r="B1231" s="4" cm="1">
        <f t="array" aca="1" ref="B12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231" s="2">
        <f t="shared" ca="1" si="148"/>
        <v>3.0100566425598916</v>
      </c>
      <c r="D1231" s="4" t="str" cm="1">
        <f t="array" aca="1" ref="D12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31" s="2">
        <f t="shared" ca="1" si="149"/>
        <v>30.029960758631166</v>
      </c>
      <c r="F1231" s="4" t="str" cm="1">
        <f t="array" aca="1" ref="F12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31" s="2">
        <f t="shared" ca="1" si="150"/>
        <v>40.010114848485209</v>
      </c>
      <c r="H1231" s="47" t="str" cm="1">
        <f t="array" aca="1" ref="H12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32" spans="1:8" x14ac:dyDescent="0.25">
      <c r="A1232" s="2">
        <f t="shared" ca="1" si="147"/>
        <v>3.001317169011732</v>
      </c>
      <c r="B1232" s="4" cm="1">
        <f t="array" aca="1" ref="B12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232" s="2">
        <f t="shared" ca="1" si="148"/>
        <v>3.020506323305348</v>
      </c>
      <c r="D1232" s="4" t="str" cm="1">
        <f t="array" aca="1" ref="D12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32" s="2">
        <f t="shared" ca="1" si="149"/>
        <v>30.014842386825613</v>
      </c>
      <c r="F1232" s="4" t="str" cm="1">
        <f t="array" aca="1" ref="F12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32" s="2">
        <f t="shared" ca="1" si="150"/>
        <v>40.000023304772398</v>
      </c>
      <c r="H1232" s="47" t="str" cm="1">
        <f t="array" aca="1" ref="H12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33" spans="1:8" x14ac:dyDescent="0.25">
      <c r="A1233" s="2">
        <f t="shared" ca="1" si="147"/>
        <v>3.002090198227013</v>
      </c>
      <c r="B1233" s="4" cm="1">
        <f t="array" aca="1" ref="B12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233" s="2">
        <f t="shared" ca="1" si="148"/>
        <v>3.0098738257889743</v>
      </c>
      <c r="D1233" s="4" t="str" cm="1">
        <f t="array" aca="1" ref="D12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33" s="2">
        <f t="shared" ca="1" si="149"/>
        <v>30.010763817436821</v>
      </c>
      <c r="F1233" s="4" t="str" cm="1">
        <f t="array" aca="1" ref="F12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33" s="2">
        <f t="shared" ca="1" si="150"/>
        <v>40.02696335446857</v>
      </c>
      <c r="H1233" s="47" t="str" cm="1">
        <f t="array" aca="1" ref="H12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34" spans="1:8" x14ac:dyDescent="0.25">
      <c r="A1234" s="2">
        <f t="shared" ca="1" si="147"/>
        <v>3.0077416223507907</v>
      </c>
      <c r="B1234" s="4" cm="1">
        <f t="array" aca="1" ref="B12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234" s="2">
        <f t="shared" ca="1" si="148"/>
        <v>3.0082788098493167</v>
      </c>
      <c r="D1234" s="4" t="str" cm="1">
        <f t="array" aca="1" ref="D12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34" s="2">
        <f t="shared" ca="1" si="149"/>
        <v>30.019471095677122</v>
      </c>
      <c r="F1234" s="4" t="str" cm="1">
        <f t="array" aca="1" ref="F12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34" s="2">
        <f t="shared" ca="1" si="150"/>
        <v>40.006254325084484</v>
      </c>
      <c r="H1234" s="47" t="str" cm="1">
        <f t="array" aca="1" ref="H12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35" spans="1:8" x14ac:dyDescent="0.25">
      <c r="A1235" s="2">
        <f t="shared" ca="1" si="147"/>
        <v>3.0055878104656162</v>
      </c>
      <c r="B1235" s="4" cm="1">
        <f t="array" aca="1" ref="B12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235" s="2">
        <f t="shared" ca="1" si="148"/>
        <v>3.0264417779613941</v>
      </c>
      <c r="D1235" s="4" t="str" cm="1">
        <f t="array" aca="1" ref="D12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35" s="2">
        <f t="shared" ca="1" si="149"/>
        <v>30.023947525148099</v>
      </c>
      <c r="F1235" s="4" t="str" cm="1">
        <f t="array" aca="1" ref="F12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35" s="2">
        <f t="shared" ca="1" si="150"/>
        <v>40.006343417825128</v>
      </c>
      <c r="H1235" s="47" t="str" cm="1">
        <f t="array" aca="1" ref="H12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36" spans="1:8" x14ac:dyDescent="0.25">
      <c r="A1236" s="2">
        <f t="shared" ca="1" si="147"/>
        <v>3.0027461522679801</v>
      </c>
      <c r="B1236" s="4" cm="1">
        <f t="array" aca="1" ref="B12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236" s="2">
        <f t="shared" ca="1" si="148"/>
        <v>3.0176954292470368</v>
      </c>
      <c r="D1236" s="4" t="str" cm="1">
        <f t="array" aca="1" ref="D12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36" s="2">
        <f t="shared" ca="1" si="149"/>
        <v>30.021621351142702</v>
      </c>
      <c r="F1236" s="4" t="str" cm="1">
        <f t="array" aca="1" ref="F12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36" s="2">
        <f t="shared" ca="1" si="150"/>
        <v>40.004642656744196</v>
      </c>
      <c r="H1236" s="47" t="str" cm="1">
        <f t="array" aca="1" ref="H12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37" spans="1:8" x14ac:dyDescent="0.25">
      <c r="A1237" s="2">
        <f t="shared" ca="1" si="147"/>
        <v>3.0025798541757713</v>
      </c>
      <c r="B1237" s="4" cm="1">
        <f t="array" aca="1" ref="B12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237" s="2">
        <f t="shared" ca="1" si="148"/>
        <v>3.0263456803433102</v>
      </c>
      <c r="D1237" s="4" t="str" cm="1">
        <f t="array" aca="1" ref="D12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37" s="2">
        <f t="shared" ca="1" si="149"/>
        <v>30.022055678984966</v>
      </c>
      <c r="F1237" s="4" t="str" cm="1">
        <f t="array" aca="1" ref="F12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37" s="2">
        <f t="shared" ca="1" si="150"/>
        <v>40.016887560837546</v>
      </c>
      <c r="H1237" s="47" t="str" cm="1">
        <f t="array" aca="1" ref="H12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38" spans="1:8" x14ac:dyDescent="0.25">
      <c r="A1238" s="2">
        <f t="shared" ca="1" si="147"/>
        <v>3.0050993356521238</v>
      </c>
      <c r="B1238" s="4" cm="1">
        <f t="array" aca="1" ref="B12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238" s="2">
        <f t="shared" ca="1" si="148"/>
        <v>3.0264241405553158</v>
      </c>
      <c r="D1238" s="4" t="str" cm="1">
        <f t="array" aca="1" ref="D12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38" s="2">
        <f t="shared" ca="1" si="149"/>
        <v>30.028367823686402</v>
      </c>
      <c r="F1238" s="4" t="str" cm="1">
        <f t="array" aca="1" ref="F12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38" s="2">
        <f t="shared" ca="1" si="150"/>
        <v>40.025833145822084</v>
      </c>
      <c r="H1238" s="47" t="str" cm="1">
        <f t="array" aca="1" ref="H12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39" spans="1:8" x14ac:dyDescent="0.25">
      <c r="A1239" s="2">
        <f t="shared" ca="1" si="147"/>
        <v>3.0031963288868884</v>
      </c>
      <c r="B1239" s="4" cm="1">
        <f t="array" aca="1" ref="B12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239" s="2">
        <f t="shared" ca="1" si="148"/>
        <v>3.0122094961052679</v>
      </c>
      <c r="D1239" s="4" t="str" cm="1">
        <f t="array" aca="1" ref="D12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39" s="2">
        <f t="shared" ca="1" si="149"/>
        <v>30.002858875340284</v>
      </c>
      <c r="F1239" s="4" t="str" cm="1">
        <f t="array" aca="1" ref="F12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39" s="2">
        <f t="shared" ca="1" si="150"/>
        <v>40.006082409835223</v>
      </c>
      <c r="H1239" s="47" t="str" cm="1">
        <f t="array" aca="1" ref="H12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40" spans="1:8" x14ac:dyDescent="0.25">
      <c r="A1240" s="2">
        <f t="shared" ca="1" si="147"/>
        <v>3.0087380508999169</v>
      </c>
      <c r="B1240" s="4" cm="1">
        <f t="array" aca="1" ref="B12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240" s="2">
        <f t="shared" ca="1" si="148"/>
        <v>3.0139398090288232</v>
      </c>
      <c r="D1240" s="4" t="str" cm="1">
        <f t="array" aca="1" ref="D12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40" s="2">
        <f t="shared" ca="1" si="149"/>
        <v>30.010880173475357</v>
      </c>
      <c r="F1240" s="4" t="str" cm="1">
        <f t="array" aca="1" ref="F12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40" s="2">
        <f t="shared" ca="1" si="150"/>
        <v>40.016327801325353</v>
      </c>
      <c r="H1240" s="47" t="str" cm="1">
        <f t="array" aca="1" ref="H12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41" spans="1:8" x14ac:dyDescent="0.25">
      <c r="A1241" s="2">
        <f t="shared" ca="1" si="147"/>
        <v>3.0077346105181424</v>
      </c>
      <c r="B1241" s="4" cm="1">
        <f t="array" aca="1" ref="B12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241" s="2">
        <f t="shared" ca="1" si="148"/>
        <v>3.0132220647299639</v>
      </c>
      <c r="D1241" s="4" t="str" cm="1">
        <f t="array" aca="1" ref="D12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41" s="2">
        <f t="shared" ca="1" si="149"/>
        <v>30.014511957362647</v>
      </c>
      <c r="F1241" s="4" t="str" cm="1">
        <f t="array" aca="1" ref="F12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41" s="2">
        <f t="shared" ca="1" si="150"/>
        <v>40.014869285932335</v>
      </c>
      <c r="H1241" s="47" t="str" cm="1">
        <f t="array" aca="1" ref="H12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42" spans="1:8" x14ac:dyDescent="0.25">
      <c r="A1242" s="2">
        <f t="shared" ca="1" si="147"/>
        <v>3.0031237540654336</v>
      </c>
      <c r="B1242" s="4" cm="1">
        <f t="array" aca="1" ref="B12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242" s="2">
        <f t="shared" ca="1" si="148"/>
        <v>3.0080036751425907</v>
      </c>
      <c r="D1242" s="4" t="str" cm="1">
        <f t="array" aca="1" ref="D12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42" s="2">
        <f t="shared" ca="1" si="149"/>
        <v>30.011638795056371</v>
      </c>
      <c r="F1242" s="4" t="str" cm="1">
        <f t="array" aca="1" ref="F12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42" s="2">
        <f t="shared" ca="1" si="150"/>
        <v>40.002888118203863</v>
      </c>
      <c r="H1242" s="47" t="str" cm="1">
        <f t="array" aca="1" ref="H12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43" spans="1:8" x14ac:dyDescent="0.25">
      <c r="A1243" s="2">
        <f t="shared" ca="1" si="147"/>
        <v>3.0057711022222913</v>
      </c>
      <c r="B1243" s="4" cm="1">
        <f t="array" aca="1" ref="B12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243" s="2">
        <f t="shared" ca="1" si="148"/>
        <v>3.0197290177416081</v>
      </c>
      <c r="D1243" s="4" t="str" cm="1">
        <f t="array" aca="1" ref="D12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43" s="2">
        <f t="shared" ca="1" si="149"/>
        <v>30.00448542829422</v>
      </c>
      <c r="F1243" s="4" t="str" cm="1">
        <f t="array" aca="1" ref="F12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43" s="2">
        <f t="shared" ca="1" si="150"/>
        <v>40.020362442291777</v>
      </c>
      <c r="H1243" s="47" t="str" cm="1">
        <f t="array" aca="1" ref="H12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44" spans="1:8" x14ac:dyDescent="0.25">
      <c r="A1244" s="2">
        <f t="shared" ca="1" si="147"/>
        <v>3.0027321064266292</v>
      </c>
      <c r="B1244" s="4" cm="1">
        <f t="array" aca="1" ref="B12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244" s="2">
        <f t="shared" ca="1" si="148"/>
        <v>3.0160386021853971</v>
      </c>
      <c r="D1244" s="4" t="str" cm="1">
        <f t="array" aca="1" ref="D12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44" s="2">
        <f t="shared" ca="1" si="149"/>
        <v>30.019710192497538</v>
      </c>
      <c r="F1244" s="4" t="str" cm="1">
        <f t="array" aca="1" ref="F12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44" s="2">
        <f t="shared" ca="1" si="150"/>
        <v>40.001407043332314</v>
      </c>
      <c r="H1244" s="47" t="str" cm="1">
        <f t="array" aca="1" ref="H12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45" spans="1:8" x14ac:dyDescent="0.25">
      <c r="A1245" s="2">
        <f t="shared" ca="1" si="147"/>
        <v>3.0051369743217364</v>
      </c>
      <c r="B1245" s="4" cm="1">
        <f t="array" aca="1" ref="B12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245" s="2">
        <f t="shared" ca="1" si="148"/>
        <v>3.0048419334101588</v>
      </c>
      <c r="D1245" s="4" t="str" cm="1">
        <f t="array" aca="1" ref="D12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45" s="2">
        <f t="shared" ca="1" si="149"/>
        <v>30.0162365184283</v>
      </c>
      <c r="F1245" s="4" t="str" cm="1">
        <f t="array" aca="1" ref="F12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45" s="2">
        <f t="shared" ca="1" si="150"/>
        <v>40.001988806013124</v>
      </c>
      <c r="H1245" s="47" t="str" cm="1">
        <f t="array" aca="1" ref="H12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46" spans="1:8" x14ac:dyDescent="0.25">
      <c r="A1246" s="2">
        <f t="shared" ca="1" si="147"/>
        <v>3.0047231627334337</v>
      </c>
      <c r="B1246" s="4" cm="1">
        <f t="array" aca="1" ref="B12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246" s="2">
        <f t="shared" ca="1" si="148"/>
        <v>3.0213255763391449</v>
      </c>
      <c r="D1246" s="4" t="str" cm="1">
        <f t="array" aca="1" ref="D12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46" s="2">
        <f t="shared" ca="1" si="149"/>
        <v>30.018699907274065</v>
      </c>
      <c r="F1246" s="4" t="str" cm="1">
        <f t="array" aca="1" ref="F12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46" s="2">
        <f t="shared" ca="1" si="150"/>
        <v>40.009992607087028</v>
      </c>
      <c r="H1246" s="47" t="str" cm="1">
        <f t="array" aca="1" ref="H12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47" spans="1:8" x14ac:dyDescent="0.25">
      <c r="A1247" s="2">
        <f t="shared" ca="1" si="147"/>
        <v>3.0017896744967261</v>
      </c>
      <c r="B1247" s="4" cm="1">
        <f t="array" aca="1" ref="B12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247" s="2">
        <f t="shared" ca="1" si="148"/>
        <v>3.0276294127741883</v>
      </c>
      <c r="D1247" s="4" t="str" cm="1">
        <f t="array" aca="1" ref="D12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47" s="2">
        <f t="shared" ca="1" si="149"/>
        <v>30.003141171614541</v>
      </c>
      <c r="F1247" s="4" t="str" cm="1">
        <f t="array" aca="1" ref="F12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47" s="2">
        <f t="shared" ca="1" si="150"/>
        <v>40.003656244856799</v>
      </c>
      <c r="H1247" s="47" t="str" cm="1">
        <f t="array" aca="1" ref="H12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48" spans="1:8" x14ac:dyDescent="0.25">
      <c r="A1248" s="2">
        <f t="shared" ca="1" si="147"/>
        <v>3.0098918411059068</v>
      </c>
      <c r="B1248" s="4" cm="1">
        <f t="array" aca="1" ref="B12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248" s="2">
        <f t="shared" ca="1" si="148"/>
        <v>3.0249683246158137</v>
      </c>
      <c r="D1248" s="4" t="str" cm="1">
        <f t="array" aca="1" ref="D12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48" s="2">
        <f t="shared" ca="1" si="149"/>
        <v>30.021230220223842</v>
      </c>
      <c r="F1248" s="4" t="str" cm="1">
        <f t="array" aca="1" ref="F12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48" s="2">
        <f t="shared" ca="1" si="150"/>
        <v>40.00785198022281</v>
      </c>
      <c r="H1248" s="47" t="str" cm="1">
        <f t="array" aca="1" ref="H12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49" spans="1:8" x14ac:dyDescent="0.25">
      <c r="A1249" s="2">
        <f t="shared" ca="1" si="147"/>
        <v>3.0070306389243129</v>
      </c>
      <c r="B1249" s="4" cm="1">
        <f t="array" aca="1" ref="B12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249" s="2">
        <f t="shared" ca="1" si="148"/>
        <v>3.0147826812119254</v>
      </c>
      <c r="D1249" s="4" t="str" cm="1">
        <f t="array" aca="1" ref="D12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49" s="2">
        <f t="shared" ca="1" si="149"/>
        <v>30.010124985657725</v>
      </c>
      <c r="F1249" s="4" t="str" cm="1">
        <f t="array" aca="1" ref="F12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49" s="2">
        <f t="shared" ca="1" si="150"/>
        <v>40.017149566336762</v>
      </c>
      <c r="H1249" s="47" t="str" cm="1">
        <f t="array" aca="1" ref="H12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50" spans="1:8" x14ac:dyDescent="0.25">
      <c r="A1250" s="2">
        <f t="shared" ca="1" si="147"/>
        <v>3.0033195703288604</v>
      </c>
      <c r="B1250" s="4" cm="1">
        <f t="array" aca="1" ref="B12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250" s="2">
        <f t="shared" ca="1" si="148"/>
        <v>3.0192205513740924</v>
      </c>
      <c r="D1250" s="4" t="str" cm="1">
        <f t="array" aca="1" ref="D12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50" s="2">
        <f t="shared" ca="1" si="149"/>
        <v>30.012259075999946</v>
      </c>
      <c r="F1250" s="4" t="str" cm="1">
        <f t="array" aca="1" ref="F12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50" s="2">
        <f t="shared" ca="1" si="150"/>
        <v>40.015381124951318</v>
      </c>
      <c r="H1250" s="47" t="str" cm="1">
        <f t="array" aca="1" ref="H12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51" spans="1:8" x14ac:dyDescent="0.25">
      <c r="A1251" s="2">
        <f t="shared" ca="1" si="147"/>
        <v>3.0031933644882267</v>
      </c>
      <c r="B1251" s="4" cm="1">
        <f t="array" aca="1" ref="B12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251" s="2">
        <f t="shared" ca="1" si="148"/>
        <v>3.0190992765993889</v>
      </c>
      <c r="D1251" s="4" t="str" cm="1">
        <f t="array" aca="1" ref="D12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51" s="2">
        <f t="shared" ca="1" si="149"/>
        <v>30.019020616627248</v>
      </c>
      <c r="F1251" s="4" t="str" cm="1">
        <f t="array" aca="1" ref="F12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51" s="2">
        <f t="shared" ca="1" si="150"/>
        <v>40.028712514305539</v>
      </c>
      <c r="H1251" s="47" t="str" cm="1">
        <f t="array" aca="1" ref="H12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52" spans="1:8" x14ac:dyDescent="0.25">
      <c r="A1252" s="2">
        <f t="shared" ca="1" si="147"/>
        <v>3.0066905666721837</v>
      </c>
      <c r="B1252" s="4" cm="1">
        <f t="array" aca="1" ref="B12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252" s="2">
        <f t="shared" ca="1" si="148"/>
        <v>3.0006858419275617</v>
      </c>
      <c r="D1252" s="4" t="str" cm="1">
        <f t="array" aca="1" ref="D12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52" s="2">
        <f t="shared" ca="1" si="149"/>
        <v>30.005391878502689</v>
      </c>
      <c r="F1252" s="4" t="str" cm="1">
        <f t="array" aca="1" ref="F12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52" s="2">
        <f t="shared" ca="1" si="150"/>
        <v>40.006485223665209</v>
      </c>
      <c r="H1252" s="47" t="str" cm="1">
        <f t="array" aca="1" ref="H12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53" spans="1:8" x14ac:dyDescent="0.25">
      <c r="A1253" s="2">
        <f t="shared" ca="1" si="147"/>
        <v>3.001142980240425</v>
      </c>
      <c r="B1253" s="4" cm="1">
        <f t="array" aca="1" ref="B12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253" s="2">
        <f t="shared" ca="1" si="148"/>
        <v>3.0199220607158326</v>
      </c>
      <c r="D1253" s="4" t="str" cm="1">
        <f t="array" aca="1" ref="D12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53" s="2">
        <f t="shared" ca="1" si="149"/>
        <v>30.008633058293782</v>
      </c>
      <c r="F1253" s="4" t="str" cm="1">
        <f t="array" aca="1" ref="F12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53" s="2">
        <f t="shared" ca="1" si="150"/>
        <v>40.010093089870367</v>
      </c>
      <c r="H1253" s="47" t="str" cm="1">
        <f t="array" aca="1" ref="H12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54" spans="1:8" x14ac:dyDescent="0.25">
      <c r="A1254" s="2">
        <f t="shared" ca="1" si="147"/>
        <v>3.0077387496517414</v>
      </c>
      <c r="B1254" s="4" cm="1">
        <f t="array" aca="1" ref="B12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254" s="2">
        <f t="shared" ca="1" si="148"/>
        <v>3.0192984012574859</v>
      </c>
      <c r="D1254" s="4" t="str" cm="1">
        <f t="array" aca="1" ref="D12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54" s="2">
        <f t="shared" ca="1" si="149"/>
        <v>30.005419667448031</v>
      </c>
      <c r="F1254" s="4" t="str" cm="1">
        <f t="array" aca="1" ref="F12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54" s="2">
        <f t="shared" ca="1" si="150"/>
        <v>40.005978426635018</v>
      </c>
      <c r="H1254" s="47" t="str" cm="1">
        <f t="array" aca="1" ref="H12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55" spans="1:8" x14ac:dyDescent="0.25">
      <c r="A1255" s="2">
        <f t="shared" ca="1" si="147"/>
        <v>3.0027779466351938</v>
      </c>
      <c r="B1255" s="4" cm="1">
        <f t="array" aca="1" ref="B12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255" s="2">
        <f t="shared" ca="1" si="148"/>
        <v>3.0291307979668725</v>
      </c>
      <c r="D1255" s="4" t="str" cm="1">
        <f t="array" aca="1" ref="D12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55" s="2">
        <f t="shared" ca="1" si="149"/>
        <v>30.011171838499322</v>
      </c>
      <c r="F1255" s="4" t="str" cm="1">
        <f t="array" aca="1" ref="F12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55" s="2">
        <f t="shared" ca="1" si="150"/>
        <v>40.019596015870199</v>
      </c>
      <c r="H1255" s="47" t="str" cm="1">
        <f t="array" aca="1" ref="H12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56" spans="1:8" x14ac:dyDescent="0.25">
      <c r="A1256" s="2">
        <f t="shared" ca="1" si="147"/>
        <v>3.0011812587516165</v>
      </c>
      <c r="B1256" s="4" cm="1">
        <f t="array" aca="1" ref="B12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256" s="2">
        <f t="shared" ca="1" si="148"/>
        <v>3.00968332491771</v>
      </c>
      <c r="D1256" s="4" t="str" cm="1">
        <f t="array" aca="1" ref="D12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56" s="2">
        <f t="shared" ca="1" si="149"/>
        <v>30.026754187818586</v>
      </c>
      <c r="F1256" s="4" t="str" cm="1">
        <f t="array" aca="1" ref="F12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56" s="2">
        <f t="shared" ca="1" si="150"/>
        <v>40.018728276386177</v>
      </c>
      <c r="H1256" s="47" t="str" cm="1">
        <f t="array" aca="1" ref="H12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57" spans="1:8" x14ac:dyDescent="0.25">
      <c r="A1257" s="2">
        <f t="shared" ca="1" si="147"/>
        <v>3.0021755362359666</v>
      </c>
      <c r="B1257" s="4" cm="1">
        <f t="array" aca="1" ref="B12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257" s="2">
        <f t="shared" ca="1" si="148"/>
        <v>3.0016362391050371</v>
      </c>
      <c r="D1257" s="4" t="str" cm="1">
        <f t="array" aca="1" ref="D12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57" s="2">
        <f t="shared" ca="1" si="149"/>
        <v>30.016831182825129</v>
      </c>
      <c r="F1257" s="4" t="str" cm="1">
        <f t="array" aca="1" ref="F12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57" s="2">
        <f t="shared" ca="1" si="150"/>
        <v>40.007125786923687</v>
      </c>
      <c r="H1257" s="47" t="str" cm="1">
        <f t="array" aca="1" ref="H12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58" spans="1:8" x14ac:dyDescent="0.25">
      <c r="A1258" s="2">
        <f t="shared" ca="1" si="147"/>
        <v>3.0073987235207817</v>
      </c>
      <c r="B1258" s="4" cm="1">
        <f t="array" aca="1" ref="B12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258" s="2">
        <f t="shared" ca="1" si="148"/>
        <v>3.0052843969919261</v>
      </c>
      <c r="D1258" s="4" t="str" cm="1">
        <f t="array" aca="1" ref="D12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58" s="2">
        <f t="shared" ca="1" si="149"/>
        <v>30.022002356781744</v>
      </c>
      <c r="F1258" s="4" t="str" cm="1">
        <f t="array" aca="1" ref="F12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58" s="2">
        <f t="shared" ca="1" si="150"/>
        <v>40.013208719492091</v>
      </c>
      <c r="H1258" s="47" t="str" cm="1">
        <f t="array" aca="1" ref="H12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59" spans="1:8" x14ac:dyDescent="0.25">
      <c r="A1259" s="2">
        <f t="shared" ca="1" si="147"/>
        <v>3.0047911244266197</v>
      </c>
      <c r="B1259" s="4" cm="1">
        <f t="array" aca="1" ref="B12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259" s="2">
        <f t="shared" ca="1" si="148"/>
        <v>3.0138036539883211</v>
      </c>
      <c r="D1259" s="4" t="str" cm="1">
        <f t="array" aca="1" ref="D12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59" s="2">
        <f t="shared" ca="1" si="149"/>
        <v>30.01561551053484</v>
      </c>
      <c r="F1259" s="4" t="str" cm="1">
        <f t="array" aca="1" ref="F12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59" s="2">
        <f t="shared" ca="1" si="150"/>
        <v>40.020769433426551</v>
      </c>
      <c r="H1259" s="47" t="str" cm="1">
        <f t="array" aca="1" ref="H12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60" spans="1:8" x14ac:dyDescent="0.25">
      <c r="A1260" s="2">
        <f t="shared" ca="1" si="147"/>
        <v>3.0051069005976485</v>
      </c>
      <c r="B1260" s="4" cm="1">
        <f t="array" aca="1" ref="B12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260" s="2">
        <f t="shared" ca="1" si="148"/>
        <v>3.0217013326179969</v>
      </c>
      <c r="D1260" s="4" t="str" cm="1">
        <f t="array" aca="1" ref="D12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60" s="2">
        <f t="shared" ca="1" si="149"/>
        <v>30.029424330855601</v>
      </c>
      <c r="F1260" s="4" t="str" cm="1">
        <f t="array" aca="1" ref="F12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60" s="2">
        <f t="shared" ca="1" si="150"/>
        <v>40.024937419261818</v>
      </c>
      <c r="H1260" s="47" t="str" cm="1">
        <f t="array" aca="1" ref="H12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61" spans="1:8" x14ac:dyDescent="0.25">
      <c r="A1261" s="2">
        <f t="shared" ca="1" si="147"/>
        <v>3.0012804597155358</v>
      </c>
      <c r="B1261" s="4" cm="1">
        <f t="array" aca="1" ref="B12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261" s="2">
        <f t="shared" ca="1" si="148"/>
        <v>3.0086766000049434</v>
      </c>
      <c r="D1261" s="4" t="str" cm="1">
        <f t="array" aca="1" ref="D12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61" s="2">
        <f t="shared" ca="1" si="149"/>
        <v>30.002045254314645</v>
      </c>
      <c r="F1261" s="4" t="str" cm="1">
        <f t="array" aca="1" ref="F12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61" s="2">
        <f t="shared" ca="1" si="150"/>
        <v>40.000297241816369</v>
      </c>
      <c r="H1261" s="47" t="str" cm="1">
        <f t="array" aca="1" ref="H12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62" spans="1:8" x14ac:dyDescent="0.25">
      <c r="A1262" s="2">
        <f t="shared" ca="1" si="147"/>
        <v>3.0063806083702072</v>
      </c>
      <c r="B1262" s="4" cm="1">
        <f t="array" aca="1" ref="B12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262" s="2">
        <f t="shared" ca="1" si="148"/>
        <v>3.0027155327967399</v>
      </c>
      <c r="D1262" s="4" t="str" cm="1">
        <f t="array" aca="1" ref="D12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62" s="2">
        <f t="shared" ca="1" si="149"/>
        <v>30.007827850042698</v>
      </c>
      <c r="F1262" s="4" t="str" cm="1">
        <f t="array" aca="1" ref="F12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62" s="2">
        <f t="shared" ca="1" si="150"/>
        <v>40.003468614776644</v>
      </c>
      <c r="H1262" s="47" t="str" cm="1">
        <f t="array" aca="1" ref="H12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63" spans="1:8" x14ac:dyDescent="0.25">
      <c r="A1263" s="2">
        <f t="shared" ca="1" si="147"/>
        <v>3.0077203464953945</v>
      </c>
      <c r="B1263" s="4" cm="1">
        <f t="array" aca="1" ref="B12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263" s="2">
        <f t="shared" ca="1" si="148"/>
        <v>3.0280553794569278</v>
      </c>
      <c r="D1263" s="4" t="str" cm="1">
        <f t="array" aca="1" ref="D12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63" s="2">
        <f t="shared" ca="1" si="149"/>
        <v>30.014708096450491</v>
      </c>
      <c r="F1263" s="4" t="str" cm="1">
        <f t="array" aca="1" ref="F12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63" s="2">
        <f t="shared" ca="1" si="150"/>
        <v>40.027752069110633</v>
      </c>
      <c r="H1263" s="47" t="str" cm="1">
        <f t="array" aca="1" ref="H12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64" spans="1:8" x14ac:dyDescent="0.25">
      <c r="A1264" s="2">
        <f t="shared" ca="1" si="147"/>
        <v>3.0001021386494058</v>
      </c>
      <c r="B1264" s="4" cm="1">
        <f t="array" aca="1" ref="B12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264" s="2">
        <f t="shared" ca="1" si="148"/>
        <v>3.0224684968431657</v>
      </c>
      <c r="D1264" s="4" t="str" cm="1">
        <f t="array" aca="1" ref="D12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64" s="2">
        <f t="shared" ca="1" si="149"/>
        <v>30.002004204376529</v>
      </c>
      <c r="F1264" s="4" t="str" cm="1">
        <f t="array" aca="1" ref="F12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64" s="2">
        <f t="shared" ca="1" si="150"/>
        <v>40.024236148603428</v>
      </c>
      <c r="H1264" s="47" t="str" cm="1">
        <f t="array" aca="1" ref="H12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65" spans="1:8" x14ac:dyDescent="0.25">
      <c r="A1265" s="2">
        <f t="shared" ca="1" si="147"/>
        <v>3.0063210452673501</v>
      </c>
      <c r="B1265" s="4" cm="1">
        <f t="array" aca="1" ref="B12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265" s="2">
        <f t="shared" ca="1" si="148"/>
        <v>3.0253548572966849</v>
      </c>
      <c r="D1265" s="4" t="str" cm="1">
        <f t="array" aca="1" ref="D12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65" s="2">
        <f t="shared" ca="1" si="149"/>
        <v>30.020977658883421</v>
      </c>
      <c r="F1265" s="4" t="str" cm="1">
        <f t="array" aca="1" ref="F12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65" s="2">
        <f t="shared" ca="1" si="150"/>
        <v>40.013314303775431</v>
      </c>
      <c r="H1265" s="47" t="str" cm="1">
        <f t="array" aca="1" ref="H12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66" spans="1:8" x14ac:dyDescent="0.25">
      <c r="A1266" s="2">
        <f t="shared" ca="1" si="147"/>
        <v>3.0028901159585257</v>
      </c>
      <c r="B1266" s="4" cm="1">
        <f t="array" aca="1" ref="B12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266" s="2">
        <f t="shared" ca="1" si="148"/>
        <v>3.0298587410376752</v>
      </c>
      <c r="D1266" s="4" t="str" cm="1">
        <f t="array" aca="1" ref="D12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66" s="2">
        <f t="shared" ca="1" si="149"/>
        <v>30.016843205548483</v>
      </c>
      <c r="F1266" s="4" t="str" cm="1">
        <f t="array" aca="1" ref="F12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66" s="2">
        <f t="shared" ca="1" si="150"/>
        <v>40.005983530957764</v>
      </c>
      <c r="H1266" s="47" t="str" cm="1">
        <f t="array" aca="1" ref="H12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67" spans="1:8" x14ac:dyDescent="0.25">
      <c r="A1267" s="2">
        <f t="shared" ca="1" si="147"/>
        <v>3.0070503456934441</v>
      </c>
      <c r="B1267" s="4" cm="1">
        <f t="array" aca="1" ref="B12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267" s="2">
        <f t="shared" ca="1" si="148"/>
        <v>3.0201406107825179</v>
      </c>
      <c r="D1267" s="4" t="str" cm="1">
        <f t="array" aca="1" ref="D12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67" s="2">
        <f t="shared" ca="1" si="149"/>
        <v>30.027164370420873</v>
      </c>
      <c r="F1267" s="4" t="str" cm="1">
        <f t="array" aca="1" ref="F12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67" s="2">
        <f t="shared" ca="1" si="150"/>
        <v>40.011145662693806</v>
      </c>
      <c r="H1267" s="47" t="str" cm="1">
        <f t="array" aca="1" ref="H12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68" spans="1:8" x14ac:dyDescent="0.25">
      <c r="A1268" s="2">
        <f t="shared" ca="1" si="147"/>
        <v>3.0092335073079548</v>
      </c>
      <c r="B1268" s="4" cm="1">
        <f t="array" aca="1" ref="B12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268" s="2">
        <f t="shared" ca="1" si="148"/>
        <v>3.0164663142855703</v>
      </c>
      <c r="D1268" s="4" t="str" cm="1">
        <f t="array" aca="1" ref="D12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68" s="2">
        <f t="shared" ca="1" si="149"/>
        <v>30.008396092220991</v>
      </c>
      <c r="F1268" s="4" t="str" cm="1">
        <f t="array" aca="1" ref="F12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68" s="2">
        <f t="shared" ca="1" si="150"/>
        <v>40.027369802759672</v>
      </c>
      <c r="H1268" s="47" t="str" cm="1">
        <f t="array" aca="1" ref="H12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69" spans="1:8" x14ac:dyDescent="0.25">
      <c r="A1269" s="2">
        <f t="shared" ca="1" si="147"/>
        <v>3.0066979643965248</v>
      </c>
      <c r="B1269" s="4" cm="1">
        <f t="array" aca="1" ref="B12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269" s="2">
        <f t="shared" ca="1" si="148"/>
        <v>3.0228249223372128</v>
      </c>
      <c r="D1269" s="4" t="str" cm="1">
        <f t="array" aca="1" ref="D12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69" s="2">
        <f t="shared" ca="1" si="149"/>
        <v>30.020331126063862</v>
      </c>
      <c r="F1269" s="4" t="str" cm="1">
        <f t="array" aca="1" ref="F12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69" s="2">
        <f t="shared" ca="1" si="150"/>
        <v>40.01627767086611</v>
      </c>
      <c r="H1269" s="47" t="str" cm="1">
        <f t="array" aca="1" ref="H12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70" spans="1:8" x14ac:dyDescent="0.25">
      <c r="A1270" s="2">
        <f t="shared" ca="1" si="147"/>
        <v>3.0034435548200653</v>
      </c>
      <c r="B1270" s="4" cm="1">
        <f t="array" aca="1" ref="B12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270" s="2">
        <f t="shared" ca="1" si="148"/>
        <v>3.0006892830938519</v>
      </c>
      <c r="D1270" s="4" t="str" cm="1">
        <f t="array" aca="1" ref="D12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70" s="2">
        <f t="shared" ca="1" si="149"/>
        <v>30.008428183745096</v>
      </c>
      <c r="F1270" s="4" t="str" cm="1">
        <f t="array" aca="1" ref="F12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70" s="2">
        <f t="shared" ca="1" si="150"/>
        <v>40.016246490839869</v>
      </c>
      <c r="H1270" s="47" t="str" cm="1">
        <f t="array" aca="1" ref="H12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71" spans="1:8" x14ac:dyDescent="0.25">
      <c r="A1271" s="2">
        <f t="shared" ca="1" si="147"/>
        <v>3.0052632403557515</v>
      </c>
      <c r="B1271" s="4" cm="1">
        <f t="array" aca="1" ref="B12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271" s="2">
        <f t="shared" ca="1" si="148"/>
        <v>3.003693354578568</v>
      </c>
      <c r="D1271" s="4" t="str" cm="1">
        <f t="array" aca="1" ref="D12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71" s="2">
        <f t="shared" ca="1" si="149"/>
        <v>30.008371457135084</v>
      </c>
      <c r="F1271" s="4" t="str" cm="1">
        <f t="array" aca="1" ref="F12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71" s="2">
        <f t="shared" ca="1" si="150"/>
        <v>40.01693348579375</v>
      </c>
      <c r="H1271" s="47" t="str" cm="1">
        <f t="array" aca="1" ref="H12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72" spans="1:8" x14ac:dyDescent="0.25">
      <c r="A1272" s="2">
        <f t="shared" ca="1" si="147"/>
        <v>3.0092234511729781</v>
      </c>
      <c r="B1272" s="4" cm="1">
        <f t="array" aca="1" ref="B12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272" s="2">
        <f t="shared" ca="1" si="148"/>
        <v>3.0050520146651007</v>
      </c>
      <c r="D1272" s="4" t="str" cm="1">
        <f t="array" aca="1" ref="D12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72" s="2">
        <f t="shared" ca="1" si="149"/>
        <v>30.003449988704393</v>
      </c>
      <c r="F1272" s="4" t="str" cm="1">
        <f t="array" aca="1" ref="F12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72" s="2">
        <f t="shared" ca="1" si="150"/>
        <v>40.006669117207537</v>
      </c>
      <c r="H1272" s="47" t="str" cm="1">
        <f t="array" aca="1" ref="H12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73" spans="1:8" x14ac:dyDescent="0.25">
      <c r="A1273" s="2">
        <f t="shared" ca="1" si="147"/>
        <v>3.0091349680409767</v>
      </c>
      <c r="B1273" s="4" cm="1">
        <f t="array" aca="1" ref="B12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273" s="2">
        <f t="shared" ca="1" si="148"/>
        <v>3.0283884054793249</v>
      </c>
      <c r="D1273" s="4" t="str" cm="1">
        <f t="array" aca="1" ref="D12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73" s="2">
        <f t="shared" ca="1" si="149"/>
        <v>30.007274354024343</v>
      </c>
      <c r="F1273" s="4" t="str" cm="1">
        <f t="array" aca="1" ref="F12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73" s="2">
        <f t="shared" ca="1" si="150"/>
        <v>40.006580067011527</v>
      </c>
      <c r="H1273" s="47" t="str" cm="1">
        <f t="array" aca="1" ref="H12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74" spans="1:8" x14ac:dyDescent="0.25">
      <c r="A1274" s="2">
        <f t="shared" ca="1" si="147"/>
        <v>3.000123219510523</v>
      </c>
      <c r="B1274" s="4" cm="1">
        <f t="array" aca="1" ref="B12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274" s="2">
        <f t="shared" ca="1" si="148"/>
        <v>3.0147145841817573</v>
      </c>
      <c r="D1274" s="4" t="str" cm="1">
        <f t="array" aca="1" ref="D12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74" s="2">
        <f t="shared" ca="1" si="149"/>
        <v>30.019992736182715</v>
      </c>
      <c r="F1274" s="4" t="str" cm="1">
        <f t="array" aca="1" ref="F12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74" s="2">
        <f t="shared" ca="1" si="150"/>
        <v>40.024112177974466</v>
      </c>
      <c r="H1274" s="47" t="str" cm="1">
        <f t="array" aca="1" ref="H12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75" spans="1:8" x14ac:dyDescent="0.25">
      <c r="A1275" s="2">
        <f t="shared" ca="1" si="147"/>
        <v>3.0094182004869614</v>
      </c>
      <c r="B1275" s="4" cm="1">
        <f t="array" aca="1" ref="B12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275" s="2">
        <f t="shared" ca="1" si="148"/>
        <v>3.0241466002164605</v>
      </c>
      <c r="D1275" s="4" t="str" cm="1">
        <f t="array" aca="1" ref="D12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75" s="2">
        <f t="shared" ca="1" si="149"/>
        <v>30.007733320719097</v>
      </c>
      <c r="F1275" s="4" t="str" cm="1">
        <f t="array" aca="1" ref="F12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75" s="2">
        <f t="shared" ca="1" si="150"/>
        <v>40.000940863975565</v>
      </c>
      <c r="H1275" s="47" t="str" cm="1">
        <f t="array" aca="1" ref="H12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76" spans="1:8" x14ac:dyDescent="0.25">
      <c r="A1276" s="2">
        <f t="shared" ca="1" si="147"/>
        <v>3.0059381758432426</v>
      </c>
      <c r="B1276" s="4" cm="1">
        <f t="array" aca="1" ref="B12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276" s="2">
        <f t="shared" ca="1" si="148"/>
        <v>3.0259593030283338</v>
      </c>
      <c r="D1276" s="4" t="str" cm="1">
        <f t="array" aca="1" ref="D12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76" s="2">
        <f t="shared" ca="1" si="149"/>
        <v>30.01469445161824</v>
      </c>
      <c r="F1276" s="4" t="str" cm="1">
        <f t="array" aca="1" ref="F12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76" s="2">
        <f t="shared" ca="1" si="150"/>
        <v>40.003153758253518</v>
      </c>
      <c r="H1276" s="47" t="str" cm="1">
        <f t="array" aca="1" ref="H12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77" spans="1:8" x14ac:dyDescent="0.25">
      <c r="A1277" s="2">
        <f t="shared" ca="1" si="147"/>
        <v>3.0033961959710553</v>
      </c>
      <c r="B1277" s="4" cm="1">
        <f t="array" aca="1" ref="B12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277" s="2">
        <f t="shared" ca="1" si="148"/>
        <v>3.0003951932014417</v>
      </c>
      <c r="D1277" s="4" t="str" cm="1">
        <f t="array" aca="1" ref="D12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77" s="2">
        <f t="shared" ca="1" si="149"/>
        <v>30.002232156737662</v>
      </c>
      <c r="F1277" s="4" t="str" cm="1">
        <f t="array" aca="1" ref="F12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77" s="2">
        <f t="shared" ca="1" si="150"/>
        <v>40.023620023298385</v>
      </c>
      <c r="H1277" s="47" t="str" cm="1">
        <f t="array" aca="1" ref="H12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78" spans="1:8" x14ac:dyDescent="0.25">
      <c r="A1278" s="2">
        <f t="shared" ca="1" si="147"/>
        <v>3.0059944777570529</v>
      </c>
      <c r="B1278" s="4" cm="1">
        <f t="array" aca="1" ref="B12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278" s="2">
        <f t="shared" ca="1" si="148"/>
        <v>3.0282172607742233</v>
      </c>
      <c r="D1278" s="4" t="str" cm="1">
        <f t="array" aca="1" ref="D12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78" s="2">
        <f t="shared" ca="1" si="149"/>
        <v>30.027300209949125</v>
      </c>
      <c r="F1278" s="4" t="str" cm="1">
        <f t="array" aca="1" ref="F12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78" s="2">
        <f t="shared" ca="1" si="150"/>
        <v>40.025758324351514</v>
      </c>
      <c r="H1278" s="47" t="str" cm="1">
        <f t="array" aca="1" ref="H12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79" spans="1:8" x14ac:dyDescent="0.25">
      <c r="A1279" s="2">
        <f t="shared" ca="1" si="147"/>
        <v>3.0025003828652959</v>
      </c>
      <c r="B1279" s="4" cm="1">
        <f t="array" aca="1" ref="B12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279" s="2">
        <f t="shared" ca="1" si="148"/>
        <v>3.0188116565893295</v>
      </c>
      <c r="D1279" s="4" t="str" cm="1">
        <f t="array" aca="1" ref="D12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79" s="2">
        <f t="shared" ca="1" si="149"/>
        <v>30.026046018292003</v>
      </c>
      <c r="F1279" s="4" t="str" cm="1">
        <f t="array" aca="1" ref="F12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79" s="2">
        <f t="shared" ca="1" si="150"/>
        <v>40.021053696964842</v>
      </c>
      <c r="H1279" s="47" t="str" cm="1">
        <f t="array" aca="1" ref="H12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80" spans="1:8" x14ac:dyDescent="0.25">
      <c r="A1280" s="2">
        <f t="shared" ca="1" si="147"/>
        <v>3.0067051320375149</v>
      </c>
      <c r="B1280" s="4" cm="1">
        <f t="array" aca="1" ref="B12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280" s="2">
        <f t="shared" ca="1" si="148"/>
        <v>3.0198538285198042</v>
      </c>
      <c r="D1280" s="4" t="str" cm="1">
        <f t="array" aca="1" ref="D12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80" s="2">
        <f t="shared" ca="1" si="149"/>
        <v>30.001693823903071</v>
      </c>
      <c r="F1280" s="4" t="str" cm="1">
        <f t="array" aca="1" ref="F12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80" s="2">
        <f t="shared" ca="1" si="150"/>
        <v>40.008246304443674</v>
      </c>
      <c r="H1280" s="47" t="str" cm="1">
        <f t="array" aca="1" ref="H12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81" spans="1:8" x14ac:dyDescent="0.25">
      <c r="A1281" s="2">
        <f t="shared" ca="1" si="147"/>
        <v>3.0055050011705982</v>
      </c>
      <c r="B1281" s="4" cm="1">
        <f t="array" aca="1" ref="B12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281" s="2">
        <f t="shared" ca="1" si="148"/>
        <v>3.0193416823120747</v>
      </c>
      <c r="D1281" s="4" t="str" cm="1">
        <f t="array" aca="1" ref="D12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81" s="2">
        <f t="shared" ca="1" si="149"/>
        <v>30.017856635314612</v>
      </c>
      <c r="F1281" s="4" t="str" cm="1">
        <f t="array" aca="1" ref="F12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81" s="2">
        <f t="shared" ca="1" si="150"/>
        <v>40.027954592059046</v>
      </c>
      <c r="H1281" s="47" t="str" cm="1">
        <f t="array" aca="1" ref="H12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82" spans="1:8" x14ac:dyDescent="0.25">
      <c r="A1282" s="2">
        <f t="shared" ref="A1282:A1345" ca="1" si="151">3+RAND()*0.01</f>
        <v>3.0059804897223947</v>
      </c>
      <c r="B1282" s="4" cm="1">
        <f t="array" aca="1" ref="B12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282" s="2">
        <f t="shared" ref="C1282:C1345" ca="1" si="152">3+RAND()*0.03</f>
        <v>3.0114527064572463</v>
      </c>
      <c r="D1282" s="4" t="str" cm="1">
        <f t="array" aca="1" ref="D12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82" s="2">
        <f t="shared" ref="E1282:E1345" ca="1" si="153">30+RAND()*0.03</f>
        <v>30.026528000593405</v>
      </c>
      <c r="F1282" s="4" t="str" cm="1">
        <f t="array" aca="1" ref="F12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82" s="2">
        <f t="shared" ref="G1282:G1345" ca="1" si="154">40+RAND()*0.03</f>
        <v>40.028147297350749</v>
      </c>
      <c r="H1282" s="47" t="str" cm="1">
        <f t="array" aca="1" ref="H12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83" spans="1:8" x14ac:dyDescent="0.25">
      <c r="A1283" s="2">
        <f t="shared" ca="1" si="151"/>
        <v>3.0029885470407556</v>
      </c>
      <c r="B1283" s="4" cm="1">
        <f t="array" aca="1" ref="B12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283" s="2">
        <f t="shared" ca="1" si="152"/>
        <v>3.0263363277617845</v>
      </c>
      <c r="D1283" s="4" t="str" cm="1">
        <f t="array" aca="1" ref="D12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83" s="2">
        <f t="shared" ca="1" si="153"/>
        <v>30.027022559502058</v>
      </c>
      <c r="F1283" s="4" t="str" cm="1">
        <f t="array" aca="1" ref="F12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83" s="2">
        <f t="shared" ca="1" si="154"/>
        <v>40.019073983963459</v>
      </c>
      <c r="H1283" s="47" t="str" cm="1">
        <f t="array" aca="1" ref="H12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84" spans="1:8" x14ac:dyDescent="0.25">
      <c r="A1284" s="2">
        <f t="shared" ca="1" si="151"/>
        <v>3.0034276919323006</v>
      </c>
      <c r="B1284" s="4" cm="1">
        <f t="array" aca="1" ref="B12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284" s="2">
        <f t="shared" ca="1" si="152"/>
        <v>3.0266011367170389</v>
      </c>
      <c r="D1284" s="4" t="str" cm="1">
        <f t="array" aca="1" ref="D12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84" s="2">
        <f t="shared" ca="1" si="153"/>
        <v>30.019089758633321</v>
      </c>
      <c r="F1284" s="4" t="str" cm="1">
        <f t="array" aca="1" ref="F12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84" s="2">
        <f t="shared" ca="1" si="154"/>
        <v>40.01964217119437</v>
      </c>
      <c r="H1284" s="47" t="str" cm="1">
        <f t="array" aca="1" ref="H12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85" spans="1:8" x14ac:dyDescent="0.25">
      <c r="A1285" s="2">
        <f t="shared" ca="1" si="151"/>
        <v>3.0026524890141637</v>
      </c>
      <c r="B1285" s="4" cm="1">
        <f t="array" aca="1" ref="B12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285" s="2">
        <f t="shared" ca="1" si="152"/>
        <v>3.0121922513224595</v>
      </c>
      <c r="D1285" s="4" t="str" cm="1">
        <f t="array" aca="1" ref="D12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85" s="2">
        <f t="shared" ca="1" si="153"/>
        <v>30.006142780970734</v>
      </c>
      <c r="F1285" s="4" t="str" cm="1">
        <f t="array" aca="1" ref="F12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85" s="2">
        <f t="shared" ca="1" si="154"/>
        <v>40.028604212267219</v>
      </c>
      <c r="H1285" s="47" t="str" cm="1">
        <f t="array" aca="1" ref="H12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86" spans="1:8" x14ac:dyDescent="0.25">
      <c r="A1286" s="2">
        <f t="shared" ca="1" si="151"/>
        <v>3.0061583050861218</v>
      </c>
      <c r="B1286" s="4" cm="1">
        <f t="array" aca="1" ref="B12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286" s="2">
        <f t="shared" ca="1" si="152"/>
        <v>3.0176483766455582</v>
      </c>
      <c r="D1286" s="4" t="str" cm="1">
        <f t="array" aca="1" ref="D12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86" s="2">
        <f t="shared" ca="1" si="153"/>
        <v>30.017003805948004</v>
      </c>
      <c r="F1286" s="4" t="str" cm="1">
        <f t="array" aca="1" ref="F12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86" s="2">
        <f t="shared" ca="1" si="154"/>
        <v>40.029870985095911</v>
      </c>
      <c r="H1286" s="47" t="str" cm="1">
        <f t="array" aca="1" ref="H12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87" spans="1:8" x14ac:dyDescent="0.25">
      <c r="A1287" s="2">
        <f t="shared" ca="1" si="151"/>
        <v>3.0089300956777936</v>
      </c>
      <c r="B1287" s="4" cm="1">
        <f t="array" aca="1" ref="B12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287" s="2">
        <f t="shared" ca="1" si="152"/>
        <v>3.0291930380053711</v>
      </c>
      <c r="D1287" s="4" t="str" cm="1">
        <f t="array" aca="1" ref="D12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87" s="2">
        <f t="shared" ca="1" si="153"/>
        <v>30.025300874253997</v>
      </c>
      <c r="F1287" s="4" t="str" cm="1">
        <f t="array" aca="1" ref="F12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87" s="2">
        <f t="shared" ca="1" si="154"/>
        <v>40.009374517889562</v>
      </c>
      <c r="H1287" s="47" t="str" cm="1">
        <f t="array" aca="1" ref="H12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88" spans="1:8" x14ac:dyDescent="0.25">
      <c r="A1288" s="2">
        <f t="shared" ca="1" si="151"/>
        <v>3.0072751877809472</v>
      </c>
      <c r="B1288" s="4" cm="1">
        <f t="array" aca="1" ref="B12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288" s="2">
        <f t="shared" ca="1" si="152"/>
        <v>3.0206113473361142</v>
      </c>
      <c r="D1288" s="4" t="str" cm="1">
        <f t="array" aca="1" ref="D12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88" s="2">
        <f t="shared" ca="1" si="153"/>
        <v>30.028404193534239</v>
      </c>
      <c r="F1288" s="4" t="str" cm="1">
        <f t="array" aca="1" ref="F12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88" s="2">
        <f t="shared" ca="1" si="154"/>
        <v>40.005210449578087</v>
      </c>
      <c r="H1288" s="47" t="str" cm="1">
        <f t="array" aca="1" ref="H12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289" spans="1:8" x14ac:dyDescent="0.25">
      <c r="A1289" s="2">
        <f t="shared" ca="1" si="151"/>
        <v>3.0096838079166877</v>
      </c>
      <c r="B1289" s="4" cm="1">
        <f t="array" aca="1" ref="B12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289" s="2">
        <f t="shared" ca="1" si="152"/>
        <v>3.0010928824137482</v>
      </c>
      <c r="D1289" s="4" t="str" cm="1">
        <f t="array" aca="1" ref="D12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89" s="2">
        <f t="shared" ca="1" si="153"/>
        <v>30.009273498565211</v>
      </c>
      <c r="F1289" s="4" t="str" cm="1">
        <f t="array" aca="1" ref="F12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89" s="2">
        <f t="shared" ca="1" si="154"/>
        <v>40.026196864203179</v>
      </c>
      <c r="H1289" s="47" t="str" cm="1">
        <f t="array" aca="1" ref="H12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90" spans="1:8" x14ac:dyDescent="0.25">
      <c r="A1290" s="2">
        <f t="shared" ca="1" si="151"/>
        <v>3.0067600529016971</v>
      </c>
      <c r="B1290" s="4" cm="1">
        <f t="array" aca="1" ref="B12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290" s="2">
        <f t="shared" ca="1" si="152"/>
        <v>3.0175678676759792</v>
      </c>
      <c r="D1290" s="4" t="str" cm="1">
        <f t="array" aca="1" ref="D12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90" s="2">
        <f t="shared" ca="1" si="153"/>
        <v>30.005951507373798</v>
      </c>
      <c r="F1290" s="4" t="str" cm="1">
        <f t="array" aca="1" ref="F12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90" s="2">
        <f t="shared" ca="1" si="154"/>
        <v>40.025136468291592</v>
      </c>
      <c r="H1290" s="47" t="str" cm="1">
        <f t="array" aca="1" ref="H12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91" spans="1:8" x14ac:dyDescent="0.25">
      <c r="A1291" s="2">
        <f t="shared" ca="1" si="151"/>
        <v>3.0022069145896886</v>
      </c>
      <c r="B1291" s="4" cm="1">
        <f t="array" aca="1" ref="B12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291" s="2">
        <f t="shared" ca="1" si="152"/>
        <v>3.0130399070901941</v>
      </c>
      <c r="D1291" s="4" t="str" cm="1">
        <f t="array" aca="1" ref="D12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291" s="2">
        <f t="shared" ca="1" si="153"/>
        <v>30.025299230938373</v>
      </c>
      <c r="F1291" s="4" t="str" cm="1">
        <f t="array" aca="1" ref="F12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91" s="2">
        <f t="shared" ca="1" si="154"/>
        <v>40.015990791941334</v>
      </c>
      <c r="H1291" s="47" t="str" cm="1">
        <f t="array" aca="1" ref="H12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92" spans="1:8" x14ac:dyDescent="0.25">
      <c r="A1292" s="2">
        <f t="shared" ca="1" si="151"/>
        <v>3.0049016516488769</v>
      </c>
      <c r="B1292" s="4" cm="1">
        <f t="array" aca="1" ref="B12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292" s="2">
        <f t="shared" ca="1" si="152"/>
        <v>3.0006547938253769</v>
      </c>
      <c r="D1292" s="4" t="str" cm="1">
        <f t="array" aca="1" ref="D12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92" s="2">
        <f t="shared" ca="1" si="153"/>
        <v>30.006322062664324</v>
      </c>
      <c r="F1292" s="4" t="str" cm="1">
        <f t="array" aca="1" ref="F12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292" s="2">
        <f t="shared" ca="1" si="154"/>
        <v>40.027438393550696</v>
      </c>
      <c r="H1292" s="47" t="str" cm="1">
        <f t="array" aca="1" ref="H12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93" spans="1:8" x14ac:dyDescent="0.25">
      <c r="A1293" s="2">
        <f t="shared" ca="1" si="151"/>
        <v>3.0093621506049573</v>
      </c>
      <c r="B1293" s="4" cm="1">
        <f t="array" aca="1" ref="B12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293" s="2">
        <f t="shared" ca="1" si="152"/>
        <v>3.0252375926030481</v>
      </c>
      <c r="D1293" s="4" t="str" cm="1">
        <f t="array" aca="1" ref="D12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93" s="2">
        <f t="shared" ca="1" si="153"/>
        <v>30.013402037943472</v>
      </c>
      <c r="F1293" s="4" t="str" cm="1">
        <f t="array" aca="1" ref="F12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93" s="2">
        <f t="shared" ca="1" si="154"/>
        <v>40.023326568031216</v>
      </c>
      <c r="H1293" s="47" t="str" cm="1">
        <f t="array" aca="1" ref="H12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94" spans="1:8" x14ac:dyDescent="0.25">
      <c r="A1294" s="2">
        <f t="shared" ca="1" si="151"/>
        <v>3.0095461076200585</v>
      </c>
      <c r="B1294" s="4" cm="1">
        <f t="array" aca="1" ref="B12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294" s="2">
        <f t="shared" ca="1" si="152"/>
        <v>3.0240132975043235</v>
      </c>
      <c r="D1294" s="4" t="str" cm="1">
        <f t="array" aca="1" ref="D12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94" s="2">
        <f t="shared" ca="1" si="153"/>
        <v>30.017171453824155</v>
      </c>
      <c r="F1294" s="4" t="str" cm="1">
        <f t="array" aca="1" ref="F12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94" s="2">
        <f t="shared" ca="1" si="154"/>
        <v>40.029505738788487</v>
      </c>
      <c r="H1294" s="47" t="str" cm="1">
        <f t="array" aca="1" ref="H12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95" spans="1:8" x14ac:dyDescent="0.25">
      <c r="A1295" s="2">
        <f t="shared" ca="1" si="151"/>
        <v>3.0000763162325947</v>
      </c>
      <c r="B1295" s="4" cm="1">
        <f t="array" aca="1" ref="B12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295" s="2">
        <f t="shared" ca="1" si="152"/>
        <v>3.0247615296347257</v>
      </c>
      <c r="D1295" s="4" t="str" cm="1">
        <f t="array" aca="1" ref="D12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95" s="2">
        <f t="shared" ca="1" si="153"/>
        <v>30.017112432993375</v>
      </c>
      <c r="F1295" s="4" t="str" cm="1">
        <f t="array" aca="1" ref="F12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95" s="2">
        <f t="shared" ca="1" si="154"/>
        <v>40.019234124704163</v>
      </c>
      <c r="H1295" s="47" t="str" cm="1">
        <f t="array" aca="1" ref="H12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296" spans="1:8" x14ac:dyDescent="0.25">
      <c r="A1296" s="2">
        <f t="shared" ca="1" si="151"/>
        <v>3.0071084099557299</v>
      </c>
      <c r="B1296" s="4" cm="1">
        <f t="array" aca="1" ref="B12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296" s="2">
        <f t="shared" ca="1" si="152"/>
        <v>3.0291758698555133</v>
      </c>
      <c r="D1296" s="4" t="str" cm="1">
        <f t="array" aca="1" ref="D12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96" s="2">
        <f t="shared" ca="1" si="153"/>
        <v>30.026321675294554</v>
      </c>
      <c r="F1296" s="4" t="str" cm="1">
        <f t="array" aca="1" ref="F12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296" s="2">
        <f t="shared" ca="1" si="154"/>
        <v>40.02545487362481</v>
      </c>
      <c r="H1296" s="47" t="str" cm="1">
        <f t="array" aca="1" ref="H12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97" spans="1:8" x14ac:dyDescent="0.25">
      <c r="A1297" s="2">
        <f t="shared" ca="1" si="151"/>
        <v>3.0072068097040896</v>
      </c>
      <c r="B1297" s="4" cm="1">
        <f t="array" aca="1" ref="B12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297" s="2">
        <f t="shared" ca="1" si="152"/>
        <v>3.0277727788384921</v>
      </c>
      <c r="D1297" s="4" t="str" cm="1">
        <f t="array" aca="1" ref="D12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97" s="2">
        <f t="shared" ca="1" si="153"/>
        <v>30.016743272957729</v>
      </c>
      <c r="F1297" s="4" t="str" cm="1">
        <f t="array" aca="1" ref="F12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97" s="2">
        <f t="shared" ca="1" si="154"/>
        <v>40.027952208108253</v>
      </c>
      <c r="H1297" s="47" t="str" cm="1">
        <f t="array" aca="1" ref="H12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98" spans="1:8" x14ac:dyDescent="0.25">
      <c r="A1298" s="2">
        <f t="shared" ca="1" si="151"/>
        <v>3.0017495720081615</v>
      </c>
      <c r="B1298" s="4" cm="1">
        <f t="array" aca="1" ref="B12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298" s="2">
        <f t="shared" ca="1" si="152"/>
        <v>3.0221085714883333</v>
      </c>
      <c r="D1298" s="4" t="str" cm="1">
        <f t="array" aca="1" ref="D12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298" s="2">
        <f t="shared" ca="1" si="153"/>
        <v>30.018974476305132</v>
      </c>
      <c r="F1298" s="4" t="str" cm="1">
        <f t="array" aca="1" ref="F12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98" s="2">
        <f t="shared" ca="1" si="154"/>
        <v>40.024407128822972</v>
      </c>
      <c r="H1298" s="47" t="str" cm="1">
        <f t="array" aca="1" ref="H12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299" spans="1:8" x14ac:dyDescent="0.25">
      <c r="A1299" s="2">
        <f t="shared" ca="1" si="151"/>
        <v>3.0068552238923716</v>
      </c>
      <c r="B1299" s="4" cm="1">
        <f t="array" aca="1" ref="B12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299" s="2">
        <f t="shared" ca="1" si="152"/>
        <v>3.0069335631460699</v>
      </c>
      <c r="D1299" s="4" t="str" cm="1">
        <f t="array" aca="1" ref="D12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299" s="2">
        <f t="shared" ca="1" si="153"/>
        <v>30.015591158002643</v>
      </c>
      <c r="F1299" s="4" t="str" cm="1">
        <f t="array" aca="1" ref="F12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299" s="2">
        <f t="shared" ca="1" si="154"/>
        <v>40.020498539822029</v>
      </c>
      <c r="H1299" s="47" t="str" cm="1">
        <f t="array" aca="1" ref="H12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00" spans="1:8" x14ac:dyDescent="0.25">
      <c r="A1300" s="2">
        <f t="shared" ca="1" si="151"/>
        <v>3.001822166673092</v>
      </c>
      <c r="B1300" s="4" cm="1">
        <f t="array" aca="1" ref="B13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300" s="2">
        <f t="shared" ca="1" si="152"/>
        <v>3.0090744367908031</v>
      </c>
      <c r="D1300" s="4" t="str" cm="1">
        <f t="array" aca="1" ref="D13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00" s="2">
        <f t="shared" ca="1" si="153"/>
        <v>30.017908929771391</v>
      </c>
      <c r="F1300" s="4" t="str" cm="1">
        <f t="array" aca="1" ref="F13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00" s="2">
        <f t="shared" ca="1" si="154"/>
        <v>40.024379905214332</v>
      </c>
      <c r="H1300" s="47" t="str" cm="1">
        <f t="array" aca="1" ref="H13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01" spans="1:8" x14ac:dyDescent="0.25">
      <c r="A1301" s="2">
        <f t="shared" ca="1" si="151"/>
        <v>3.0067371298601988</v>
      </c>
      <c r="B1301" s="4" cm="1">
        <f t="array" aca="1" ref="B13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301" s="2">
        <f t="shared" ca="1" si="152"/>
        <v>3.0074466520118968</v>
      </c>
      <c r="D1301" s="4" t="str" cm="1">
        <f t="array" aca="1" ref="D13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01" s="2">
        <f t="shared" ca="1" si="153"/>
        <v>30.01755576718303</v>
      </c>
      <c r="F1301" s="4" t="str" cm="1">
        <f t="array" aca="1" ref="F13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01" s="2">
        <f t="shared" ca="1" si="154"/>
        <v>40.014179686753494</v>
      </c>
      <c r="H1301" s="47" t="str" cm="1">
        <f t="array" aca="1" ref="H13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02" spans="1:8" x14ac:dyDescent="0.25">
      <c r="A1302" s="2">
        <f t="shared" ca="1" si="151"/>
        <v>3.0082407010066294</v>
      </c>
      <c r="B1302" s="4" cm="1">
        <f t="array" aca="1" ref="B13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302" s="2">
        <f t="shared" ca="1" si="152"/>
        <v>3.0003110409639988</v>
      </c>
      <c r="D1302" s="4" t="str" cm="1">
        <f t="array" aca="1" ref="D13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02" s="2">
        <f t="shared" ca="1" si="153"/>
        <v>30.018529513588202</v>
      </c>
      <c r="F1302" s="4" t="str" cm="1">
        <f t="array" aca="1" ref="F13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02" s="2">
        <f t="shared" ca="1" si="154"/>
        <v>40.026863414398747</v>
      </c>
      <c r="H1302" s="47" t="str" cm="1">
        <f t="array" aca="1" ref="H13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03" spans="1:8" x14ac:dyDescent="0.25">
      <c r="A1303" s="2">
        <f t="shared" ca="1" si="151"/>
        <v>3.0044232942710547</v>
      </c>
      <c r="B1303" s="4" cm="1">
        <f t="array" aca="1" ref="B13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303" s="2">
        <f t="shared" ca="1" si="152"/>
        <v>3.0160932075179381</v>
      </c>
      <c r="D1303" s="4" t="str" cm="1">
        <f t="array" aca="1" ref="D13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03" s="2">
        <f t="shared" ca="1" si="153"/>
        <v>30.029147725986082</v>
      </c>
      <c r="F1303" s="4" t="str" cm="1">
        <f t="array" aca="1" ref="F13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03" s="2">
        <f t="shared" ca="1" si="154"/>
        <v>40.002462132048308</v>
      </c>
      <c r="H1303" s="47" t="str" cm="1">
        <f t="array" aca="1" ref="H13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04" spans="1:8" x14ac:dyDescent="0.25">
      <c r="A1304" s="2">
        <f t="shared" ca="1" si="151"/>
        <v>3.0011944621513864</v>
      </c>
      <c r="B1304" s="4" cm="1">
        <f t="array" aca="1" ref="B13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304" s="2">
        <f t="shared" ca="1" si="152"/>
        <v>3.0259716037067004</v>
      </c>
      <c r="D1304" s="4" t="str" cm="1">
        <f t="array" aca="1" ref="D13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04" s="2">
        <f t="shared" ca="1" si="153"/>
        <v>30.029830132663946</v>
      </c>
      <c r="F1304" s="4" t="str" cm="1">
        <f t="array" aca="1" ref="F13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04" s="2">
        <f t="shared" ca="1" si="154"/>
        <v>40.002031457672523</v>
      </c>
      <c r="H1304" s="47" t="str" cm="1">
        <f t="array" aca="1" ref="H13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05" spans="1:8" x14ac:dyDescent="0.25">
      <c r="A1305" s="2">
        <f t="shared" ca="1" si="151"/>
        <v>3.0091288738261928</v>
      </c>
      <c r="B1305" s="4" cm="1">
        <f t="array" aca="1" ref="B13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305" s="2">
        <f t="shared" ca="1" si="152"/>
        <v>3.0180805082249762</v>
      </c>
      <c r="D1305" s="4" t="str" cm="1">
        <f t="array" aca="1" ref="D13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05" s="2">
        <f t="shared" ca="1" si="153"/>
        <v>30.018658782824954</v>
      </c>
      <c r="F1305" s="4" t="str" cm="1">
        <f t="array" aca="1" ref="F13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05" s="2">
        <f t="shared" ca="1" si="154"/>
        <v>40.015264331236494</v>
      </c>
      <c r="H1305" s="47" t="str" cm="1">
        <f t="array" aca="1" ref="H13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06" spans="1:8" x14ac:dyDescent="0.25">
      <c r="A1306" s="2">
        <f t="shared" ca="1" si="151"/>
        <v>3.0087210096643697</v>
      </c>
      <c r="B1306" s="4" cm="1">
        <f t="array" aca="1" ref="B13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306" s="2">
        <f t="shared" ca="1" si="152"/>
        <v>3.0115156591773111</v>
      </c>
      <c r="D1306" s="4" t="str" cm="1">
        <f t="array" aca="1" ref="D13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06" s="2">
        <f t="shared" ca="1" si="153"/>
        <v>30.007817690528057</v>
      </c>
      <c r="F1306" s="4" t="str" cm="1">
        <f t="array" aca="1" ref="F13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06" s="2">
        <f t="shared" ca="1" si="154"/>
        <v>40.020263336764309</v>
      </c>
      <c r="H1306" s="47" t="str" cm="1">
        <f t="array" aca="1" ref="H13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07" spans="1:8" x14ac:dyDescent="0.25">
      <c r="A1307" s="2">
        <f t="shared" ca="1" si="151"/>
        <v>3.0062170021167138</v>
      </c>
      <c r="B1307" s="4" cm="1">
        <f t="array" aca="1" ref="B13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307" s="2">
        <f t="shared" ca="1" si="152"/>
        <v>3.0064665366143326</v>
      </c>
      <c r="D1307" s="4" t="str" cm="1">
        <f t="array" aca="1" ref="D13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07" s="2">
        <f t="shared" ca="1" si="153"/>
        <v>30.000250749007321</v>
      </c>
      <c r="F1307" s="4" t="str" cm="1">
        <f t="array" aca="1" ref="F13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07" s="2">
        <f t="shared" ca="1" si="154"/>
        <v>40.023469250478257</v>
      </c>
      <c r="H1307" s="47" t="str" cm="1">
        <f t="array" aca="1" ref="H13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08" spans="1:8" x14ac:dyDescent="0.25">
      <c r="A1308" s="2">
        <f t="shared" ca="1" si="151"/>
        <v>3.0008559333574705</v>
      </c>
      <c r="B1308" s="4" cm="1">
        <f t="array" aca="1" ref="B13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308" s="2">
        <f t="shared" ca="1" si="152"/>
        <v>3.0162052904973029</v>
      </c>
      <c r="D1308" s="4" t="str" cm="1">
        <f t="array" aca="1" ref="D13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08" s="2">
        <f t="shared" ca="1" si="153"/>
        <v>30.008359009742218</v>
      </c>
      <c r="F1308" s="4" t="str" cm="1">
        <f t="array" aca="1" ref="F13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08" s="2">
        <f t="shared" ca="1" si="154"/>
        <v>40.017508861206124</v>
      </c>
      <c r="H1308" s="47" t="str" cm="1">
        <f t="array" aca="1" ref="H13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09" spans="1:8" x14ac:dyDescent="0.25">
      <c r="A1309" s="2">
        <f t="shared" ca="1" si="151"/>
        <v>3.0031333927350468</v>
      </c>
      <c r="B1309" s="4" cm="1">
        <f t="array" aca="1" ref="B13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309" s="2">
        <f t="shared" ca="1" si="152"/>
        <v>3.0161653238590787</v>
      </c>
      <c r="D1309" s="4" t="str" cm="1">
        <f t="array" aca="1" ref="D13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09" s="2">
        <f t="shared" ca="1" si="153"/>
        <v>30.027563055664913</v>
      </c>
      <c r="F1309" s="4" t="str" cm="1">
        <f t="array" aca="1" ref="F13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09" s="2">
        <f t="shared" ca="1" si="154"/>
        <v>40.010454515054462</v>
      </c>
      <c r="H1309" s="47" t="str" cm="1">
        <f t="array" aca="1" ref="H13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10" spans="1:8" x14ac:dyDescent="0.25">
      <c r="A1310" s="2">
        <f t="shared" ca="1" si="151"/>
        <v>3.0083147995634256</v>
      </c>
      <c r="B1310" s="4" cm="1">
        <f t="array" aca="1" ref="B13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310" s="2">
        <f t="shared" ca="1" si="152"/>
        <v>3.0103806411625973</v>
      </c>
      <c r="D1310" s="4" t="str" cm="1">
        <f t="array" aca="1" ref="D13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10" s="2">
        <f t="shared" ca="1" si="153"/>
        <v>30.022450188687476</v>
      </c>
      <c r="F1310" s="4" t="str" cm="1">
        <f t="array" aca="1" ref="F13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10" s="2">
        <f t="shared" ca="1" si="154"/>
        <v>40.029169917775711</v>
      </c>
      <c r="H1310" s="47" t="str" cm="1">
        <f t="array" aca="1" ref="H13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11" spans="1:8" x14ac:dyDescent="0.25">
      <c r="A1311" s="2">
        <f t="shared" ca="1" si="151"/>
        <v>3.0013566575214026</v>
      </c>
      <c r="B1311" s="4" cm="1">
        <f t="array" aca="1" ref="B13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311" s="2">
        <f t="shared" ca="1" si="152"/>
        <v>3.0029610669836742</v>
      </c>
      <c r="D1311" s="4" t="str" cm="1">
        <f t="array" aca="1" ref="D13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11" s="2">
        <f t="shared" ca="1" si="153"/>
        <v>30.016814107296106</v>
      </c>
      <c r="F1311" s="4" t="str" cm="1">
        <f t="array" aca="1" ref="F13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11" s="2">
        <f t="shared" ca="1" si="154"/>
        <v>40.023716390307442</v>
      </c>
      <c r="H1311" s="47" t="str" cm="1">
        <f t="array" aca="1" ref="H13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12" spans="1:8" x14ac:dyDescent="0.25">
      <c r="A1312" s="2">
        <f t="shared" ca="1" si="151"/>
        <v>3.0005127584224089</v>
      </c>
      <c r="B1312" s="4" cm="1">
        <f t="array" aca="1" ref="B13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312" s="2">
        <f t="shared" ca="1" si="152"/>
        <v>3.0087859163362269</v>
      </c>
      <c r="D1312" s="4" t="str" cm="1">
        <f t="array" aca="1" ref="D13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12" s="2">
        <f t="shared" ca="1" si="153"/>
        <v>30.010220277477885</v>
      </c>
      <c r="F1312" s="4" t="str" cm="1">
        <f t="array" aca="1" ref="F13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12" s="2">
        <f t="shared" ca="1" si="154"/>
        <v>40.005301460411431</v>
      </c>
      <c r="H1312" s="47" t="str" cm="1">
        <f t="array" aca="1" ref="H13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13" spans="1:8" x14ac:dyDescent="0.25">
      <c r="A1313" s="2">
        <f t="shared" ca="1" si="151"/>
        <v>3.0085795958097759</v>
      </c>
      <c r="B1313" s="4" cm="1">
        <f t="array" aca="1" ref="B13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313" s="2">
        <f t="shared" ca="1" si="152"/>
        <v>3.0288220570647244</v>
      </c>
      <c r="D1313" s="4" t="str" cm="1">
        <f t="array" aca="1" ref="D13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13" s="2">
        <f t="shared" ca="1" si="153"/>
        <v>30.028556239836767</v>
      </c>
      <c r="F1313" s="4" t="str" cm="1">
        <f t="array" aca="1" ref="F13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13" s="2">
        <f t="shared" ca="1" si="154"/>
        <v>40.028809881232092</v>
      </c>
      <c r="H1313" s="47" t="str" cm="1">
        <f t="array" aca="1" ref="H13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14" spans="1:8" x14ac:dyDescent="0.25">
      <c r="A1314" s="2">
        <f t="shared" ca="1" si="151"/>
        <v>3.0034444243138978</v>
      </c>
      <c r="B1314" s="4" cm="1">
        <f t="array" aca="1" ref="B13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314" s="2">
        <f t="shared" ca="1" si="152"/>
        <v>3.0149504817516979</v>
      </c>
      <c r="D1314" s="4" t="str" cm="1">
        <f t="array" aca="1" ref="D13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14" s="2">
        <f t="shared" ca="1" si="153"/>
        <v>30.008554832199302</v>
      </c>
      <c r="F1314" s="4" t="str" cm="1">
        <f t="array" aca="1" ref="F13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14" s="2">
        <f t="shared" ca="1" si="154"/>
        <v>40.005215436961237</v>
      </c>
      <c r="H1314" s="47" t="str" cm="1">
        <f t="array" aca="1" ref="H13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15" spans="1:8" x14ac:dyDescent="0.25">
      <c r="A1315" s="2">
        <f t="shared" ca="1" si="151"/>
        <v>3.0055327764039221</v>
      </c>
      <c r="B1315" s="4" cm="1">
        <f t="array" aca="1" ref="B13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315" s="2">
        <f t="shared" ca="1" si="152"/>
        <v>3.0166292719569032</v>
      </c>
      <c r="D1315" s="4" t="str" cm="1">
        <f t="array" aca="1" ref="D13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15" s="2">
        <f t="shared" ca="1" si="153"/>
        <v>30.017416357713017</v>
      </c>
      <c r="F1315" s="4" t="str" cm="1">
        <f t="array" aca="1" ref="F13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15" s="2">
        <f t="shared" ca="1" si="154"/>
        <v>40.016352763466145</v>
      </c>
      <c r="H1315" s="47" t="str" cm="1">
        <f t="array" aca="1" ref="H13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16" spans="1:8" x14ac:dyDescent="0.25">
      <c r="A1316" s="2">
        <f t="shared" ca="1" si="151"/>
        <v>3.004094767857072</v>
      </c>
      <c r="B1316" s="4" cm="1">
        <f t="array" aca="1" ref="B13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316" s="2">
        <f t="shared" ca="1" si="152"/>
        <v>3.0281106989915645</v>
      </c>
      <c r="D1316" s="4" t="str" cm="1">
        <f t="array" aca="1" ref="D13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16" s="2">
        <f t="shared" ca="1" si="153"/>
        <v>30.020088743724749</v>
      </c>
      <c r="F1316" s="4" t="str" cm="1">
        <f t="array" aca="1" ref="F13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16" s="2">
        <f t="shared" ca="1" si="154"/>
        <v>40.003802854387089</v>
      </c>
      <c r="H1316" s="47" t="str" cm="1">
        <f t="array" aca="1" ref="H13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17" spans="1:8" x14ac:dyDescent="0.25">
      <c r="A1317" s="2">
        <f t="shared" ca="1" si="151"/>
        <v>3.0058385486206012</v>
      </c>
      <c r="B1317" s="4" cm="1">
        <f t="array" aca="1" ref="B13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317" s="2">
        <f t="shared" ca="1" si="152"/>
        <v>3.0177509548516865</v>
      </c>
      <c r="D1317" s="4" t="str" cm="1">
        <f t="array" aca="1" ref="D13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17" s="2">
        <f t="shared" ca="1" si="153"/>
        <v>30.013446213486798</v>
      </c>
      <c r="F1317" s="4" t="str" cm="1">
        <f t="array" aca="1" ref="F13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17" s="2">
        <f t="shared" ca="1" si="154"/>
        <v>40.003748939407444</v>
      </c>
      <c r="H1317" s="47" t="str" cm="1">
        <f t="array" aca="1" ref="H13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18" spans="1:8" x14ac:dyDescent="0.25">
      <c r="A1318" s="2">
        <f t="shared" ca="1" si="151"/>
        <v>3.0051562277453767</v>
      </c>
      <c r="B1318" s="4" cm="1">
        <f t="array" aca="1" ref="B13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318" s="2">
        <f t="shared" ca="1" si="152"/>
        <v>3.000823387518373</v>
      </c>
      <c r="D1318" s="4" t="str" cm="1">
        <f t="array" aca="1" ref="D13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18" s="2">
        <f t="shared" ca="1" si="153"/>
        <v>30.022480918232571</v>
      </c>
      <c r="F1318" s="4" t="str" cm="1">
        <f t="array" aca="1" ref="F13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18" s="2">
        <f t="shared" ca="1" si="154"/>
        <v>40.013559487187379</v>
      </c>
      <c r="H1318" s="47" t="str" cm="1">
        <f t="array" aca="1" ref="H13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19" spans="1:8" x14ac:dyDescent="0.25">
      <c r="A1319" s="2">
        <f t="shared" ca="1" si="151"/>
        <v>3.0041051547838857</v>
      </c>
      <c r="B1319" s="4" cm="1">
        <f t="array" aca="1" ref="B13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319" s="2">
        <f t="shared" ca="1" si="152"/>
        <v>3.018047271231572</v>
      </c>
      <c r="D1319" s="4" t="str" cm="1">
        <f t="array" aca="1" ref="D13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19" s="2">
        <f t="shared" ca="1" si="153"/>
        <v>30.007319873900229</v>
      </c>
      <c r="F1319" s="4" t="str" cm="1">
        <f t="array" aca="1" ref="F13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19" s="2">
        <f t="shared" ca="1" si="154"/>
        <v>40.002048695093507</v>
      </c>
      <c r="H1319" s="47" t="str" cm="1">
        <f t="array" aca="1" ref="H13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20" spans="1:8" x14ac:dyDescent="0.25">
      <c r="A1320" s="2">
        <f t="shared" ca="1" si="151"/>
        <v>3.0074090051049915</v>
      </c>
      <c r="B1320" s="4" cm="1">
        <f t="array" aca="1" ref="B13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320" s="2">
        <f t="shared" ca="1" si="152"/>
        <v>3.019252686692905</v>
      </c>
      <c r="D1320" s="4" t="str" cm="1">
        <f t="array" aca="1" ref="D13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20" s="2">
        <f t="shared" ca="1" si="153"/>
        <v>30.025378297228194</v>
      </c>
      <c r="F1320" s="4" t="str" cm="1">
        <f t="array" aca="1" ref="F13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20" s="2">
        <f t="shared" ca="1" si="154"/>
        <v>40.012526109100229</v>
      </c>
      <c r="H1320" s="47" t="str" cm="1">
        <f t="array" aca="1" ref="H13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21" spans="1:8" x14ac:dyDescent="0.25">
      <c r="A1321" s="2">
        <f t="shared" ca="1" si="151"/>
        <v>3.0088045426077765</v>
      </c>
      <c r="B1321" s="4" cm="1">
        <f t="array" aca="1" ref="B13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321" s="2">
        <f t="shared" ca="1" si="152"/>
        <v>3.0185484225847046</v>
      </c>
      <c r="D1321" s="4" t="str" cm="1">
        <f t="array" aca="1" ref="D13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21" s="2">
        <f t="shared" ca="1" si="153"/>
        <v>30.007529920758476</v>
      </c>
      <c r="F1321" s="4" t="str" cm="1">
        <f t="array" aca="1" ref="F13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21" s="2">
        <f t="shared" ca="1" si="154"/>
        <v>40.009900695609204</v>
      </c>
      <c r="H1321" s="47" t="str" cm="1">
        <f t="array" aca="1" ref="H13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22" spans="1:8" x14ac:dyDescent="0.25">
      <c r="A1322" s="2">
        <f t="shared" ca="1" si="151"/>
        <v>3.0092107463779341</v>
      </c>
      <c r="B1322" s="4" cm="1">
        <f t="array" aca="1" ref="B13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322" s="2">
        <f t="shared" ca="1" si="152"/>
        <v>3.0178017603374165</v>
      </c>
      <c r="D1322" s="4" t="str" cm="1">
        <f t="array" aca="1" ref="D13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22" s="2">
        <f t="shared" ca="1" si="153"/>
        <v>30.014546771898075</v>
      </c>
      <c r="F1322" s="4" t="str" cm="1">
        <f t="array" aca="1" ref="F13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22" s="2">
        <f t="shared" ca="1" si="154"/>
        <v>40.019422794375579</v>
      </c>
      <c r="H1322" s="47" t="str" cm="1">
        <f t="array" aca="1" ref="H13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23" spans="1:8" x14ac:dyDescent="0.25">
      <c r="A1323" s="2">
        <f t="shared" ca="1" si="151"/>
        <v>3.0001589113020963</v>
      </c>
      <c r="B1323" s="4" cm="1">
        <f t="array" aca="1" ref="B13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323" s="2">
        <f t="shared" ca="1" si="152"/>
        <v>3.025378735233315</v>
      </c>
      <c r="D1323" s="4" t="str" cm="1">
        <f t="array" aca="1" ref="D13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23" s="2">
        <f t="shared" ca="1" si="153"/>
        <v>30.004646277304111</v>
      </c>
      <c r="F1323" s="4" t="str" cm="1">
        <f t="array" aca="1" ref="F13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23" s="2">
        <f t="shared" ca="1" si="154"/>
        <v>40.014651603862433</v>
      </c>
      <c r="H1323" s="47" t="str" cm="1">
        <f t="array" aca="1" ref="H13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24" spans="1:8" x14ac:dyDescent="0.25">
      <c r="A1324" s="2">
        <f t="shared" ca="1" si="151"/>
        <v>3.0075664008370242</v>
      </c>
      <c r="B1324" s="4" cm="1">
        <f t="array" aca="1" ref="B13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324" s="2">
        <f t="shared" ca="1" si="152"/>
        <v>3.0190484197443466</v>
      </c>
      <c r="D1324" s="4" t="str" cm="1">
        <f t="array" aca="1" ref="D13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24" s="2">
        <f t="shared" ca="1" si="153"/>
        <v>30.017450192579982</v>
      </c>
      <c r="F1324" s="4" t="str" cm="1">
        <f t="array" aca="1" ref="F13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24" s="2">
        <f t="shared" ca="1" si="154"/>
        <v>40.019711689196029</v>
      </c>
      <c r="H1324" s="47" t="str" cm="1">
        <f t="array" aca="1" ref="H13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25" spans="1:8" x14ac:dyDescent="0.25">
      <c r="A1325" s="2">
        <f t="shared" ca="1" si="151"/>
        <v>3.0034774387565459</v>
      </c>
      <c r="B1325" s="4" cm="1">
        <f t="array" aca="1" ref="B13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325" s="2">
        <f t="shared" ca="1" si="152"/>
        <v>3.015892942016591</v>
      </c>
      <c r="D1325" s="4" t="str" cm="1">
        <f t="array" aca="1" ref="D13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25" s="2">
        <f t="shared" ca="1" si="153"/>
        <v>30.018608470935529</v>
      </c>
      <c r="F1325" s="4" t="str" cm="1">
        <f t="array" aca="1" ref="F13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25" s="2">
        <f t="shared" ca="1" si="154"/>
        <v>40.00839430359909</v>
      </c>
      <c r="H1325" s="47" t="str" cm="1">
        <f t="array" aca="1" ref="H13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26" spans="1:8" x14ac:dyDescent="0.25">
      <c r="A1326" s="2">
        <f t="shared" ca="1" si="151"/>
        <v>3.0099393504124152</v>
      </c>
      <c r="B1326" s="4" cm="1">
        <f t="array" aca="1" ref="B13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326" s="2">
        <f t="shared" ca="1" si="152"/>
        <v>3.0020129510617846</v>
      </c>
      <c r="D1326" s="4" t="str" cm="1">
        <f t="array" aca="1" ref="D13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26" s="2">
        <f t="shared" ca="1" si="153"/>
        <v>30.025831452242329</v>
      </c>
      <c r="F1326" s="4" t="str" cm="1">
        <f t="array" aca="1" ref="F13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26" s="2">
        <f t="shared" ca="1" si="154"/>
        <v>40.024735376580374</v>
      </c>
      <c r="H1326" s="47" t="str" cm="1">
        <f t="array" aca="1" ref="H13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27" spans="1:8" x14ac:dyDescent="0.25">
      <c r="A1327" s="2">
        <f t="shared" ca="1" si="151"/>
        <v>3.0092540237012049</v>
      </c>
      <c r="B1327" s="4" cm="1">
        <f t="array" aca="1" ref="B13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327" s="2">
        <f t="shared" ca="1" si="152"/>
        <v>3.0255726300004318</v>
      </c>
      <c r="D1327" s="4" t="str" cm="1">
        <f t="array" aca="1" ref="D13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27" s="2">
        <f t="shared" ca="1" si="153"/>
        <v>30.014594383247974</v>
      </c>
      <c r="F1327" s="4" t="str" cm="1">
        <f t="array" aca="1" ref="F13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27" s="2">
        <f t="shared" ca="1" si="154"/>
        <v>40.021091094171737</v>
      </c>
      <c r="H1327" s="47" t="str" cm="1">
        <f t="array" aca="1" ref="H13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28" spans="1:8" x14ac:dyDescent="0.25">
      <c r="A1328" s="2">
        <f t="shared" ca="1" si="151"/>
        <v>3.0026673636416716</v>
      </c>
      <c r="B1328" s="4" cm="1">
        <f t="array" aca="1" ref="B13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328" s="2">
        <f t="shared" ca="1" si="152"/>
        <v>3.0164222794521596</v>
      </c>
      <c r="D1328" s="4" t="str" cm="1">
        <f t="array" aca="1" ref="D13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28" s="2">
        <f t="shared" ca="1" si="153"/>
        <v>30.006460663469408</v>
      </c>
      <c r="F1328" s="4" t="str" cm="1">
        <f t="array" aca="1" ref="F13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28" s="2">
        <f t="shared" ca="1" si="154"/>
        <v>40.007601841034109</v>
      </c>
      <c r="H1328" s="47" t="str" cm="1">
        <f t="array" aca="1" ref="H13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29" spans="1:8" x14ac:dyDescent="0.25">
      <c r="A1329" s="2">
        <f t="shared" ca="1" si="151"/>
        <v>3.0020469697155585</v>
      </c>
      <c r="B1329" s="4" cm="1">
        <f t="array" aca="1" ref="B13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329" s="2">
        <f t="shared" ca="1" si="152"/>
        <v>3.0264191014944744</v>
      </c>
      <c r="D1329" s="4" t="str" cm="1">
        <f t="array" aca="1" ref="D13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29" s="2">
        <f t="shared" ca="1" si="153"/>
        <v>30.028059373877952</v>
      </c>
      <c r="F1329" s="4" t="str" cm="1">
        <f t="array" aca="1" ref="F13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29" s="2">
        <f t="shared" ca="1" si="154"/>
        <v>40.004384316495056</v>
      </c>
      <c r="H1329" s="47" t="str" cm="1">
        <f t="array" aca="1" ref="H13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30" spans="1:8" x14ac:dyDescent="0.25">
      <c r="A1330" s="2">
        <f t="shared" ca="1" si="151"/>
        <v>3.0082664920305189</v>
      </c>
      <c r="B1330" s="4" cm="1">
        <f t="array" aca="1" ref="B13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330" s="2">
        <f t="shared" ca="1" si="152"/>
        <v>3.0213995953749575</v>
      </c>
      <c r="D1330" s="4" t="str" cm="1">
        <f t="array" aca="1" ref="D13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30" s="2">
        <f t="shared" ca="1" si="153"/>
        <v>30.026824902844307</v>
      </c>
      <c r="F1330" s="4" t="str" cm="1">
        <f t="array" aca="1" ref="F13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30" s="2">
        <f t="shared" ca="1" si="154"/>
        <v>40.01772523777759</v>
      </c>
      <c r="H1330" s="47" t="str" cm="1">
        <f t="array" aca="1" ref="H13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31" spans="1:8" x14ac:dyDescent="0.25">
      <c r="A1331" s="2">
        <f t="shared" ca="1" si="151"/>
        <v>3.0037329684796945</v>
      </c>
      <c r="B1331" s="4" cm="1">
        <f t="array" aca="1" ref="B13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331" s="2">
        <f t="shared" ca="1" si="152"/>
        <v>3.0151502603465836</v>
      </c>
      <c r="D1331" s="4" t="str" cm="1">
        <f t="array" aca="1" ref="D13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31" s="2">
        <f t="shared" ca="1" si="153"/>
        <v>30.00808471228029</v>
      </c>
      <c r="F1331" s="4" t="str" cm="1">
        <f t="array" aca="1" ref="F13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31" s="2">
        <f t="shared" ca="1" si="154"/>
        <v>40.008326522900539</v>
      </c>
      <c r="H1331" s="47" t="str" cm="1">
        <f t="array" aca="1" ref="H13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32" spans="1:8" x14ac:dyDescent="0.25">
      <c r="A1332" s="2">
        <f t="shared" ca="1" si="151"/>
        <v>3.0027680159788215</v>
      </c>
      <c r="B1332" s="4" cm="1">
        <f t="array" aca="1" ref="B13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332" s="2">
        <f t="shared" ca="1" si="152"/>
        <v>3.0154975611713062</v>
      </c>
      <c r="D1332" s="4" t="str" cm="1">
        <f t="array" aca="1" ref="D13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32" s="2">
        <f t="shared" ca="1" si="153"/>
        <v>30.029888968205832</v>
      </c>
      <c r="F1332" s="4" t="str" cm="1">
        <f t="array" aca="1" ref="F13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32" s="2">
        <f t="shared" ca="1" si="154"/>
        <v>40.026699842204863</v>
      </c>
      <c r="H1332" s="47" t="str" cm="1">
        <f t="array" aca="1" ref="H13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33" spans="1:8" x14ac:dyDescent="0.25">
      <c r="A1333" s="2">
        <f t="shared" ca="1" si="151"/>
        <v>3.0081109811270137</v>
      </c>
      <c r="B1333" s="4" cm="1">
        <f t="array" aca="1" ref="B13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333" s="2">
        <f t="shared" ca="1" si="152"/>
        <v>3.0243498527420623</v>
      </c>
      <c r="D1333" s="4" t="str" cm="1">
        <f t="array" aca="1" ref="D13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33" s="2">
        <f t="shared" ca="1" si="153"/>
        <v>30.022437467239577</v>
      </c>
      <c r="F1333" s="4" t="str" cm="1">
        <f t="array" aca="1" ref="F13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33" s="2">
        <f t="shared" ca="1" si="154"/>
        <v>40.024902166242157</v>
      </c>
      <c r="H1333" s="47" t="str" cm="1">
        <f t="array" aca="1" ref="H13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34" spans="1:8" x14ac:dyDescent="0.25">
      <c r="A1334" s="2">
        <f t="shared" ca="1" si="151"/>
        <v>3.0084481254286808</v>
      </c>
      <c r="B1334" s="4" cm="1">
        <f t="array" aca="1" ref="B13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334" s="2">
        <f t="shared" ca="1" si="152"/>
        <v>3.0238848043081816</v>
      </c>
      <c r="D1334" s="4" t="str" cm="1">
        <f t="array" aca="1" ref="D13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34" s="2">
        <f t="shared" ca="1" si="153"/>
        <v>30.029072714233603</v>
      </c>
      <c r="F1334" s="4" t="str" cm="1">
        <f t="array" aca="1" ref="F13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34" s="2">
        <f t="shared" ca="1" si="154"/>
        <v>40.011093595325846</v>
      </c>
      <c r="H1334" s="47" t="str" cm="1">
        <f t="array" aca="1" ref="H13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35" spans="1:8" x14ac:dyDescent="0.25">
      <c r="A1335" s="2">
        <f t="shared" ca="1" si="151"/>
        <v>3.0073233434309672</v>
      </c>
      <c r="B1335" s="4" cm="1">
        <f t="array" aca="1" ref="B13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335" s="2">
        <f t="shared" ca="1" si="152"/>
        <v>3.0289138407734315</v>
      </c>
      <c r="D1335" s="4" t="str" cm="1">
        <f t="array" aca="1" ref="D13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35" s="2">
        <f t="shared" ca="1" si="153"/>
        <v>30.01687990204567</v>
      </c>
      <c r="F1335" s="4" t="str" cm="1">
        <f t="array" aca="1" ref="F13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35" s="2">
        <f t="shared" ca="1" si="154"/>
        <v>40.003943356652684</v>
      </c>
      <c r="H1335" s="47" t="str" cm="1">
        <f t="array" aca="1" ref="H13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36" spans="1:8" x14ac:dyDescent="0.25">
      <c r="A1336" s="2">
        <f t="shared" ca="1" si="151"/>
        <v>3.0092657773763674</v>
      </c>
      <c r="B1336" s="4" cm="1">
        <f t="array" aca="1" ref="B13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336" s="2">
        <f t="shared" ca="1" si="152"/>
        <v>3.017763339435759</v>
      </c>
      <c r="D1336" s="4" t="str" cm="1">
        <f t="array" aca="1" ref="D13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36" s="2">
        <f t="shared" ca="1" si="153"/>
        <v>30.009524630993369</v>
      </c>
      <c r="F1336" s="4" t="str" cm="1">
        <f t="array" aca="1" ref="F13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36" s="2">
        <f t="shared" ca="1" si="154"/>
        <v>40.021065902220151</v>
      </c>
      <c r="H1336" s="47" t="str" cm="1">
        <f t="array" aca="1" ref="H13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37" spans="1:8" x14ac:dyDescent="0.25">
      <c r="A1337" s="2">
        <f t="shared" ca="1" si="151"/>
        <v>3.0050760278511999</v>
      </c>
      <c r="B1337" s="4" cm="1">
        <f t="array" aca="1" ref="B13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337" s="2">
        <f t="shared" ca="1" si="152"/>
        <v>3.0263680267974147</v>
      </c>
      <c r="D1337" s="4" t="str" cm="1">
        <f t="array" aca="1" ref="D13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37" s="2">
        <f t="shared" ca="1" si="153"/>
        <v>30.02733557312645</v>
      </c>
      <c r="F1337" s="4" t="str" cm="1">
        <f t="array" aca="1" ref="F13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37" s="2">
        <f t="shared" ca="1" si="154"/>
        <v>40.028412002931532</v>
      </c>
      <c r="H1337" s="47" t="str" cm="1">
        <f t="array" aca="1" ref="H13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38" spans="1:8" x14ac:dyDescent="0.25">
      <c r="A1338" s="2">
        <f t="shared" ca="1" si="151"/>
        <v>3.0019261371038968</v>
      </c>
      <c r="B1338" s="4" cm="1">
        <f t="array" aca="1" ref="B13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338" s="2">
        <f t="shared" ca="1" si="152"/>
        <v>3.0097821778151266</v>
      </c>
      <c r="D1338" s="4" t="str" cm="1">
        <f t="array" aca="1" ref="D13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38" s="2">
        <f t="shared" ca="1" si="153"/>
        <v>30.024488570411549</v>
      </c>
      <c r="F1338" s="4" t="str" cm="1">
        <f t="array" aca="1" ref="F13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38" s="2">
        <f t="shared" ca="1" si="154"/>
        <v>40.013838865686409</v>
      </c>
      <c r="H1338" s="47" t="str" cm="1">
        <f t="array" aca="1" ref="H13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39" spans="1:8" x14ac:dyDescent="0.25">
      <c r="A1339" s="2">
        <f t="shared" ca="1" si="151"/>
        <v>3.0044891153629787</v>
      </c>
      <c r="B1339" s="4" cm="1">
        <f t="array" aca="1" ref="B13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339" s="2">
        <f t="shared" ca="1" si="152"/>
        <v>3.0154398093610113</v>
      </c>
      <c r="D1339" s="4" t="str" cm="1">
        <f t="array" aca="1" ref="D13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39" s="2">
        <f t="shared" ca="1" si="153"/>
        <v>30.029846960756494</v>
      </c>
      <c r="F1339" s="4" t="str" cm="1">
        <f t="array" aca="1" ref="F13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39" s="2">
        <f t="shared" ca="1" si="154"/>
        <v>40.001929290792447</v>
      </c>
      <c r="H1339" s="47" t="str" cm="1">
        <f t="array" aca="1" ref="H13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40" spans="1:8" x14ac:dyDescent="0.25">
      <c r="A1340" s="2">
        <f t="shared" ca="1" si="151"/>
        <v>3.0020568405248769</v>
      </c>
      <c r="B1340" s="4" cm="1">
        <f t="array" aca="1" ref="B13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340" s="2">
        <f t="shared" ca="1" si="152"/>
        <v>3.0164244616501423</v>
      </c>
      <c r="D1340" s="4" t="str" cm="1">
        <f t="array" aca="1" ref="D13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40" s="2">
        <f t="shared" ca="1" si="153"/>
        <v>30.014824508382084</v>
      </c>
      <c r="F1340" s="4" t="str" cm="1">
        <f t="array" aca="1" ref="F13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40" s="2">
        <f t="shared" ca="1" si="154"/>
        <v>40.013949556386393</v>
      </c>
      <c r="H1340" s="47" t="str" cm="1">
        <f t="array" aca="1" ref="H13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41" spans="1:8" x14ac:dyDescent="0.25">
      <c r="A1341" s="2">
        <f t="shared" ca="1" si="151"/>
        <v>3.0021903437935387</v>
      </c>
      <c r="B1341" s="4" cm="1">
        <f t="array" aca="1" ref="B13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341" s="2">
        <f t="shared" ca="1" si="152"/>
        <v>3.0195272414851826</v>
      </c>
      <c r="D1341" s="4" t="str" cm="1">
        <f t="array" aca="1" ref="D13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41" s="2">
        <f t="shared" ca="1" si="153"/>
        <v>30.003828599896817</v>
      </c>
      <c r="F1341" s="4" t="str" cm="1">
        <f t="array" aca="1" ref="F13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41" s="2">
        <f t="shared" ca="1" si="154"/>
        <v>40.015642482157915</v>
      </c>
      <c r="H1341" s="47" t="str" cm="1">
        <f t="array" aca="1" ref="H13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42" spans="1:8" x14ac:dyDescent="0.25">
      <c r="A1342" s="2">
        <f t="shared" ca="1" si="151"/>
        <v>3.0092653546725243</v>
      </c>
      <c r="B1342" s="4" cm="1">
        <f t="array" aca="1" ref="B13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342" s="2">
        <f t="shared" ca="1" si="152"/>
        <v>3.0220677612029676</v>
      </c>
      <c r="D1342" s="4" t="str" cm="1">
        <f t="array" aca="1" ref="D13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42" s="2">
        <f t="shared" ca="1" si="153"/>
        <v>30.011796142538252</v>
      </c>
      <c r="F1342" s="4" t="str" cm="1">
        <f t="array" aca="1" ref="F13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42" s="2">
        <f t="shared" ca="1" si="154"/>
        <v>40.007998321290451</v>
      </c>
      <c r="H1342" s="47" t="str" cm="1">
        <f t="array" aca="1" ref="H13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43" spans="1:8" x14ac:dyDescent="0.25">
      <c r="A1343" s="2">
        <f t="shared" ca="1" si="151"/>
        <v>3.0021138415237671</v>
      </c>
      <c r="B1343" s="4" cm="1">
        <f t="array" aca="1" ref="B13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343" s="2">
        <f t="shared" ca="1" si="152"/>
        <v>3.0163114429735138</v>
      </c>
      <c r="D1343" s="4" t="str" cm="1">
        <f t="array" aca="1" ref="D13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43" s="2">
        <f t="shared" ca="1" si="153"/>
        <v>30.010704695632338</v>
      </c>
      <c r="F1343" s="4" t="str" cm="1">
        <f t="array" aca="1" ref="F13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43" s="2">
        <f t="shared" ca="1" si="154"/>
        <v>40.008685795604805</v>
      </c>
      <c r="H1343" s="47" t="str" cm="1">
        <f t="array" aca="1" ref="H13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44" spans="1:8" x14ac:dyDescent="0.25">
      <c r="A1344" s="2">
        <f t="shared" ca="1" si="151"/>
        <v>3.0065249365566453</v>
      </c>
      <c r="B1344" s="4" cm="1">
        <f t="array" aca="1" ref="B13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344" s="2">
        <f t="shared" ca="1" si="152"/>
        <v>3.0156802303938863</v>
      </c>
      <c r="D1344" s="4" t="str" cm="1">
        <f t="array" aca="1" ref="D13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44" s="2">
        <f t="shared" ca="1" si="153"/>
        <v>30.009899891404501</v>
      </c>
      <c r="F1344" s="4" t="str" cm="1">
        <f t="array" aca="1" ref="F13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44" s="2">
        <f t="shared" ca="1" si="154"/>
        <v>40.00924803149978</v>
      </c>
      <c r="H1344" s="47" t="str" cm="1">
        <f t="array" aca="1" ref="H13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45" spans="1:8" x14ac:dyDescent="0.25">
      <c r="A1345" s="2">
        <f t="shared" ca="1" si="151"/>
        <v>3.0066826933367792</v>
      </c>
      <c r="B1345" s="4" cm="1">
        <f t="array" aca="1" ref="B13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345" s="2">
        <f t="shared" ca="1" si="152"/>
        <v>3.0260428339019079</v>
      </c>
      <c r="D1345" s="4" t="str" cm="1">
        <f t="array" aca="1" ref="D13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45" s="2">
        <f t="shared" ca="1" si="153"/>
        <v>30.02757257211351</v>
      </c>
      <c r="F1345" s="4" t="str" cm="1">
        <f t="array" aca="1" ref="F13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45" s="2">
        <f t="shared" ca="1" si="154"/>
        <v>40.00362580845043</v>
      </c>
      <c r="H1345" s="47" t="str" cm="1">
        <f t="array" aca="1" ref="H13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46" spans="1:8" x14ac:dyDescent="0.25">
      <c r="A1346" s="2">
        <f t="shared" ref="A1346:A1409" ca="1" si="155">3+RAND()*0.01</f>
        <v>3.0010295094093955</v>
      </c>
      <c r="B1346" s="4" cm="1">
        <f t="array" aca="1" ref="B13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346" s="2">
        <f t="shared" ref="C1346:C1409" ca="1" si="156">3+RAND()*0.03</f>
        <v>3.0294871013807958</v>
      </c>
      <c r="D1346" s="4" t="str" cm="1">
        <f t="array" aca="1" ref="D13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46" s="2">
        <f t="shared" ref="E1346:E1409" ca="1" si="157">30+RAND()*0.03</f>
        <v>30.00024402912079</v>
      </c>
      <c r="F1346" s="4" t="str" cm="1">
        <f t="array" aca="1" ref="F13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46" s="2">
        <f t="shared" ref="G1346:G1409" ca="1" si="158">40+RAND()*0.03</f>
        <v>40.006124988436667</v>
      </c>
      <c r="H1346" s="47" t="str" cm="1">
        <f t="array" aca="1" ref="H13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47" spans="1:8" x14ac:dyDescent="0.25">
      <c r="A1347" s="2">
        <f t="shared" ca="1" si="155"/>
        <v>3.0001007642322932</v>
      </c>
      <c r="B1347" s="4" cm="1">
        <f t="array" aca="1" ref="B13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347" s="2">
        <f t="shared" ca="1" si="156"/>
        <v>3.00529431414291</v>
      </c>
      <c r="D1347" s="4" t="str" cm="1">
        <f t="array" aca="1" ref="D13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47" s="2">
        <f t="shared" ca="1" si="157"/>
        <v>30.018802364355953</v>
      </c>
      <c r="F1347" s="4" t="str" cm="1">
        <f t="array" aca="1" ref="F13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47" s="2">
        <f t="shared" ca="1" si="158"/>
        <v>40.019077264180176</v>
      </c>
      <c r="H1347" s="47" t="str" cm="1">
        <f t="array" aca="1" ref="H13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48" spans="1:8" x14ac:dyDescent="0.25">
      <c r="A1348" s="2">
        <f t="shared" ca="1" si="155"/>
        <v>3.0014693191310733</v>
      </c>
      <c r="B1348" s="4" cm="1">
        <f t="array" aca="1" ref="B13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348" s="2">
        <f t="shared" ca="1" si="156"/>
        <v>3.0293852863304727</v>
      </c>
      <c r="D1348" s="4" t="str" cm="1">
        <f t="array" aca="1" ref="D13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48" s="2">
        <f t="shared" ca="1" si="157"/>
        <v>30.013545883215105</v>
      </c>
      <c r="F1348" s="4" t="str" cm="1">
        <f t="array" aca="1" ref="F13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48" s="2">
        <f t="shared" ca="1" si="158"/>
        <v>40.009646147071813</v>
      </c>
      <c r="H1348" s="47" t="str" cm="1">
        <f t="array" aca="1" ref="H13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49" spans="1:8" x14ac:dyDescent="0.25">
      <c r="A1349" s="2">
        <f t="shared" ca="1" si="155"/>
        <v>3.0075622182146007</v>
      </c>
      <c r="B1349" s="4" cm="1">
        <f t="array" aca="1" ref="B13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349" s="2">
        <f t="shared" ca="1" si="156"/>
        <v>3.0290370198405228</v>
      </c>
      <c r="D1349" s="4" t="str" cm="1">
        <f t="array" aca="1" ref="D13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49" s="2">
        <f t="shared" ca="1" si="157"/>
        <v>30.017684555531108</v>
      </c>
      <c r="F1349" s="4" t="str" cm="1">
        <f t="array" aca="1" ref="F13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49" s="2">
        <f t="shared" ca="1" si="158"/>
        <v>40.003320467609555</v>
      </c>
      <c r="H1349" s="47" t="str" cm="1">
        <f t="array" aca="1" ref="H13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50" spans="1:8" x14ac:dyDescent="0.25">
      <c r="A1350" s="2">
        <f t="shared" ca="1" si="155"/>
        <v>3.0078075099170278</v>
      </c>
      <c r="B1350" s="4" cm="1">
        <f t="array" aca="1" ref="B13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350" s="2">
        <f t="shared" ca="1" si="156"/>
        <v>3.0279026173251915</v>
      </c>
      <c r="D1350" s="4" t="str" cm="1">
        <f t="array" aca="1" ref="D13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50" s="2">
        <f t="shared" ca="1" si="157"/>
        <v>30.009487296914365</v>
      </c>
      <c r="F1350" s="4" t="str" cm="1">
        <f t="array" aca="1" ref="F13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50" s="2">
        <f t="shared" ca="1" si="158"/>
        <v>40.029324795079425</v>
      </c>
      <c r="H1350" s="47" t="str" cm="1">
        <f t="array" aca="1" ref="H13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51" spans="1:8" x14ac:dyDescent="0.25">
      <c r="A1351" s="2">
        <f t="shared" ca="1" si="155"/>
        <v>3.0035104810102875</v>
      </c>
      <c r="B1351" s="4" cm="1">
        <f t="array" aca="1" ref="B13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351" s="2">
        <f t="shared" ca="1" si="156"/>
        <v>3.0160564613783061</v>
      </c>
      <c r="D1351" s="4" t="str" cm="1">
        <f t="array" aca="1" ref="D13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51" s="2">
        <f t="shared" ca="1" si="157"/>
        <v>30.026611110106167</v>
      </c>
      <c r="F1351" s="4" t="str" cm="1">
        <f t="array" aca="1" ref="F13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51" s="2">
        <f t="shared" ca="1" si="158"/>
        <v>40.025324905475273</v>
      </c>
      <c r="H1351" s="47" t="str" cm="1">
        <f t="array" aca="1" ref="H13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52" spans="1:8" x14ac:dyDescent="0.25">
      <c r="A1352" s="2">
        <f t="shared" ca="1" si="155"/>
        <v>3.001336609376668</v>
      </c>
      <c r="B1352" s="4" cm="1">
        <f t="array" aca="1" ref="B13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352" s="2">
        <f t="shared" ca="1" si="156"/>
        <v>3.0032439909697368</v>
      </c>
      <c r="D1352" s="4" t="str" cm="1">
        <f t="array" aca="1" ref="D13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52" s="2">
        <f t="shared" ca="1" si="157"/>
        <v>30.026030712436121</v>
      </c>
      <c r="F1352" s="4" t="str" cm="1">
        <f t="array" aca="1" ref="F13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52" s="2">
        <f t="shared" ca="1" si="158"/>
        <v>40.0238893637177</v>
      </c>
      <c r="H1352" s="47" t="str" cm="1">
        <f t="array" aca="1" ref="H13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53" spans="1:8" x14ac:dyDescent="0.25">
      <c r="A1353" s="2">
        <f t="shared" ca="1" si="155"/>
        <v>3.007651393040673</v>
      </c>
      <c r="B1353" s="4" cm="1">
        <f t="array" aca="1" ref="B13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353" s="2">
        <f t="shared" ca="1" si="156"/>
        <v>3.0228321116657897</v>
      </c>
      <c r="D1353" s="4" t="str" cm="1">
        <f t="array" aca="1" ref="D13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53" s="2">
        <f t="shared" ca="1" si="157"/>
        <v>30.017954711607622</v>
      </c>
      <c r="F1353" s="4" t="str" cm="1">
        <f t="array" aca="1" ref="F13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53" s="2">
        <f t="shared" ca="1" si="158"/>
        <v>40.029147488219067</v>
      </c>
      <c r="H1353" s="47" t="str" cm="1">
        <f t="array" aca="1" ref="H13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54" spans="1:8" x14ac:dyDescent="0.25">
      <c r="A1354" s="2">
        <f t="shared" ca="1" si="155"/>
        <v>3.008473852997787</v>
      </c>
      <c r="B1354" s="4" cm="1">
        <f t="array" aca="1" ref="B13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354" s="2">
        <f t="shared" ca="1" si="156"/>
        <v>3.0265917465155181</v>
      </c>
      <c r="D1354" s="4" t="str" cm="1">
        <f t="array" aca="1" ref="D13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54" s="2">
        <f t="shared" ca="1" si="157"/>
        <v>30.021682485586783</v>
      </c>
      <c r="F1354" s="4" t="str" cm="1">
        <f t="array" aca="1" ref="F13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54" s="2">
        <f t="shared" ca="1" si="158"/>
        <v>40.002015048466276</v>
      </c>
      <c r="H1354" s="47" t="str" cm="1">
        <f t="array" aca="1" ref="H13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55" spans="1:8" x14ac:dyDescent="0.25">
      <c r="A1355" s="2">
        <f t="shared" ca="1" si="155"/>
        <v>3.0036867358337442</v>
      </c>
      <c r="B1355" s="4" cm="1">
        <f t="array" aca="1" ref="B13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355" s="2">
        <f t="shared" ca="1" si="156"/>
        <v>3.0009485718061018</v>
      </c>
      <c r="D1355" s="4" t="str" cm="1">
        <f t="array" aca="1" ref="D13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55" s="2">
        <f t="shared" ca="1" si="157"/>
        <v>30.002769418157452</v>
      </c>
      <c r="F1355" s="4" t="str" cm="1">
        <f t="array" aca="1" ref="F13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55" s="2">
        <f t="shared" ca="1" si="158"/>
        <v>40.019449408925901</v>
      </c>
      <c r="H1355" s="47" t="str" cm="1">
        <f t="array" aca="1" ref="H13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56" spans="1:8" x14ac:dyDescent="0.25">
      <c r="A1356" s="2">
        <f t="shared" ca="1" si="155"/>
        <v>3.0094602548387761</v>
      </c>
      <c r="B1356" s="4" cm="1">
        <f t="array" aca="1" ref="B13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356" s="2">
        <f t="shared" ca="1" si="156"/>
        <v>3.0035477869261884</v>
      </c>
      <c r="D1356" s="4" t="str" cm="1">
        <f t="array" aca="1" ref="D13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56" s="2">
        <f t="shared" ca="1" si="157"/>
        <v>30.012871155960998</v>
      </c>
      <c r="F1356" s="4" t="str" cm="1">
        <f t="array" aca="1" ref="F13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56" s="2">
        <f t="shared" ca="1" si="158"/>
        <v>40.020356212507224</v>
      </c>
      <c r="H1356" s="47" t="str" cm="1">
        <f t="array" aca="1" ref="H13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57" spans="1:8" x14ac:dyDescent="0.25">
      <c r="A1357" s="2">
        <f t="shared" ca="1" si="155"/>
        <v>3.0069853917513538</v>
      </c>
      <c r="B1357" s="4" cm="1">
        <f t="array" aca="1" ref="B13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357" s="2">
        <f t="shared" ca="1" si="156"/>
        <v>3.0262322956042547</v>
      </c>
      <c r="D1357" s="4" t="str" cm="1">
        <f t="array" aca="1" ref="D13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57" s="2">
        <f t="shared" ca="1" si="157"/>
        <v>30.029540614479661</v>
      </c>
      <c r="F1357" s="4" t="str" cm="1">
        <f t="array" aca="1" ref="F13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57" s="2">
        <f t="shared" ca="1" si="158"/>
        <v>40.007316158450948</v>
      </c>
      <c r="H1357" s="47" t="str" cm="1">
        <f t="array" aca="1" ref="H13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58" spans="1:8" x14ac:dyDescent="0.25">
      <c r="A1358" s="2">
        <f t="shared" ca="1" si="155"/>
        <v>3.0006432967984686</v>
      </c>
      <c r="B1358" s="4" cm="1">
        <f t="array" aca="1" ref="B13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358" s="2">
        <f t="shared" ca="1" si="156"/>
        <v>3.0113774299348677</v>
      </c>
      <c r="D1358" s="4" t="str" cm="1">
        <f t="array" aca="1" ref="D13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58" s="2">
        <f t="shared" ca="1" si="157"/>
        <v>30.015017499033782</v>
      </c>
      <c r="F1358" s="4" t="str" cm="1">
        <f t="array" aca="1" ref="F13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58" s="2">
        <f t="shared" ca="1" si="158"/>
        <v>40.002832892483028</v>
      </c>
      <c r="H1358" s="47" t="str" cm="1">
        <f t="array" aca="1" ref="H13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59" spans="1:8" x14ac:dyDescent="0.25">
      <c r="A1359" s="2">
        <f t="shared" ca="1" si="155"/>
        <v>3.0090256479351853</v>
      </c>
      <c r="B1359" s="4" cm="1">
        <f t="array" aca="1" ref="B13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359" s="2">
        <f t="shared" ca="1" si="156"/>
        <v>3.0266930354095125</v>
      </c>
      <c r="D1359" s="4" t="str" cm="1">
        <f t="array" aca="1" ref="D13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59" s="2">
        <f t="shared" ca="1" si="157"/>
        <v>30.005767744361258</v>
      </c>
      <c r="F1359" s="4" t="str" cm="1">
        <f t="array" aca="1" ref="F13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59" s="2">
        <f t="shared" ca="1" si="158"/>
        <v>40.011564313224696</v>
      </c>
      <c r="H1359" s="47" t="str" cm="1">
        <f t="array" aca="1" ref="H13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60" spans="1:8" x14ac:dyDescent="0.25">
      <c r="A1360" s="2">
        <f t="shared" ca="1" si="155"/>
        <v>3.0067771165503232</v>
      </c>
      <c r="B1360" s="4" cm="1">
        <f t="array" aca="1" ref="B13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360" s="2">
        <f t="shared" ca="1" si="156"/>
        <v>3.0234641783001983</v>
      </c>
      <c r="D1360" s="4" t="str" cm="1">
        <f t="array" aca="1" ref="D13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60" s="2">
        <f t="shared" ca="1" si="157"/>
        <v>30.007268003486605</v>
      </c>
      <c r="F1360" s="4" t="str" cm="1">
        <f t="array" aca="1" ref="F13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60" s="2">
        <f t="shared" ca="1" si="158"/>
        <v>40.027659000278888</v>
      </c>
      <c r="H1360" s="47" t="str" cm="1">
        <f t="array" aca="1" ref="H13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61" spans="1:8" x14ac:dyDescent="0.25">
      <c r="A1361" s="2">
        <f t="shared" ca="1" si="155"/>
        <v>3.009563189775224</v>
      </c>
      <c r="B1361" s="4" cm="1">
        <f t="array" aca="1" ref="B13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361" s="2">
        <f t="shared" ca="1" si="156"/>
        <v>3.0249347201493859</v>
      </c>
      <c r="D1361" s="4" t="str" cm="1">
        <f t="array" aca="1" ref="D13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61" s="2">
        <f t="shared" ca="1" si="157"/>
        <v>30.018361618111886</v>
      </c>
      <c r="F1361" s="4" t="str" cm="1">
        <f t="array" aca="1" ref="F13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61" s="2">
        <f t="shared" ca="1" si="158"/>
        <v>40.017094506624325</v>
      </c>
      <c r="H1361" s="47" t="str" cm="1">
        <f t="array" aca="1" ref="H13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62" spans="1:8" x14ac:dyDescent="0.25">
      <c r="A1362" s="2">
        <f t="shared" ca="1" si="155"/>
        <v>3.0036261142564467</v>
      </c>
      <c r="B1362" s="4" cm="1">
        <f t="array" aca="1" ref="B13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362" s="2">
        <f t="shared" ca="1" si="156"/>
        <v>3.0087874619997628</v>
      </c>
      <c r="D1362" s="4" t="str" cm="1">
        <f t="array" aca="1" ref="D13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62" s="2">
        <f t="shared" ca="1" si="157"/>
        <v>30.025864841104443</v>
      </c>
      <c r="F1362" s="4" t="str" cm="1">
        <f t="array" aca="1" ref="F13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62" s="2">
        <f t="shared" ca="1" si="158"/>
        <v>40.015433124492951</v>
      </c>
      <c r="H1362" s="47" t="str" cm="1">
        <f t="array" aca="1" ref="H13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63" spans="1:8" x14ac:dyDescent="0.25">
      <c r="A1363" s="2">
        <f t="shared" ca="1" si="155"/>
        <v>3.0041967163735595</v>
      </c>
      <c r="B1363" s="4" cm="1">
        <f t="array" aca="1" ref="B13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363" s="2">
        <f t="shared" ca="1" si="156"/>
        <v>3.0210563862865603</v>
      </c>
      <c r="D1363" s="4" t="str" cm="1">
        <f t="array" aca="1" ref="D13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63" s="2">
        <f t="shared" ca="1" si="157"/>
        <v>30.023030079592253</v>
      </c>
      <c r="F1363" s="4" t="str" cm="1">
        <f t="array" aca="1" ref="F13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63" s="2">
        <f t="shared" ca="1" si="158"/>
        <v>40.026613027431495</v>
      </c>
      <c r="H1363" s="47" t="str" cm="1">
        <f t="array" aca="1" ref="H13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64" spans="1:8" x14ac:dyDescent="0.25">
      <c r="A1364" s="2">
        <f t="shared" ca="1" si="155"/>
        <v>3.0023163612394517</v>
      </c>
      <c r="B1364" s="4" cm="1">
        <f t="array" aca="1" ref="B13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364" s="2">
        <f t="shared" ca="1" si="156"/>
        <v>3.0195606596004847</v>
      </c>
      <c r="D1364" s="4" t="str" cm="1">
        <f t="array" aca="1" ref="D13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64" s="2">
        <f t="shared" ca="1" si="157"/>
        <v>30.001798353123931</v>
      </c>
      <c r="F1364" s="4" t="str" cm="1">
        <f t="array" aca="1" ref="F13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64" s="2">
        <f t="shared" ca="1" si="158"/>
        <v>40.00375155093834</v>
      </c>
      <c r="H1364" s="47" t="str" cm="1">
        <f t="array" aca="1" ref="H13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65" spans="1:8" x14ac:dyDescent="0.25">
      <c r="A1365" s="2">
        <f t="shared" ca="1" si="155"/>
        <v>3.0078608606395605</v>
      </c>
      <c r="B1365" s="4" cm="1">
        <f t="array" aca="1" ref="B13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365" s="2">
        <f t="shared" ca="1" si="156"/>
        <v>3.0000073125582807</v>
      </c>
      <c r="D1365" s="4" t="str" cm="1">
        <f t="array" aca="1" ref="D13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65" s="2">
        <f t="shared" ca="1" si="157"/>
        <v>30.010233351310095</v>
      </c>
      <c r="F1365" s="4" t="str" cm="1">
        <f t="array" aca="1" ref="F13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65" s="2">
        <f t="shared" ca="1" si="158"/>
        <v>40.017120561070492</v>
      </c>
      <c r="H1365" s="47" t="str" cm="1">
        <f t="array" aca="1" ref="H13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66" spans="1:8" x14ac:dyDescent="0.25">
      <c r="A1366" s="2">
        <f t="shared" ca="1" si="155"/>
        <v>3.0000420550967872</v>
      </c>
      <c r="B1366" s="4" cm="1">
        <f t="array" aca="1" ref="B13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366" s="2">
        <f t="shared" ca="1" si="156"/>
        <v>3.0208655671295839</v>
      </c>
      <c r="D1366" s="4" t="str" cm="1">
        <f t="array" aca="1" ref="D13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66" s="2">
        <f t="shared" ca="1" si="157"/>
        <v>30.027533568739685</v>
      </c>
      <c r="F1366" s="4" t="str" cm="1">
        <f t="array" aca="1" ref="F13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66" s="2">
        <f t="shared" ca="1" si="158"/>
        <v>40.006335049451486</v>
      </c>
      <c r="H1366" s="47" t="str" cm="1">
        <f t="array" aca="1" ref="H13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67" spans="1:8" x14ac:dyDescent="0.25">
      <c r="A1367" s="2">
        <f t="shared" ca="1" si="155"/>
        <v>3.003026080985741</v>
      </c>
      <c r="B1367" s="4" cm="1">
        <f t="array" aca="1" ref="B13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367" s="2">
        <f t="shared" ca="1" si="156"/>
        <v>3.007056479897507</v>
      </c>
      <c r="D1367" s="4" t="str" cm="1">
        <f t="array" aca="1" ref="D13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67" s="2">
        <f t="shared" ca="1" si="157"/>
        <v>30.007871821845335</v>
      </c>
      <c r="F1367" s="4" t="str" cm="1">
        <f t="array" aca="1" ref="F13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67" s="2">
        <f t="shared" ca="1" si="158"/>
        <v>40.012634718034292</v>
      </c>
      <c r="H1367" s="47" t="str" cm="1">
        <f t="array" aca="1" ref="H13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68" spans="1:8" x14ac:dyDescent="0.25">
      <c r="A1368" s="2">
        <f t="shared" ca="1" si="155"/>
        <v>3.0080122163373519</v>
      </c>
      <c r="B1368" s="4" cm="1">
        <f t="array" aca="1" ref="B13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368" s="2">
        <f t="shared" ca="1" si="156"/>
        <v>3.0261788455746754</v>
      </c>
      <c r="D1368" s="4" t="str" cm="1">
        <f t="array" aca="1" ref="D13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68" s="2">
        <f t="shared" ca="1" si="157"/>
        <v>30.010950717703793</v>
      </c>
      <c r="F1368" s="4" t="str" cm="1">
        <f t="array" aca="1" ref="F13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68" s="2">
        <f t="shared" ca="1" si="158"/>
        <v>40.010244438277304</v>
      </c>
      <c r="H1368" s="47" t="str" cm="1">
        <f t="array" aca="1" ref="H13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69" spans="1:8" x14ac:dyDescent="0.25">
      <c r="A1369" s="2">
        <f t="shared" ca="1" si="155"/>
        <v>3.0012534139003173</v>
      </c>
      <c r="B1369" s="4" cm="1">
        <f t="array" aca="1" ref="B13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369" s="2">
        <f t="shared" ca="1" si="156"/>
        <v>3.0045012977614398</v>
      </c>
      <c r="D1369" s="4" t="str" cm="1">
        <f t="array" aca="1" ref="D13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69" s="2">
        <f t="shared" ca="1" si="157"/>
        <v>30.007776773857117</v>
      </c>
      <c r="F1369" s="4" t="str" cm="1">
        <f t="array" aca="1" ref="F13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69" s="2">
        <f t="shared" ca="1" si="158"/>
        <v>40.024436580813997</v>
      </c>
      <c r="H1369" s="47" t="str" cm="1">
        <f t="array" aca="1" ref="H13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70" spans="1:8" x14ac:dyDescent="0.25">
      <c r="A1370" s="2">
        <f t="shared" ca="1" si="155"/>
        <v>3.0035639723839673</v>
      </c>
      <c r="B1370" s="4" cm="1">
        <f t="array" aca="1" ref="B13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370" s="2">
        <f t="shared" ca="1" si="156"/>
        <v>3.0072098014922588</v>
      </c>
      <c r="D1370" s="4" t="str" cm="1">
        <f t="array" aca="1" ref="D13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70" s="2">
        <f t="shared" ca="1" si="157"/>
        <v>30.004741098786813</v>
      </c>
      <c r="F1370" s="4" t="str" cm="1">
        <f t="array" aca="1" ref="F13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70" s="2">
        <f t="shared" ca="1" si="158"/>
        <v>40.005188845562216</v>
      </c>
      <c r="H1370" s="47" t="str" cm="1">
        <f t="array" aca="1" ref="H13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71" spans="1:8" x14ac:dyDescent="0.25">
      <c r="A1371" s="2">
        <f t="shared" ca="1" si="155"/>
        <v>3.0089899594505147</v>
      </c>
      <c r="B1371" s="4" cm="1">
        <f t="array" aca="1" ref="B13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371" s="2">
        <f t="shared" ca="1" si="156"/>
        <v>3.0268353732024011</v>
      </c>
      <c r="D1371" s="4" t="str" cm="1">
        <f t="array" aca="1" ref="D13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71" s="2">
        <f t="shared" ca="1" si="157"/>
        <v>30.005531764315144</v>
      </c>
      <c r="F1371" s="4" t="str" cm="1">
        <f t="array" aca="1" ref="F13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71" s="2">
        <f t="shared" ca="1" si="158"/>
        <v>40.027004975933856</v>
      </c>
      <c r="H1371" s="47" t="str" cm="1">
        <f t="array" aca="1" ref="H13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72" spans="1:8" x14ac:dyDescent="0.25">
      <c r="A1372" s="2">
        <f t="shared" ca="1" si="155"/>
        <v>3.0080664357827653</v>
      </c>
      <c r="B1372" s="4" cm="1">
        <f t="array" aca="1" ref="B13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372" s="2">
        <f t="shared" ca="1" si="156"/>
        <v>3.0072639756931352</v>
      </c>
      <c r="D1372" s="4" t="str" cm="1">
        <f t="array" aca="1" ref="D13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72" s="2">
        <f t="shared" ca="1" si="157"/>
        <v>30.001649860868653</v>
      </c>
      <c r="F1372" s="4" t="str" cm="1">
        <f t="array" aca="1" ref="F13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72" s="2">
        <f t="shared" ca="1" si="158"/>
        <v>40.013888822961093</v>
      </c>
      <c r="H1372" s="47" t="str" cm="1">
        <f t="array" aca="1" ref="H13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73" spans="1:8" x14ac:dyDescent="0.25">
      <c r="A1373" s="2">
        <f t="shared" ca="1" si="155"/>
        <v>3.0066262362433855</v>
      </c>
      <c r="B1373" s="4" cm="1">
        <f t="array" aca="1" ref="B13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373" s="2">
        <f t="shared" ca="1" si="156"/>
        <v>3.0128435607360995</v>
      </c>
      <c r="D1373" s="4" t="str" cm="1">
        <f t="array" aca="1" ref="D13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73" s="2">
        <f t="shared" ca="1" si="157"/>
        <v>30.008984645341297</v>
      </c>
      <c r="F1373" s="4" t="str" cm="1">
        <f t="array" aca="1" ref="F13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73" s="2">
        <f t="shared" ca="1" si="158"/>
        <v>40.009887857409922</v>
      </c>
      <c r="H1373" s="47" t="str" cm="1">
        <f t="array" aca="1" ref="H13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74" spans="1:8" x14ac:dyDescent="0.25">
      <c r="A1374" s="2">
        <f t="shared" ca="1" si="155"/>
        <v>3.0099055189351573</v>
      </c>
      <c r="B1374" s="4" cm="1">
        <f t="array" aca="1" ref="B13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374" s="2">
        <f t="shared" ca="1" si="156"/>
        <v>3.0028459365332028</v>
      </c>
      <c r="D1374" s="4" t="str" cm="1">
        <f t="array" aca="1" ref="D13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74" s="2">
        <f t="shared" ca="1" si="157"/>
        <v>30.002064692886147</v>
      </c>
      <c r="F1374" s="4" t="str" cm="1">
        <f t="array" aca="1" ref="F13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74" s="2">
        <f t="shared" ca="1" si="158"/>
        <v>40.014955785099225</v>
      </c>
      <c r="H1374" s="47" t="str" cm="1">
        <f t="array" aca="1" ref="H13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75" spans="1:8" x14ac:dyDescent="0.25">
      <c r="A1375" s="2">
        <f t="shared" ca="1" si="155"/>
        <v>3.0051763206973363</v>
      </c>
      <c r="B1375" s="4" cm="1">
        <f t="array" aca="1" ref="B13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375" s="2">
        <f t="shared" ca="1" si="156"/>
        <v>3.0212276818556654</v>
      </c>
      <c r="D1375" s="4" t="str" cm="1">
        <f t="array" aca="1" ref="D13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75" s="2">
        <f t="shared" ca="1" si="157"/>
        <v>30.026275293071333</v>
      </c>
      <c r="F1375" s="4" t="str" cm="1">
        <f t="array" aca="1" ref="F13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75" s="2">
        <f t="shared" ca="1" si="158"/>
        <v>40.025716032532685</v>
      </c>
      <c r="H1375" s="47" t="str" cm="1">
        <f t="array" aca="1" ref="H13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76" spans="1:8" x14ac:dyDescent="0.25">
      <c r="A1376" s="2">
        <f t="shared" ca="1" si="155"/>
        <v>3.0056837438790147</v>
      </c>
      <c r="B1376" s="4" cm="1">
        <f t="array" aca="1" ref="B13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376" s="2">
        <f t="shared" ca="1" si="156"/>
        <v>3.0002179909765418</v>
      </c>
      <c r="D1376" s="4" t="str" cm="1">
        <f t="array" aca="1" ref="D13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76" s="2">
        <f t="shared" ca="1" si="157"/>
        <v>30.009784288456515</v>
      </c>
      <c r="F1376" s="4" t="str" cm="1">
        <f t="array" aca="1" ref="F13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76" s="2">
        <f t="shared" ca="1" si="158"/>
        <v>40.012126413517116</v>
      </c>
      <c r="H1376" s="47" t="str" cm="1">
        <f t="array" aca="1" ref="H13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77" spans="1:8" x14ac:dyDescent="0.25">
      <c r="A1377" s="2">
        <f t="shared" ca="1" si="155"/>
        <v>3.0028284758426285</v>
      </c>
      <c r="B1377" s="4" cm="1">
        <f t="array" aca="1" ref="B13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377" s="2">
        <f t="shared" ca="1" si="156"/>
        <v>3.0026287680032171</v>
      </c>
      <c r="D1377" s="4" t="str" cm="1">
        <f t="array" aca="1" ref="D13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77" s="2">
        <f t="shared" ca="1" si="157"/>
        <v>30.009591453271604</v>
      </c>
      <c r="F1377" s="4" t="str" cm="1">
        <f t="array" aca="1" ref="F13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77" s="2">
        <f t="shared" ca="1" si="158"/>
        <v>40.022700057362236</v>
      </c>
      <c r="H1377" s="47" t="str" cm="1">
        <f t="array" aca="1" ref="H13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78" spans="1:8" x14ac:dyDescent="0.25">
      <c r="A1378" s="2">
        <f t="shared" ca="1" si="155"/>
        <v>3.0096399648247751</v>
      </c>
      <c r="B1378" s="4" cm="1">
        <f t="array" aca="1" ref="B13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378" s="2">
        <f t="shared" ca="1" si="156"/>
        <v>3.0029932550665226</v>
      </c>
      <c r="D1378" s="4" t="str" cm="1">
        <f t="array" aca="1" ref="D13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78" s="2">
        <f t="shared" ca="1" si="157"/>
        <v>30.006195794062201</v>
      </c>
      <c r="F1378" s="4" t="str" cm="1">
        <f t="array" aca="1" ref="F13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78" s="2">
        <f t="shared" ca="1" si="158"/>
        <v>40.02757988853989</v>
      </c>
      <c r="H1378" s="47" t="str" cm="1">
        <f t="array" aca="1" ref="H13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79" spans="1:8" x14ac:dyDescent="0.25">
      <c r="A1379" s="2">
        <f t="shared" ca="1" si="155"/>
        <v>3.0025458653442372</v>
      </c>
      <c r="B1379" s="4" cm="1">
        <f t="array" aca="1" ref="B13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379" s="2">
        <f t="shared" ca="1" si="156"/>
        <v>3.0183030764453416</v>
      </c>
      <c r="D1379" s="4" t="str" cm="1">
        <f t="array" aca="1" ref="D13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79" s="2">
        <f t="shared" ca="1" si="157"/>
        <v>30.007636489565868</v>
      </c>
      <c r="F1379" s="4" t="str" cm="1">
        <f t="array" aca="1" ref="F13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79" s="2">
        <f t="shared" ca="1" si="158"/>
        <v>40.008959984206655</v>
      </c>
      <c r="H1379" s="47" t="str" cm="1">
        <f t="array" aca="1" ref="H13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80" spans="1:8" x14ac:dyDescent="0.25">
      <c r="A1380" s="2">
        <f t="shared" ca="1" si="155"/>
        <v>3.0094974686359239</v>
      </c>
      <c r="B1380" s="4" cm="1">
        <f t="array" aca="1" ref="B13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380" s="2">
        <f t="shared" ca="1" si="156"/>
        <v>3.0163117149731415</v>
      </c>
      <c r="D1380" s="4" t="str" cm="1">
        <f t="array" aca="1" ref="D13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80" s="2">
        <f t="shared" ca="1" si="157"/>
        <v>30.022390770006986</v>
      </c>
      <c r="F1380" s="4" t="str" cm="1">
        <f t="array" aca="1" ref="F13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80" s="2">
        <f t="shared" ca="1" si="158"/>
        <v>40.012389926906835</v>
      </c>
      <c r="H1380" s="47" t="str" cm="1">
        <f t="array" aca="1" ref="H13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81" spans="1:8" x14ac:dyDescent="0.25">
      <c r="A1381" s="2">
        <f t="shared" ca="1" si="155"/>
        <v>3.0025481433376928</v>
      </c>
      <c r="B1381" s="4" cm="1">
        <f t="array" aca="1" ref="B13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381" s="2">
        <f t="shared" ca="1" si="156"/>
        <v>3.0057790458723685</v>
      </c>
      <c r="D1381" s="4" t="str" cm="1">
        <f t="array" aca="1" ref="D13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81" s="2">
        <f t="shared" ca="1" si="157"/>
        <v>30.020290418292848</v>
      </c>
      <c r="F1381" s="4" t="str" cm="1">
        <f t="array" aca="1" ref="F13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81" s="2">
        <f t="shared" ca="1" si="158"/>
        <v>40.003844438568265</v>
      </c>
      <c r="H1381" s="47" t="str" cm="1">
        <f t="array" aca="1" ref="H13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82" spans="1:8" x14ac:dyDescent="0.25">
      <c r="A1382" s="2">
        <f t="shared" ca="1" si="155"/>
        <v>3.0080817722472992</v>
      </c>
      <c r="B1382" s="4" cm="1">
        <f t="array" aca="1" ref="B13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382" s="2">
        <f t="shared" ca="1" si="156"/>
        <v>3.0180843054844098</v>
      </c>
      <c r="D1382" s="4" t="str" cm="1">
        <f t="array" aca="1" ref="D13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82" s="2">
        <f t="shared" ca="1" si="157"/>
        <v>30.026968598786219</v>
      </c>
      <c r="F1382" s="4" t="str" cm="1">
        <f t="array" aca="1" ref="F13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82" s="2">
        <f t="shared" ca="1" si="158"/>
        <v>40.011079145619597</v>
      </c>
      <c r="H1382" s="47" t="str" cm="1">
        <f t="array" aca="1" ref="H13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83" spans="1:8" x14ac:dyDescent="0.25">
      <c r="A1383" s="2">
        <f t="shared" ca="1" si="155"/>
        <v>3.0045517658533143</v>
      </c>
      <c r="B1383" s="4" cm="1">
        <f t="array" aca="1" ref="B13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383" s="2">
        <f t="shared" ca="1" si="156"/>
        <v>3.0169333259502471</v>
      </c>
      <c r="D1383" s="4" t="str" cm="1">
        <f t="array" aca="1" ref="D13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83" s="2">
        <f t="shared" ca="1" si="157"/>
        <v>30.016090205845639</v>
      </c>
      <c r="F1383" s="4" t="str" cm="1">
        <f t="array" aca="1" ref="F13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83" s="2">
        <f t="shared" ca="1" si="158"/>
        <v>40.003078899485949</v>
      </c>
      <c r="H1383" s="47" t="str" cm="1">
        <f t="array" aca="1" ref="H13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84" spans="1:8" x14ac:dyDescent="0.25">
      <c r="A1384" s="2">
        <f t="shared" ca="1" si="155"/>
        <v>3.0054056349873091</v>
      </c>
      <c r="B1384" s="4" cm="1">
        <f t="array" aca="1" ref="B13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384" s="2">
        <f t="shared" ca="1" si="156"/>
        <v>3.0296134700381909</v>
      </c>
      <c r="D1384" s="4" t="str" cm="1">
        <f t="array" aca="1" ref="D13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84" s="2">
        <f t="shared" ca="1" si="157"/>
        <v>30.021733125128051</v>
      </c>
      <c r="F1384" s="4" t="str" cm="1">
        <f t="array" aca="1" ref="F13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84" s="2">
        <f t="shared" ca="1" si="158"/>
        <v>40.018612227455264</v>
      </c>
      <c r="H1384" s="47" t="str" cm="1">
        <f t="array" aca="1" ref="H13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85" spans="1:8" x14ac:dyDescent="0.25">
      <c r="A1385" s="2">
        <f t="shared" ca="1" si="155"/>
        <v>3.0005991357107002</v>
      </c>
      <c r="B1385" s="4" cm="1">
        <f t="array" aca="1" ref="B13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385" s="2">
        <f t="shared" ca="1" si="156"/>
        <v>3.0284110136019304</v>
      </c>
      <c r="D1385" s="4" t="str" cm="1">
        <f t="array" aca="1" ref="D13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85" s="2">
        <f t="shared" ca="1" si="157"/>
        <v>30.018464541277119</v>
      </c>
      <c r="F1385" s="4" t="str" cm="1">
        <f t="array" aca="1" ref="F13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85" s="2">
        <f t="shared" ca="1" si="158"/>
        <v>40.022864448936737</v>
      </c>
      <c r="H1385" s="47" t="str" cm="1">
        <f t="array" aca="1" ref="H13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86" spans="1:8" x14ac:dyDescent="0.25">
      <c r="A1386" s="2">
        <f t="shared" ca="1" si="155"/>
        <v>3.0097652452706813</v>
      </c>
      <c r="B1386" s="4" cm="1">
        <f t="array" aca="1" ref="B13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386" s="2">
        <f t="shared" ca="1" si="156"/>
        <v>3.0244172475014661</v>
      </c>
      <c r="D1386" s="4" t="str" cm="1">
        <f t="array" aca="1" ref="D13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86" s="2">
        <f t="shared" ca="1" si="157"/>
        <v>30.006467383435798</v>
      </c>
      <c r="F1386" s="4" t="str" cm="1">
        <f t="array" aca="1" ref="F13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86" s="2">
        <f t="shared" ca="1" si="158"/>
        <v>40.01086284612434</v>
      </c>
      <c r="H1386" s="47" t="str" cm="1">
        <f t="array" aca="1" ref="H13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87" spans="1:8" x14ac:dyDescent="0.25">
      <c r="A1387" s="2">
        <f t="shared" ca="1" si="155"/>
        <v>3.0076991755646763</v>
      </c>
      <c r="B1387" s="4" cm="1">
        <f t="array" aca="1" ref="B13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387" s="2">
        <f t="shared" ca="1" si="156"/>
        <v>3.0209183778829392</v>
      </c>
      <c r="D1387" s="4" t="str" cm="1">
        <f t="array" aca="1" ref="D13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87" s="2">
        <f t="shared" ca="1" si="157"/>
        <v>30.024108991933364</v>
      </c>
      <c r="F1387" s="4" t="str" cm="1">
        <f t="array" aca="1" ref="F13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87" s="2">
        <f t="shared" ca="1" si="158"/>
        <v>40.015902163101728</v>
      </c>
      <c r="H1387" s="47" t="str" cm="1">
        <f t="array" aca="1" ref="H13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88" spans="1:8" x14ac:dyDescent="0.25">
      <c r="A1388" s="2">
        <f t="shared" ca="1" si="155"/>
        <v>3.0091054370160024</v>
      </c>
      <c r="B1388" s="4" cm="1">
        <f t="array" aca="1" ref="B13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388" s="2">
        <f t="shared" ca="1" si="156"/>
        <v>3.0136119322097734</v>
      </c>
      <c r="D1388" s="4" t="str" cm="1">
        <f t="array" aca="1" ref="D13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88" s="2">
        <f t="shared" ca="1" si="157"/>
        <v>30.015818305708507</v>
      </c>
      <c r="F1388" s="4" t="str" cm="1">
        <f t="array" aca="1" ref="F13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88" s="2">
        <f t="shared" ca="1" si="158"/>
        <v>40.019766013037611</v>
      </c>
      <c r="H1388" s="47" t="str" cm="1">
        <f t="array" aca="1" ref="H13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89" spans="1:8" x14ac:dyDescent="0.25">
      <c r="A1389" s="2">
        <f t="shared" ca="1" si="155"/>
        <v>3.0011890857704877</v>
      </c>
      <c r="B1389" s="4" cm="1">
        <f t="array" aca="1" ref="B13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389" s="2">
        <f t="shared" ca="1" si="156"/>
        <v>3.0284699138183266</v>
      </c>
      <c r="D1389" s="4" t="str" cm="1">
        <f t="array" aca="1" ref="D13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89" s="2">
        <f t="shared" ca="1" si="157"/>
        <v>30.013588933302874</v>
      </c>
      <c r="F1389" s="4" t="str" cm="1">
        <f t="array" aca="1" ref="F13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89" s="2">
        <f t="shared" ca="1" si="158"/>
        <v>40.001453851122733</v>
      </c>
      <c r="H1389" s="47" t="str" cm="1">
        <f t="array" aca="1" ref="H13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90" spans="1:8" x14ac:dyDescent="0.25">
      <c r="A1390" s="2">
        <f t="shared" ca="1" si="155"/>
        <v>3.0057740442059222</v>
      </c>
      <c r="B1390" s="4" cm="1">
        <f t="array" aca="1" ref="B13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390" s="2">
        <f t="shared" ca="1" si="156"/>
        <v>3.003568688003889</v>
      </c>
      <c r="D1390" s="4" t="str" cm="1">
        <f t="array" aca="1" ref="D13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90" s="2">
        <f t="shared" ca="1" si="157"/>
        <v>30.023107978758084</v>
      </c>
      <c r="F1390" s="4" t="str" cm="1">
        <f t="array" aca="1" ref="F13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90" s="2">
        <f t="shared" ca="1" si="158"/>
        <v>40.017163129372967</v>
      </c>
      <c r="H1390" s="47" t="str" cm="1">
        <f t="array" aca="1" ref="H13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91" spans="1:8" x14ac:dyDescent="0.25">
      <c r="A1391" s="2">
        <f t="shared" ca="1" si="155"/>
        <v>3.0053002985937787</v>
      </c>
      <c r="B1391" s="4" cm="1">
        <f t="array" aca="1" ref="B13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391" s="2">
        <f t="shared" ca="1" si="156"/>
        <v>3.0295174469819202</v>
      </c>
      <c r="D1391" s="4" t="str" cm="1">
        <f t="array" aca="1" ref="D13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91" s="2">
        <f t="shared" ca="1" si="157"/>
        <v>30.012814020177579</v>
      </c>
      <c r="F1391" s="4" t="str" cm="1">
        <f t="array" aca="1" ref="F13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91" s="2">
        <f t="shared" ca="1" si="158"/>
        <v>40.011491041348336</v>
      </c>
      <c r="H1391" s="47" t="str" cm="1">
        <f t="array" aca="1" ref="H13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92" spans="1:8" x14ac:dyDescent="0.25">
      <c r="A1392" s="2">
        <f t="shared" ca="1" si="155"/>
        <v>3.0063424041988256</v>
      </c>
      <c r="B1392" s="4" cm="1">
        <f t="array" aca="1" ref="B13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392" s="2">
        <f t="shared" ca="1" si="156"/>
        <v>3.0135083800165621</v>
      </c>
      <c r="D1392" s="4" t="str" cm="1">
        <f t="array" aca="1" ref="D13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92" s="2">
        <f t="shared" ca="1" si="157"/>
        <v>30.029817169258141</v>
      </c>
      <c r="F1392" s="4" t="str" cm="1">
        <f t="array" aca="1" ref="F13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92" s="2">
        <f t="shared" ca="1" si="158"/>
        <v>40.014957764039295</v>
      </c>
      <c r="H1392" s="47" t="str" cm="1">
        <f t="array" aca="1" ref="H13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93" spans="1:8" x14ac:dyDescent="0.25">
      <c r="A1393" s="2">
        <f t="shared" ca="1" si="155"/>
        <v>3.0093912033876014</v>
      </c>
      <c r="B1393" s="4" cm="1">
        <f t="array" aca="1" ref="B13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393" s="2">
        <f t="shared" ca="1" si="156"/>
        <v>3.0292640626862037</v>
      </c>
      <c r="D1393" s="4" t="str" cm="1">
        <f t="array" aca="1" ref="D13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93" s="2">
        <f t="shared" ca="1" si="157"/>
        <v>30.026723224314519</v>
      </c>
      <c r="F1393" s="4" t="str" cm="1">
        <f t="array" aca="1" ref="F13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93" s="2">
        <f t="shared" ca="1" si="158"/>
        <v>40.007066364936811</v>
      </c>
      <c r="H1393" s="47" t="str" cm="1">
        <f t="array" aca="1" ref="H13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94" spans="1:8" x14ac:dyDescent="0.25">
      <c r="A1394" s="2">
        <f t="shared" ca="1" si="155"/>
        <v>3.0046906215824687</v>
      </c>
      <c r="B1394" s="4" cm="1">
        <f t="array" aca="1" ref="B13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394" s="2">
        <f t="shared" ca="1" si="156"/>
        <v>3.0170055045313053</v>
      </c>
      <c r="D1394" s="4" t="str" cm="1">
        <f t="array" aca="1" ref="D13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94" s="2">
        <f t="shared" ca="1" si="157"/>
        <v>30.014713918847253</v>
      </c>
      <c r="F1394" s="4" t="str" cm="1">
        <f t="array" aca="1" ref="F13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94" s="2">
        <f t="shared" ca="1" si="158"/>
        <v>40.021211524442947</v>
      </c>
      <c r="H1394" s="47" t="str" cm="1">
        <f t="array" aca="1" ref="H13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95" spans="1:8" x14ac:dyDescent="0.25">
      <c r="A1395" s="2">
        <f t="shared" ca="1" si="155"/>
        <v>3.0093706258305466</v>
      </c>
      <c r="B1395" s="4" cm="1">
        <f t="array" aca="1" ref="B13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395" s="2">
        <f t="shared" ca="1" si="156"/>
        <v>3.0130666264932016</v>
      </c>
      <c r="D1395" s="4" t="str" cm="1">
        <f t="array" aca="1" ref="D13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395" s="2">
        <f t="shared" ca="1" si="157"/>
        <v>30.012779263165942</v>
      </c>
      <c r="F1395" s="4" t="str" cm="1">
        <f t="array" aca="1" ref="F13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95" s="2">
        <f t="shared" ca="1" si="158"/>
        <v>40.007958843146589</v>
      </c>
      <c r="H1395" s="47" t="str" cm="1">
        <f t="array" aca="1" ref="H13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396" spans="1:8" x14ac:dyDescent="0.25">
      <c r="A1396" s="2">
        <f t="shared" ca="1" si="155"/>
        <v>3.0021172234700875</v>
      </c>
      <c r="B1396" s="4" cm="1">
        <f t="array" aca="1" ref="B13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396" s="2">
        <f t="shared" ca="1" si="156"/>
        <v>3.004832396830424</v>
      </c>
      <c r="D1396" s="4" t="str" cm="1">
        <f t="array" aca="1" ref="D13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96" s="2">
        <f t="shared" ca="1" si="157"/>
        <v>30.01160161261247</v>
      </c>
      <c r="F1396" s="4" t="str" cm="1">
        <f t="array" aca="1" ref="F13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396" s="2">
        <f t="shared" ca="1" si="158"/>
        <v>40.017625827807464</v>
      </c>
      <c r="H1396" s="47" t="str" cm="1">
        <f t="array" aca="1" ref="H13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97" spans="1:8" x14ac:dyDescent="0.25">
      <c r="A1397" s="2">
        <f t="shared" ca="1" si="155"/>
        <v>3.0059602491839339</v>
      </c>
      <c r="B1397" s="4" cm="1">
        <f t="array" aca="1" ref="B13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397" s="2">
        <f t="shared" ca="1" si="156"/>
        <v>3.0014866384029655</v>
      </c>
      <c r="D1397" s="4" t="str" cm="1">
        <f t="array" aca="1" ref="D13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97" s="2">
        <f t="shared" ca="1" si="157"/>
        <v>30.003585134266277</v>
      </c>
      <c r="F1397" s="4" t="str" cm="1">
        <f t="array" aca="1" ref="F13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397" s="2">
        <f t="shared" ca="1" si="158"/>
        <v>40.017884183142343</v>
      </c>
      <c r="H1397" s="47" t="str" cm="1">
        <f t="array" aca="1" ref="H13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398" spans="1:8" x14ac:dyDescent="0.25">
      <c r="A1398" s="2">
        <f t="shared" ca="1" si="155"/>
        <v>3.0096869895170837</v>
      </c>
      <c r="B1398" s="4" cm="1">
        <f t="array" aca="1" ref="B13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398" s="2">
        <f t="shared" ca="1" si="156"/>
        <v>3.0270596018981908</v>
      </c>
      <c r="D1398" s="4" t="str" cm="1">
        <f t="array" aca="1" ref="D13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398" s="2">
        <f t="shared" ca="1" si="157"/>
        <v>30.020192726359777</v>
      </c>
      <c r="F1398" s="4" t="str" cm="1">
        <f t="array" aca="1" ref="F13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98" s="2">
        <f t="shared" ca="1" si="158"/>
        <v>40.02493694981672</v>
      </c>
      <c r="H1398" s="47" t="str" cm="1">
        <f t="array" aca="1" ref="H13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399" spans="1:8" x14ac:dyDescent="0.25">
      <c r="A1399" s="2">
        <f t="shared" ca="1" si="155"/>
        <v>3.0051671702359899</v>
      </c>
      <c r="B1399" s="4" cm="1">
        <f t="array" aca="1" ref="B13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399" s="2">
        <f t="shared" ca="1" si="156"/>
        <v>3.0063983281516062</v>
      </c>
      <c r="D1399" s="4" t="str" cm="1">
        <f t="array" aca="1" ref="D13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399" s="2">
        <f t="shared" ca="1" si="157"/>
        <v>30.026471165232572</v>
      </c>
      <c r="F1399" s="4" t="str" cm="1">
        <f t="array" aca="1" ref="F13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399" s="2">
        <f t="shared" ca="1" si="158"/>
        <v>40.013040429877591</v>
      </c>
      <c r="H1399" s="47" t="str" cm="1">
        <f t="array" aca="1" ref="H13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00" spans="1:8" x14ac:dyDescent="0.25">
      <c r="A1400" s="2">
        <f t="shared" ca="1" si="155"/>
        <v>3.0066630032394284</v>
      </c>
      <c r="B1400" s="4" cm="1">
        <f t="array" aca="1" ref="B14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400" s="2">
        <f t="shared" ca="1" si="156"/>
        <v>3.0100284031662587</v>
      </c>
      <c r="D1400" s="4" t="str" cm="1">
        <f t="array" aca="1" ref="D14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00" s="2">
        <f t="shared" ca="1" si="157"/>
        <v>30.02182374919737</v>
      </c>
      <c r="F1400" s="4" t="str" cm="1">
        <f t="array" aca="1" ref="F14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00" s="2">
        <f t="shared" ca="1" si="158"/>
        <v>40.013550557615112</v>
      </c>
      <c r="H1400" s="47" t="str" cm="1">
        <f t="array" aca="1" ref="H14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01" spans="1:8" x14ac:dyDescent="0.25">
      <c r="A1401" s="2">
        <f t="shared" ca="1" si="155"/>
        <v>3.0033795634277247</v>
      </c>
      <c r="B1401" s="4" cm="1">
        <f t="array" aca="1" ref="B14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401" s="2">
        <f t="shared" ca="1" si="156"/>
        <v>3.0223837697653964</v>
      </c>
      <c r="D1401" s="4" t="str" cm="1">
        <f t="array" aca="1" ref="D14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01" s="2">
        <f t="shared" ca="1" si="157"/>
        <v>30.008979576176539</v>
      </c>
      <c r="F1401" s="4" t="str" cm="1">
        <f t="array" aca="1" ref="F14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01" s="2">
        <f t="shared" ca="1" si="158"/>
        <v>40.005375059227838</v>
      </c>
      <c r="H1401" s="47" t="str" cm="1">
        <f t="array" aca="1" ref="H14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02" spans="1:8" x14ac:dyDescent="0.25">
      <c r="A1402" s="2">
        <f t="shared" ca="1" si="155"/>
        <v>3.0005742444844499</v>
      </c>
      <c r="B1402" s="4" cm="1">
        <f t="array" aca="1" ref="B14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402" s="2">
        <f t="shared" ca="1" si="156"/>
        <v>3.016038040128965</v>
      </c>
      <c r="D1402" s="4" t="str" cm="1">
        <f t="array" aca="1" ref="D14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02" s="2">
        <f t="shared" ca="1" si="157"/>
        <v>30.0042027584925</v>
      </c>
      <c r="F1402" s="4" t="str" cm="1">
        <f t="array" aca="1" ref="F14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02" s="2">
        <f t="shared" ca="1" si="158"/>
        <v>40.028374103930993</v>
      </c>
      <c r="H1402" s="47" t="str" cm="1">
        <f t="array" aca="1" ref="H14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03" spans="1:8" x14ac:dyDescent="0.25">
      <c r="A1403" s="2">
        <f t="shared" ca="1" si="155"/>
        <v>3.0000891813033834</v>
      </c>
      <c r="B1403" s="4" cm="1">
        <f t="array" aca="1" ref="B14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403" s="2">
        <f t="shared" ca="1" si="156"/>
        <v>3.007669754489203</v>
      </c>
      <c r="D1403" s="4" t="str" cm="1">
        <f t="array" aca="1" ref="D14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03" s="2">
        <f t="shared" ca="1" si="157"/>
        <v>30.011760613105</v>
      </c>
      <c r="F1403" s="4" t="str" cm="1">
        <f t="array" aca="1" ref="F14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03" s="2">
        <f t="shared" ca="1" si="158"/>
        <v>40.016093386946871</v>
      </c>
      <c r="H1403" s="47" t="str" cm="1">
        <f t="array" aca="1" ref="H14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04" spans="1:8" x14ac:dyDescent="0.25">
      <c r="A1404" s="2">
        <f t="shared" ca="1" si="155"/>
        <v>3.0083257080598425</v>
      </c>
      <c r="B1404" s="4" cm="1">
        <f t="array" aca="1" ref="B14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404" s="2">
        <f t="shared" ca="1" si="156"/>
        <v>3.0148109769145992</v>
      </c>
      <c r="D1404" s="4" t="str" cm="1">
        <f t="array" aca="1" ref="D14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04" s="2">
        <f t="shared" ca="1" si="157"/>
        <v>30.021665548860287</v>
      </c>
      <c r="F1404" s="4" t="str" cm="1">
        <f t="array" aca="1" ref="F14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04" s="2">
        <f t="shared" ca="1" si="158"/>
        <v>40.004498249847053</v>
      </c>
      <c r="H1404" s="47" t="str" cm="1">
        <f t="array" aca="1" ref="H14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05" spans="1:8" x14ac:dyDescent="0.25">
      <c r="A1405" s="2">
        <f t="shared" ca="1" si="155"/>
        <v>3.0067123345576081</v>
      </c>
      <c r="B1405" s="4" cm="1">
        <f t="array" aca="1" ref="B14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405" s="2">
        <f t="shared" ca="1" si="156"/>
        <v>3.0087654746403971</v>
      </c>
      <c r="D1405" s="4" t="str" cm="1">
        <f t="array" aca="1" ref="D14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05" s="2">
        <f t="shared" ca="1" si="157"/>
        <v>30.028022551232819</v>
      </c>
      <c r="F1405" s="4" t="str" cm="1">
        <f t="array" aca="1" ref="F14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05" s="2">
        <f t="shared" ca="1" si="158"/>
        <v>40.013675128430975</v>
      </c>
      <c r="H1405" s="47" t="str" cm="1">
        <f t="array" aca="1" ref="H14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06" spans="1:8" x14ac:dyDescent="0.25">
      <c r="A1406" s="2">
        <f t="shared" ca="1" si="155"/>
        <v>3.0089542846315096</v>
      </c>
      <c r="B1406" s="4" cm="1">
        <f t="array" aca="1" ref="B14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406" s="2">
        <f t="shared" ca="1" si="156"/>
        <v>3.0060093035669455</v>
      </c>
      <c r="D1406" s="4" t="str" cm="1">
        <f t="array" aca="1" ref="D14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06" s="2">
        <f t="shared" ca="1" si="157"/>
        <v>30.011261810605188</v>
      </c>
      <c r="F1406" s="4" t="str" cm="1">
        <f t="array" aca="1" ref="F14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06" s="2">
        <f t="shared" ca="1" si="158"/>
        <v>40.010797833746942</v>
      </c>
      <c r="H1406" s="47" t="str" cm="1">
        <f t="array" aca="1" ref="H14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07" spans="1:8" x14ac:dyDescent="0.25">
      <c r="A1407" s="2">
        <f t="shared" ca="1" si="155"/>
        <v>3.001450148000095</v>
      </c>
      <c r="B1407" s="4" cm="1">
        <f t="array" aca="1" ref="B14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407" s="2">
        <f t="shared" ca="1" si="156"/>
        <v>3.0133678797811307</v>
      </c>
      <c r="D1407" s="4" t="str" cm="1">
        <f t="array" aca="1" ref="D14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07" s="2">
        <f t="shared" ca="1" si="157"/>
        <v>30.002162112250538</v>
      </c>
      <c r="F1407" s="4" t="str" cm="1">
        <f t="array" aca="1" ref="F14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07" s="2">
        <f t="shared" ca="1" si="158"/>
        <v>40.002682498614284</v>
      </c>
      <c r="H1407" s="47" t="str" cm="1">
        <f t="array" aca="1" ref="H14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08" spans="1:8" x14ac:dyDescent="0.25">
      <c r="A1408" s="2">
        <f t="shared" ca="1" si="155"/>
        <v>3.0075792117683982</v>
      </c>
      <c r="B1408" s="4" cm="1">
        <f t="array" aca="1" ref="B14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408" s="2">
        <f t="shared" ca="1" si="156"/>
        <v>3.0124216078692942</v>
      </c>
      <c r="D1408" s="4" t="str" cm="1">
        <f t="array" aca="1" ref="D14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08" s="2">
        <f t="shared" ca="1" si="157"/>
        <v>30.008453647080565</v>
      </c>
      <c r="F1408" s="4" t="str" cm="1">
        <f t="array" aca="1" ref="F14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08" s="2">
        <f t="shared" ca="1" si="158"/>
        <v>40.009755185181461</v>
      </c>
      <c r="H1408" s="47" t="str" cm="1">
        <f t="array" aca="1" ref="H14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09" spans="1:8" x14ac:dyDescent="0.25">
      <c r="A1409" s="2">
        <f t="shared" ca="1" si="155"/>
        <v>3.0052602772025949</v>
      </c>
      <c r="B1409" s="4" cm="1">
        <f t="array" aca="1" ref="B14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409" s="2">
        <f t="shared" ca="1" si="156"/>
        <v>3.0140656649034856</v>
      </c>
      <c r="D1409" s="4" t="str" cm="1">
        <f t="array" aca="1" ref="D14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09" s="2">
        <f t="shared" ca="1" si="157"/>
        <v>30.028139966595852</v>
      </c>
      <c r="F1409" s="4" t="str" cm="1">
        <f t="array" aca="1" ref="F14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09" s="2">
        <f t="shared" ca="1" si="158"/>
        <v>40.028705981344039</v>
      </c>
      <c r="H1409" s="47" t="str" cm="1">
        <f t="array" aca="1" ref="H14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10" spans="1:8" x14ac:dyDescent="0.25">
      <c r="A1410" s="2">
        <f t="shared" ref="A1410:A1473" ca="1" si="159">3+RAND()*0.01</f>
        <v>3.0015789920970102</v>
      </c>
      <c r="B1410" s="4" cm="1">
        <f t="array" aca="1" ref="B14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410" s="2">
        <f t="shared" ref="C1410:C1473" ca="1" si="160">3+RAND()*0.03</f>
        <v>3.02543759875303</v>
      </c>
      <c r="D1410" s="4" t="str" cm="1">
        <f t="array" aca="1" ref="D14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10" s="2">
        <f t="shared" ref="E1410:E1473" ca="1" si="161">30+RAND()*0.03</f>
        <v>30.008272076505346</v>
      </c>
      <c r="F1410" s="4" t="str" cm="1">
        <f t="array" aca="1" ref="F14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10" s="2">
        <f t="shared" ref="G1410:G1473" ca="1" si="162">40+RAND()*0.03</f>
        <v>40.028356186434607</v>
      </c>
      <c r="H1410" s="47" t="str" cm="1">
        <f t="array" aca="1" ref="H14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11" spans="1:8" x14ac:dyDescent="0.25">
      <c r="A1411" s="2">
        <f t="shared" ca="1" si="159"/>
        <v>3.0090632602512417</v>
      </c>
      <c r="B1411" s="4" cm="1">
        <f t="array" aca="1" ref="B14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411" s="2">
        <f t="shared" ca="1" si="160"/>
        <v>3.00606824824423</v>
      </c>
      <c r="D1411" s="4" t="str" cm="1">
        <f t="array" aca="1" ref="D14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11" s="2">
        <f t="shared" ca="1" si="161"/>
        <v>30.013210652488482</v>
      </c>
      <c r="F1411" s="4" t="str" cm="1">
        <f t="array" aca="1" ref="F14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11" s="2">
        <f t="shared" ca="1" si="162"/>
        <v>40.016236074874179</v>
      </c>
      <c r="H1411" s="47" t="str" cm="1">
        <f t="array" aca="1" ref="H14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12" spans="1:8" x14ac:dyDescent="0.25">
      <c r="A1412" s="2">
        <f t="shared" ca="1" si="159"/>
        <v>3.0028307551127269</v>
      </c>
      <c r="B1412" s="4" cm="1">
        <f t="array" aca="1" ref="B14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412" s="2">
        <f t="shared" ca="1" si="160"/>
        <v>3.0185443610864513</v>
      </c>
      <c r="D1412" s="4" t="str" cm="1">
        <f t="array" aca="1" ref="D14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12" s="2">
        <f t="shared" ca="1" si="161"/>
        <v>30.000058610933479</v>
      </c>
      <c r="F1412" s="4" t="str" cm="1">
        <f t="array" aca="1" ref="F14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12" s="2">
        <f t="shared" ca="1" si="162"/>
        <v>40.016437207042053</v>
      </c>
      <c r="H1412" s="47" t="str" cm="1">
        <f t="array" aca="1" ref="H14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13" spans="1:8" x14ac:dyDescent="0.25">
      <c r="A1413" s="2">
        <f t="shared" ca="1" si="159"/>
        <v>3.0077657145066619</v>
      </c>
      <c r="B1413" s="4" cm="1">
        <f t="array" aca="1" ref="B14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413" s="2">
        <f t="shared" ca="1" si="160"/>
        <v>3.0147894863712326</v>
      </c>
      <c r="D1413" s="4" t="str" cm="1">
        <f t="array" aca="1" ref="D14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13" s="2">
        <f t="shared" ca="1" si="161"/>
        <v>30.00701999246688</v>
      </c>
      <c r="F1413" s="4" t="str" cm="1">
        <f t="array" aca="1" ref="F14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13" s="2">
        <f t="shared" ca="1" si="162"/>
        <v>40.013601379430249</v>
      </c>
      <c r="H1413" s="47" t="str" cm="1">
        <f t="array" aca="1" ref="H14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14" spans="1:8" x14ac:dyDescent="0.25">
      <c r="A1414" s="2">
        <f t="shared" ca="1" si="159"/>
        <v>3.0016360290035022</v>
      </c>
      <c r="B1414" s="4" cm="1">
        <f t="array" aca="1" ref="B14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414" s="2">
        <f t="shared" ca="1" si="160"/>
        <v>3.0149037123298821</v>
      </c>
      <c r="D1414" s="4" t="str" cm="1">
        <f t="array" aca="1" ref="D14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14" s="2">
        <f t="shared" ca="1" si="161"/>
        <v>30.010307135671447</v>
      </c>
      <c r="F1414" s="4" t="str" cm="1">
        <f t="array" aca="1" ref="F14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14" s="2">
        <f t="shared" ca="1" si="162"/>
        <v>40.001048427670625</v>
      </c>
      <c r="H1414" s="47" t="str" cm="1">
        <f t="array" aca="1" ref="H14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15" spans="1:8" x14ac:dyDescent="0.25">
      <c r="A1415" s="2">
        <f t="shared" ca="1" si="159"/>
        <v>3.0062380788247167</v>
      </c>
      <c r="B1415" s="4" cm="1">
        <f t="array" aca="1" ref="B14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415" s="2">
        <f t="shared" ca="1" si="160"/>
        <v>3.0292570064550688</v>
      </c>
      <c r="D1415" s="4" t="str" cm="1">
        <f t="array" aca="1" ref="D14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15" s="2">
        <f t="shared" ca="1" si="161"/>
        <v>30.025824993554533</v>
      </c>
      <c r="F1415" s="4" t="str" cm="1">
        <f t="array" aca="1" ref="F14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15" s="2">
        <f t="shared" ca="1" si="162"/>
        <v>40.028069421573996</v>
      </c>
      <c r="H1415" s="47" t="str" cm="1">
        <f t="array" aca="1" ref="H14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16" spans="1:8" x14ac:dyDescent="0.25">
      <c r="A1416" s="2">
        <f t="shared" ca="1" si="159"/>
        <v>3.0071507958932879</v>
      </c>
      <c r="B1416" s="4" cm="1">
        <f t="array" aca="1" ref="B14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416" s="2">
        <f t="shared" ca="1" si="160"/>
        <v>3.0141786947949747</v>
      </c>
      <c r="D1416" s="4" t="str" cm="1">
        <f t="array" aca="1" ref="D14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16" s="2">
        <f t="shared" ca="1" si="161"/>
        <v>30.009375827459543</v>
      </c>
      <c r="F1416" s="4" t="str" cm="1">
        <f t="array" aca="1" ref="F14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16" s="2">
        <f t="shared" ca="1" si="162"/>
        <v>40.026219335403773</v>
      </c>
      <c r="H1416" s="47" t="str" cm="1">
        <f t="array" aca="1" ref="H14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17" spans="1:8" x14ac:dyDescent="0.25">
      <c r="A1417" s="2">
        <f t="shared" ca="1" si="159"/>
        <v>3.003515895263051</v>
      </c>
      <c r="B1417" s="4" cm="1">
        <f t="array" aca="1" ref="B14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417" s="2">
        <f t="shared" ca="1" si="160"/>
        <v>3.0195785597024245</v>
      </c>
      <c r="D1417" s="4" t="str" cm="1">
        <f t="array" aca="1" ref="D14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17" s="2">
        <f t="shared" ca="1" si="161"/>
        <v>30.009346617707301</v>
      </c>
      <c r="F1417" s="4" t="str" cm="1">
        <f t="array" aca="1" ref="F14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17" s="2">
        <f t="shared" ca="1" si="162"/>
        <v>40.00883507325122</v>
      </c>
      <c r="H1417" s="47" t="str" cm="1">
        <f t="array" aca="1" ref="H14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18" spans="1:8" x14ac:dyDescent="0.25">
      <c r="A1418" s="2">
        <f t="shared" ca="1" si="159"/>
        <v>3.0091402441634849</v>
      </c>
      <c r="B1418" s="4" cm="1">
        <f t="array" aca="1" ref="B14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418" s="2">
        <f t="shared" ca="1" si="160"/>
        <v>3.0242893854312007</v>
      </c>
      <c r="D1418" s="4" t="str" cm="1">
        <f t="array" aca="1" ref="D14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18" s="2">
        <f t="shared" ca="1" si="161"/>
        <v>30.027504406205068</v>
      </c>
      <c r="F1418" s="4" t="str" cm="1">
        <f t="array" aca="1" ref="F14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18" s="2">
        <f t="shared" ca="1" si="162"/>
        <v>40.004186036217149</v>
      </c>
      <c r="H1418" s="47" t="str" cm="1">
        <f t="array" aca="1" ref="H14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19" spans="1:8" x14ac:dyDescent="0.25">
      <c r="A1419" s="2">
        <f t="shared" ca="1" si="159"/>
        <v>3.0082383064017892</v>
      </c>
      <c r="B1419" s="4" cm="1">
        <f t="array" aca="1" ref="B14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419" s="2">
        <f t="shared" ca="1" si="160"/>
        <v>3.0191025368399971</v>
      </c>
      <c r="D1419" s="4" t="str" cm="1">
        <f t="array" aca="1" ref="D14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19" s="2">
        <f t="shared" ca="1" si="161"/>
        <v>30.007064388428137</v>
      </c>
      <c r="F1419" s="4" t="str" cm="1">
        <f t="array" aca="1" ref="F14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19" s="2">
        <f t="shared" ca="1" si="162"/>
        <v>40.024729357608656</v>
      </c>
      <c r="H1419" s="47" t="str" cm="1">
        <f t="array" aca="1" ref="H14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20" spans="1:8" x14ac:dyDescent="0.25">
      <c r="A1420" s="2">
        <f t="shared" ca="1" si="159"/>
        <v>3.003381795106312</v>
      </c>
      <c r="B1420" s="4" cm="1">
        <f t="array" aca="1" ref="B14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420" s="2">
        <f t="shared" ca="1" si="160"/>
        <v>3.0012070994296955</v>
      </c>
      <c r="D1420" s="4" t="str" cm="1">
        <f t="array" aca="1" ref="D14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20" s="2">
        <f t="shared" ca="1" si="161"/>
        <v>30.005277766022111</v>
      </c>
      <c r="F1420" s="4" t="str" cm="1">
        <f t="array" aca="1" ref="F14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20" s="2">
        <f t="shared" ca="1" si="162"/>
        <v>40.000957144487032</v>
      </c>
      <c r="H1420" s="47" t="str" cm="1">
        <f t="array" aca="1" ref="H14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21" spans="1:8" x14ac:dyDescent="0.25">
      <c r="A1421" s="2">
        <f t="shared" ca="1" si="159"/>
        <v>3.0073763169913676</v>
      </c>
      <c r="B1421" s="4" cm="1">
        <f t="array" aca="1" ref="B14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421" s="2">
        <f t="shared" ca="1" si="160"/>
        <v>3.0209343784196112</v>
      </c>
      <c r="D1421" s="4" t="str" cm="1">
        <f t="array" aca="1" ref="D14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21" s="2">
        <f t="shared" ca="1" si="161"/>
        <v>30.026368730417385</v>
      </c>
      <c r="F1421" s="4" t="str" cm="1">
        <f t="array" aca="1" ref="F14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21" s="2">
        <f t="shared" ca="1" si="162"/>
        <v>40.012582818532159</v>
      </c>
      <c r="H1421" s="47" t="str" cm="1">
        <f t="array" aca="1" ref="H14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22" spans="1:8" x14ac:dyDescent="0.25">
      <c r="A1422" s="2">
        <f t="shared" ca="1" si="159"/>
        <v>3.0093676513003009</v>
      </c>
      <c r="B1422" s="4" cm="1">
        <f t="array" aca="1" ref="B14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422" s="2">
        <f t="shared" ca="1" si="160"/>
        <v>3.0140334276668068</v>
      </c>
      <c r="D1422" s="4" t="str" cm="1">
        <f t="array" aca="1" ref="D14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22" s="2">
        <f t="shared" ca="1" si="161"/>
        <v>30.019617391189666</v>
      </c>
      <c r="F1422" s="4" t="str" cm="1">
        <f t="array" aca="1" ref="F14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22" s="2">
        <f t="shared" ca="1" si="162"/>
        <v>40.001785914284213</v>
      </c>
      <c r="H1422" s="47" t="str" cm="1">
        <f t="array" aca="1" ref="H14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23" spans="1:8" x14ac:dyDescent="0.25">
      <c r="A1423" s="2">
        <f t="shared" ca="1" si="159"/>
        <v>3.0048240864527114</v>
      </c>
      <c r="B1423" s="4" cm="1">
        <f t="array" aca="1" ref="B14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423" s="2">
        <f t="shared" ca="1" si="160"/>
        <v>3.0107842123695314</v>
      </c>
      <c r="D1423" s="4" t="str" cm="1">
        <f t="array" aca="1" ref="D14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23" s="2">
        <f t="shared" ca="1" si="161"/>
        <v>30.006156183710743</v>
      </c>
      <c r="F1423" s="4" t="str" cm="1">
        <f t="array" aca="1" ref="F14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23" s="2">
        <f t="shared" ca="1" si="162"/>
        <v>40.014003134420179</v>
      </c>
      <c r="H1423" s="47" t="str" cm="1">
        <f t="array" aca="1" ref="H14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24" spans="1:8" x14ac:dyDescent="0.25">
      <c r="A1424" s="2">
        <f t="shared" ca="1" si="159"/>
        <v>3.006067087931819</v>
      </c>
      <c r="B1424" s="4" cm="1">
        <f t="array" aca="1" ref="B14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424" s="2">
        <f t="shared" ca="1" si="160"/>
        <v>3.0245262173480736</v>
      </c>
      <c r="D1424" s="4" t="str" cm="1">
        <f t="array" aca="1" ref="D14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24" s="2">
        <f t="shared" ca="1" si="161"/>
        <v>30.007806785048384</v>
      </c>
      <c r="F1424" s="4" t="str" cm="1">
        <f t="array" aca="1" ref="F14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24" s="2">
        <f t="shared" ca="1" si="162"/>
        <v>40.029779285558902</v>
      </c>
      <c r="H1424" s="47" t="str" cm="1">
        <f t="array" aca="1" ref="H14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25" spans="1:8" x14ac:dyDescent="0.25">
      <c r="A1425" s="2">
        <f t="shared" ca="1" si="159"/>
        <v>3.007703810557091</v>
      </c>
      <c r="B1425" s="4" cm="1">
        <f t="array" aca="1" ref="B14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425" s="2">
        <f t="shared" ca="1" si="160"/>
        <v>3.0186746646645015</v>
      </c>
      <c r="D1425" s="4" t="str" cm="1">
        <f t="array" aca="1" ref="D14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25" s="2">
        <f t="shared" ca="1" si="161"/>
        <v>30.008228974317753</v>
      </c>
      <c r="F1425" s="4" t="str" cm="1">
        <f t="array" aca="1" ref="F14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25" s="2">
        <f t="shared" ca="1" si="162"/>
        <v>40.00161286355123</v>
      </c>
      <c r="H1425" s="47" t="str" cm="1">
        <f t="array" aca="1" ref="H14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26" spans="1:8" x14ac:dyDescent="0.25">
      <c r="A1426" s="2">
        <f t="shared" ca="1" si="159"/>
        <v>3.0089586170753377</v>
      </c>
      <c r="B1426" s="4" cm="1">
        <f t="array" aca="1" ref="B14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426" s="2">
        <f t="shared" ca="1" si="160"/>
        <v>3.00318920783881</v>
      </c>
      <c r="D1426" s="4" t="str" cm="1">
        <f t="array" aca="1" ref="D14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26" s="2">
        <f t="shared" ca="1" si="161"/>
        <v>30.028365527411463</v>
      </c>
      <c r="F1426" s="4" t="str" cm="1">
        <f t="array" aca="1" ref="F14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26" s="2">
        <f t="shared" ca="1" si="162"/>
        <v>40.023599018367406</v>
      </c>
      <c r="H1426" s="47" t="str" cm="1">
        <f t="array" aca="1" ref="H14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27" spans="1:8" x14ac:dyDescent="0.25">
      <c r="A1427" s="2">
        <f t="shared" ca="1" si="159"/>
        <v>3.0095927222034544</v>
      </c>
      <c r="B1427" s="4" cm="1">
        <f t="array" aca="1" ref="B14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427" s="2">
        <f t="shared" ca="1" si="160"/>
        <v>3.0238474324158799</v>
      </c>
      <c r="D1427" s="4" t="str" cm="1">
        <f t="array" aca="1" ref="D14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27" s="2">
        <f t="shared" ca="1" si="161"/>
        <v>30.020271449311508</v>
      </c>
      <c r="F1427" s="4" t="str" cm="1">
        <f t="array" aca="1" ref="F14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27" s="2">
        <f t="shared" ca="1" si="162"/>
        <v>40.024024392067027</v>
      </c>
      <c r="H1427" s="47" t="str" cm="1">
        <f t="array" aca="1" ref="H14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28" spans="1:8" x14ac:dyDescent="0.25">
      <c r="A1428" s="2">
        <f t="shared" ca="1" si="159"/>
        <v>3.0094924923748922</v>
      </c>
      <c r="B1428" s="4" cm="1">
        <f t="array" aca="1" ref="B14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428" s="2">
        <f t="shared" ca="1" si="160"/>
        <v>3.0057051801523977</v>
      </c>
      <c r="D1428" s="4" t="str" cm="1">
        <f t="array" aca="1" ref="D14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28" s="2">
        <f t="shared" ca="1" si="161"/>
        <v>30.003434751443287</v>
      </c>
      <c r="F1428" s="4" t="str" cm="1">
        <f t="array" aca="1" ref="F14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28" s="2">
        <f t="shared" ca="1" si="162"/>
        <v>40.018582148479702</v>
      </c>
      <c r="H1428" s="47" t="str" cm="1">
        <f t="array" aca="1" ref="H14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29" spans="1:8" x14ac:dyDescent="0.25">
      <c r="A1429" s="2">
        <f t="shared" ca="1" si="159"/>
        <v>3.0083006179017282</v>
      </c>
      <c r="B1429" s="4" cm="1">
        <f t="array" aca="1" ref="B14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429" s="2">
        <f t="shared" ca="1" si="160"/>
        <v>3.028556669881783</v>
      </c>
      <c r="D1429" s="4" t="str" cm="1">
        <f t="array" aca="1" ref="D14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29" s="2">
        <f t="shared" ca="1" si="161"/>
        <v>30.015078012751097</v>
      </c>
      <c r="F1429" s="4" t="str" cm="1">
        <f t="array" aca="1" ref="F14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29" s="2">
        <f t="shared" ca="1" si="162"/>
        <v>40.021754132145141</v>
      </c>
      <c r="H1429" s="47" t="str" cm="1">
        <f t="array" aca="1" ref="H14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30" spans="1:8" x14ac:dyDescent="0.25">
      <c r="A1430" s="2">
        <f t="shared" ca="1" si="159"/>
        <v>3.0093973200061956</v>
      </c>
      <c r="B1430" s="4" cm="1">
        <f t="array" aca="1" ref="B14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430" s="2">
        <f t="shared" ca="1" si="160"/>
        <v>3.0221612894620584</v>
      </c>
      <c r="D1430" s="4" t="str" cm="1">
        <f t="array" aca="1" ref="D14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30" s="2">
        <f t="shared" ca="1" si="161"/>
        <v>30.029769600856227</v>
      </c>
      <c r="F1430" s="4" t="str" cm="1">
        <f t="array" aca="1" ref="F14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30" s="2">
        <f t="shared" ca="1" si="162"/>
        <v>40.024675538889703</v>
      </c>
      <c r="H1430" s="47" t="str" cm="1">
        <f t="array" aca="1" ref="H14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31" spans="1:8" x14ac:dyDescent="0.25">
      <c r="A1431" s="2">
        <f t="shared" ca="1" si="159"/>
        <v>3.002755874820676</v>
      </c>
      <c r="B1431" s="4" cm="1">
        <f t="array" aca="1" ref="B14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431" s="2">
        <f t="shared" ca="1" si="160"/>
        <v>3.0276242181040485</v>
      </c>
      <c r="D1431" s="4" t="str" cm="1">
        <f t="array" aca="1" ref="D14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31" s="2">
        <f t="shared" ca="1" si="161"/>
        <v>30.028534264133096</v>
      </c>
      <c r="F1431" s="4" t="str" cm="1">
        <f t="array" aca="1" ref="F14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31" s="2">
        <f t="shared" ca="1" si="162"/>
        <v>40.003720025316234</v>
      </c>
      <c r="H1431" s="47" t="str" cm="1">
        <f t="array" aca="1" ref="H14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32" spans="1:8" x14ac:dyDescent="0.25">
      <c r="A1432" s="2">
        <f t="shared" ca="1" si="159"/>
        <v>3.0062210484150671</v>
      </c>
      <c r="B1432" s="4" cm="1">
        <f t="array" aca="1" ref="B14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432" s="2">
        <f t="shared" ca="1" si="160"/>
        <v>3.0279237743009713</v>
      </c>
      <c r="D1432" s="4" t="str" cm="1">
        <f t="array" aca="1" ref="D14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32" s="2">
        <f t="shared" ca="1" si="161"/>
        <v>30.01205490864837</v>
      </c>
      <c r="F1432" s="4" t="str" cm="1">
        <f t="array" aca="1" ref="F14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32" s="2">
        <f t="shared" ca="1" si="162"/>
        <v>40.001636029328481</v>
      </c>
      <c r="H1432" s="47" t="str" cm="1">
        <f t="array" aca="1" ref="H14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33" spans="1:8" x14ac:dyDescent="0.25">
      <c r="A1433" s="2">
        <f t="shared" ca="1" si="159"/>
        <v>3.0070804138351837</v>
      </c>
      <c r="B1433" s="4" cm="1">
        <f t="array" aca="1" ref="B14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433" s="2">
        <f t="shared" ca="1" si="160"/>
        <v>3.0138265379243609</v>
      </c>
      <c r="D1433" s="4" t="str" cm="1">
        <f t="array" aca="1" ref="D14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33" s="2">
        <f t="shared" ca="1" si="161"/>
        <v>30.005699255398042</v>
      </c>
      <c r="F1433" s="4" t="str" cm="1">
        <f t="array" aca="1" ref="F14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33" s="2">
        <f t="shared" ca="1" si="162"/>
        <v>40.012514145903289</v>
      </c>
      <c r="H1433" s="47" t="str" cm="1">
        <f t="array" aca="1" ref="H14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34" spans="1:8" x14ac:dyDescent="0.25">
      <c r="A1434" s="2">
        <f t="shared" ca="1" si="159"/>
        <v>3.0050566142437267</v>
      </c>
      <c r="B1434" s="4" cm="1">
        <f t="array" aca="1" ref="B14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434" s="2">
        <f t="shared" ca="1" si="160"/>
        <v>3.0229607771380764</v>
      </c>
      <c r="D1434" s="4" t="str" cm="1">
        <f t="array" aca="1" ref="D14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34" s="2">
        <f t="shared" ca="1" si="161"/>
        <v>30.013641379638759</v>
      </c>
      <c r="F1434" s="4" t="str" cm="1">
        <f t="array" aca="1" ref="F14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34" s="2">
        <f t="shared" ca="1" si="162"/>
        <v>40.002360824586326</v>
      </c>
      <c r="H1434" s="47" t="str" cm="1">
        <f t="array" aca="1" ref="H14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35" spans="1:8" x14ac:dyDescent="0.25">
      <c r="A1435" s="2">
        <f t="shared" ca="1" si="159"/>
        <v>3.0086642189224562</v>
      </c>
      <c r="B1435" s="4" cm="1">
        <f t="array" aca="1" ref="B14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435" s="2">
        <f t="shared" ca="1" si="160"/>
        <v>3.0042394896591884</v>
      </c>
      <c r="D1435" s="4" t="str" cm="1">
        <f t="array" aca="1" ref="D14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35" s="2">
        <f t="shared" ca="1" si="161"/>
        <v>30.013854224338452</v>
      </c>
      <c r="F1435" s="4" t="str" cm="1">
        <f t="array" aca="1" ref="F14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35" s="2">
        <f t="shared" ca="1" si="162"/>
        <v>40.027455001869569</v>
      </c>
      <c r="H1435" s="47" t="str" cm="1">
        <f t="array" aca="1" ref="H14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36" spans="1:8" x14ac:dyDescent="0.25">
      <c r="A1436" s="2">
        <f t="shared" ca="1" si="159"/>
        <v>3.0025211202727853</v>
      </c>
      <c r="B1436" s="4" cm="1">
        <f t="array" aca="1" ref="B14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436" s="2">
        <f t="shared" ca="1" si="160"/>
        <v>3.0086300700642292</v>
      </c>
      <c r="D1436" s="4" t="str" cm="1">
        <f t="array" aca="1" ref="D14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36" s="2">
        <f t="shared" ca="1" si="161"/>
        <v>30.014585973518962</v>
      </c>
      <c r="F1436" s="4" t="str" cm="1">
        <f t="array" aca="1" ref="F14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36" s="2">
        <f t="shared" ca="1" si="162"/>
        <v>40.020225843019098</v>
      </c>
      <c r="H1436" s="47" t="str" cm="1">
        <f t="array" aca="1" ref="H14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37" spans="1:8" x14ac:dyDescent="0.25">
      <c r="A1437" s="2">
        <f t="shared" ca="1" si="159"/>
        <v>3.0044680092083103</v>
      </c>
      <c r="B1437" s="4" cm="1">
        <f t="array" aca="1" ref="B14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437" s="2">
        <f t="shared" ca="1" si="160"/>
        <v>3.024649453787625</v>
      </c>
      <c r="D1437" s="4" t="str" cm="1">
        <f t="array" aca="1" ref="D14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37" s="2">
        <f t="shared" ca="1" si="161"/>
        <v>30.016887311615356</v>
      </c>
      <c r="F1437" s="4" t="str" cm="1">
        <f t="array" aca="1" ref="F14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37" s="2">
        <f t="shared" ca="1" si="162"/>
        <v>40.028358278869526</v>
      </c>
      <c r="H1437" s="47" t="str" cm="1">
        <f t="array" aca="1" ref="H14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38" spans="1:8" x14ac:dyDescent="0.25">
      <c r="A1438" s="2">
        <f t="shared" ca="1" si="159"/>
        <v>3.0051472979658871</v>
      </c>
      <c r="B1438" s="4" cm="1">
        <f t="array" aca="1" ref="B14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438" s="2">
        <f t="shared" ca="1" si="160"/>
        <v>3.0066207332440951</v>
      </c>
      <c r="D1438" s="4" t="str" cm="1">
        <f t="array" aca="1" ref="D14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38" s="2">
        <f t="shared" ca="1" si="161"/>
        <v>30.003929331861695</v>
      </c>
      <c r="F1438" s="4" t="str" cm="1">
        <f t="array" aca="1" ref="F14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38" s="2">
        <f t="shared" ca="1" si="162"/>
        <v>40.015904840150895</v>
      </c>
      <c r="H1438" s="47" t="str" cm="1">
        <f t="array" aca="1" ref="H14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39" spans="1:8" x14ac:dyDescent="0.25">
      <c r="A1439" s="2">
        <f t="shared" ca="1" si="159"/>
        <v>3.005940106545514</v>
      </c>
      <c r="B1439" s="4" cm="1">
        <f t="array" aca="1" ref="B14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439" s="2">
        <f t="shared" ca="1" si="160"/>
        <v>3.0172025033513719</v>
      </c>
      <c r="D1439" s="4" t="str" cm="1">
        <f t="array" aca="1" ref="D14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39" s="2">
        <f t="shared" ca="1" si="161"/>
        <v>30.000053024136786</v>
      </c>
      <c r="F1439" s="4" t="str" cm="1">
        <f t="array" aca="1" ref="F14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39" s="2">
        <f t="shared" ca="1" si="162"/>
        <v>40.003285427920325</v>
      </c>
      <c r="H1439" s="47" t="str" cm="1">
        <f t="array" aca="1" ref="H14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40" spans="1:8" x14ac:dyDescent="0.25">
      <c r="A1440" s="2">
        <f t="shared" ca="1" si="159"/>
        <v>3.0001891338453728</v>
      </c>
      <c r="B1440" s="4" cm="1">
        <f t="array" aca="1" ref="B14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440" s="2">
        <f t="shared" ca="1" si="160"/>
        <v>3.0045503610036381</v>
      </c>
      <c r="D1440" s="4" t="str" cm="1">
        <f t="array" aca="1" ref="D14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40" s="2">
        <f t="shared" ca="1" si="161"/>
        <v>30.018097439576916</v>
      </c>
      <c r="F1440" s="4" t="str" cm="1">
        <f t="array" aca="1" ref="F14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40" s="2">
        <f t="shared" ca="1" si="162"/>
        <v>40.00363996950081</v>
      </c>
      <c r="H1440" s="47" t="str" cm="1">
        <f t="array" aca="1" ref="H14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41" spans="1:8" x14ac:dyDescent="0.25">
      <c r="A1441" s="2">
        <f t="shared" ca="1" si="159"/>
        <v>3.0068941153813653</v>
      </c>
      <c r="B1441" s="4" cm="1">
        <f t="array" aca="1" ref="B14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441" s="2">
        <f t="shared" ca="1" si="160"/>
        <v>3.0054188996364308</v>
      </c>
      <c r="D1441" s="4" t="str" cm="1">
        <f t="array" aca="1" ref="D14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41" s="2">
        <f t="shared" ca="1" si="161"/>
        <v>30.004035233869896</v>
      </c>
      <c r="F1441" s="4" t="str" cm="1">
        <f t="array" aca="1" ref="F14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41" s="2">
        <f t="shared" ca="1" si="162"/>
        <v>40.027840905611015</v>
      </c>
      <c r="H1441" s="47" t="str" cm="1">
        <f t="array" aca="1" ref="H14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42" spans="1:8" x14ac:dyDescent="0.25">
      <c r="A1442" s="2">
        <f t="shared" ca="1" si="159"/>
        <v>3.0087116675791341</v>
      </c>
      <c r="B1442" s="4" cm="1">
        <f t="array" aca="1" ref="B14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442" s="2">
        <f t="shared" ca="1" si="160"/>
        <v>3.0031398870689947</v>
      </c>
      <c r="D1442" s="4" t="str" cm="1">
        <f t="array" aca="1" ref="D14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42" s="2">
        <f t="shared" ca="1" si="161"/>
        <v>30.023370652741402</v>
      </c>
      <c r="F1442" s="4" t="str" cm="1">
        <f t="array" aca="1" ref="F14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42" s="2">
        <f t="shared" ca="1" si="162"/>
        <v>40.020383911133202</v>
      </c>
      <c r="H1442" s="47" t="str" cm="1">
        <f t="array" aca="1" ref="H14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43" spans="1:8" x14ac:dyDescent="0.25">
      <c r="A1443" s="2">
        <f t="shared" ca="1" si="159"/>
        <v>3.0096054417272988</v>
      </c>
      <c r="B1443" s="4" cm="1">
        <f t="array" aca="1" ref="B14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443" s="2">
        <f t="shared" ca="1" si="160"/>
        <v>3.0208743184128446</v>
      </c>
      <c r="D1443" s="4" t="str" cm="1">
        <f t="array" aca="1" ref="D14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43" s="2">
        <f t="shared" ca="1" si="161"/>
        <v>30.001868424126762</v>
      </c>
      <c r="F1443" s="4" t="str" cm="1">
        <f t="array" aca="1" ref="F14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43" s="2">
        <f t="shared" ca="1" si="162"/>
        <v>40.013702205544767</v>
      </c>
      <c r="H1443" s="47" t="str" cm="1">
        <f t="array" aca="1" ref="H14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44" spans="1:8" x14ac:dyDescent="0.25">
      <c r="A1444" s="2">
        <f t="shared" ca="1" si="159"/>
        <v>3.0044622908718646</v>
      </c>
      <c r="B1444" s="4" cm="1">
        <f t="array" aca="1" ref="B14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444" s="2">
        <f t="shared" ca="1" si="160"/>
        <v>3.0032460224581361</v>
      </c>
      <c r="D1444" s="4" t="str" cm="1">
        <f t="array" aca="1" ref="D14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44" s="2">
        <f t="shared" ca="1" si="161"/>
        <v>30.008411412115301</v>
      </c>
      <c r="F1444" s="4" t="str" cm="1">
        <f t="array" aca="1" ref="F14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44" s="2">
        <f t="shared" ca="1" si="162"/>
        <v>40.021480196902168</v>
      </c>
      <c r="H1444" s="47" t="str" cm="1">
        <f t="array" aca="1" ref="H14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45" spans="1:8" x14ac:dyDescent="0.25">
      <c r="A1445" s="2">
        <f t="shared" ca="1" si="159"/>
        <v>3.0069503444519383</v>
      </c>
      <c r="B1445" s="4" cm="1">
        <f t="array" aca="1" ref="B14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445" s="2">
        <f t="shared" ca="1" si="160"/>
        <v>3.024228681769539</v>
      </c>
      <c r="D1445" s="4" t="str" cm="1">
        <f t="array" aca="1" ref="D14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45" s="2">
        <f t="shared" ca="1" si="161"/>
        <v>30.015060464299214</v>
      </c>
      <c r="F1445" s="4" t="str" cm="1">
        <f t="array" aca="1" ref="F14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45" s="2">
        <f t="shared" ca="1" si="162"/>
        <v>40.003363917950693</v>
      </c>
      <c r="H1445" s="47" t="str" cm="1">
        <f t="array" aca="1" ref="H14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46" spans="1:8" x14ac:dyDescent="0.25">
      <c r="A1446" s="2">
        <f t="shared" ca="1" si="159"/>
        <v>3.0094841744936902</v>
      </c>
      <c r="B1446" s="4" cm="1">
        <f t="array" aca="1" ref="B14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446" s="2">
        <f t="shared" ca="1" si="160"/>
        <v>3.029210209354408</v>
      </c>
      <c r="D1446" s="4" t="str" cm="1">
        <f t="array" aca="1" ref="D14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46" s="2">
        <f t="shared" ca="1" si="161"/>
        <v>30.020672025013418</v>
      </c>
      <c r="F1446" s="4" t="str" cm="1">
        <f t="array" aca="1" ref="F14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46" s="2">
        <f t="shared" ca="1" si="162"/>
        <v>40.00236159293776</v>
      </c>
      <c r="H1446" s="47" t="str" cm="1">
        <f t="array" aca="1" ref="H14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47" spans="1:8" x14ac:dyDescent="0.25">
      <c r="A1447" s="2">
        <f t="shared" ca="1" si="159"/>
        <v>3.0059517474488904</v>
      </c>
      <c r="B1447" s="4" cm="1">
        <f t="array" aca="1" ref="B14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447" s="2">
        <f t="shared" ca="1" si="160"/>
        <v>3.0022884035774275</v>
      </c>
      <c r="D1447" s="4" t="str" cm="1">
        <f t="array" aca="1" ref="D14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47" s="2">
        <f t="shared" ca="1" si="161"/>
        <v>30.023170304277766</v>
      </c>
      <c r="F1447" s="4" t="str" cm="1">
        <f t="array" aca="1" ref="F14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47" s="2">
        <f t="shared" ca="1" si="162"/>
        <v>40.000345976941411</v>
      </c>
      <c r="H1447" s="47" t="str" cm="1">
        <f t="array" aca="1" ref="H14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48" spans="1:8" x14ac:dyDescent="0.25">
      <c r="A1448" s="2">
        <f t="shared" ca="1" si="159"/>
        <v>3.0041721079548012</v>
      </c>
      <c r="B1448" s="4" cm="1">
        <f t="array" aca="1" ref="B14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448" s="2">
        <f t="shared" ca="1" si="160"/>
        <v>3.0024149571687255</v>
      </c>
      <c r="D1448" s="4" t="str" cm="1">
        <f t="array" aca="1" ref="D14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48" s="2">
        <f t="shared" ca="1" si="161"/>
        <v>30.023402720772815</v>
      </c>
      <c r="F1448" s="4" t="str" cm="1">
        <f t="array" aca="1" ref="F14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48" s="2">
        <f t="shared" ca="1" si="162"/>
        <v>40.003500999857387</v>
      </c>
      <c r="H1448" s="47" t="str" cm="1">
        <f t="array" aca="1" ref="H14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49" spans="1:8" x14ac:dyDescent="0.25">
      <c r="A1449" s="2">
        <f t="shared" ca="1" si="159"/>
        <v>3.0058564017381522</v>
      </c>
      <c r="B1449" s="4" cm="1">
        <f t="array" aca="1" ref="B14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449" s="2">
        <f t="shared" ca="1" si="160"/>
        <v>3.0111712907022818</v>
      </c>
      <c r="D1449" s="4" t="str" cm="1">
        <f t="array" aca="1" ref="D14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49" s="2">
        <f t="shared" ca="1" si="161"/>
        <v>30.017830001309854</v>
      </c>
      <c r="F1449" s="4" t="str" cm="1">
        <f t="array" aca="1" ref="F14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49" s="2">
        <f t="shared" ca="1" si="162"/>
        <v>40.002140014987411</v>
      </c>
      <c r="H1449" s="47" t="str" cm="1">
        <f t="array" aca="1" ref="H14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50" spans="1:8" x14ac:dyDescent="0.25">
      <c r="A1450" s="2">
        <f t="shared" ca="1" si="159"/>
        <v>3.0021619023939308</v>
      </c>
      <c r="B1450" s="4" cm="1">
        <f t="array" aca="1" ref="B14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450" s="2">
        <f t="shared" ca="1" si="160"/>
        <v>3.0046541410757124</v>
      </c>
      <c r="D1450" s="4" t="str" cm="1">
        <f t="array" aca="1" ref="D14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50" s="2">
        <f t="shared" ca="1" si="161"/>
        <v>30.027338241440376</v>
      </c>
      <c r="F1450" s="4" t="str" cm="1">
        <f t="array" aca="1" ref="F14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50" s="2">
        <f t="shared" ca="1" si="162"/>
        <v>40.022598713377796</v>
      </c>
      <c r="H1450" s="47" t="str" cm="1">
        <f t="array" aca="1" ref="H14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51" spans="1:8" x14ac:dyDescent="0.25">
      <c r="A1451" s="2">
        <f t="shared" ca="1" si="159"/>
        <v>3.0033617059475244</v>
      </c>
      <c r="B1451" s="4" cm="1">
        <f t="array" aca="1" ref="B14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451" s="2">
        <f t="shared" ca="1" si="160"/>
        <v>3.0103900895777911</v>
      </c>
      <c r="D1451" s="4" t="str" cm="1">
        <f t="array" aca="1" ref="D14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51" s="2">
        <f t="shared" ca="1" si="161"/>
        <v>30.002093093989796</v>
      </c>
      <c r="F1451" s="4" t="str" cm="1">
        <f t="array" aca="1" ref="F14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51" s="2">
        <f t="shared" ca="1" si="162"/>
        <v>40.01480490259577</v>
      </c>
      <c r="H1451" s="47" t="str" cm="1">
        <f t="array" aca="1" ref="H14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52" spans="1:8" x14ac:dyDescent="0.25">
      <c r="A1452" s="2">
        <f t="shared" ca="1" si="159"/>
        <v>3.0009848039384361</v>
      </c>
      <c r="B1452" s="4" cm="1">
        <f t="array" aca="1" ref="B14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452" s="2">
        <f t="shared" ca="1" si="160"/>
        <v>3.0105017202700544</v>
      </c>
      <c r="D1452" s="4" t="str" cm="1">
        <f t="array" aca="1" ref="D14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52" s="2">
        <f t="shared" ca="1" si="161"/>
        <v>30.026007326763722</v>
      </c>
      <c r="F1452" s="4" t="str" cm="1">
        <f t="array" aca="1" ref="F14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52" s="2">
        <f t="shared" ca="1" si="162"/>
        <v>40.002994064184506</v>
      </c>
      <c r="H1452" s="47" t="str" cm="1">
        <f t="array" aca="1" ref="H14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53" spans="1:8" x14ac:dyDescent="0.25">
      <c r="A1453" s="2">
        <f t="shared" ca="1" si="159"/>
        <v>3.0071885218029064</v>
      </c>
      <c r="B1453" s="4" cm="1">
        <f t="array" aca="1" ref="B14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453" s="2">
        <f t="shared" ca="1" si="160"/>
        <v>3.0007395576461802</v>
      </c>
      <c r="D1453" s="4" t="str" cm="1">
        <f t="array" aca="1" ref="D14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53" s="2">
        <f t="shared" ca="1" si="161"/>
        <v>30.024447801518512</v>
      </c>
      <c r="F1453" s="4" t="str" cm="1">
        <f t="array" aca="1" ref="F14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53" s="2">
        <f t="shared" ca="1" si="162"/>
        <v>40.010115057602327</v>
      </c>
      <c r="H1453" s="47" t="str" cm="1">
        <f t="array" aca="1" ref="H14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54" spans="1:8" x14ac:dyDescent="0.25">
      <c r="A1454" s="2">
        <f t="shared" ca="1" si="159"/>
        <v>3.009822826522448</v>
      </c>
      <c r="B1454" s="4" cm="1">
        <f t="array" aca="1" ref="B14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454" s="2">
        <f t="shared" ca="1" si="160"/>
        <v>3.0252836459209163</v>
      </c>
      <c r="D1454" s="4" t="str" cm="1">
        <f t="array" aca="1" ref="D14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54" s="2">
        <f t="shared" ca="1" si="161"/>
        <v>30.005711997711103</v>
      </c>
      <c r="F1454" s="4" t="str" cm="1">
        <f t="array" aca="1" ref="F14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54" s="2">
        <f t="shared" ca="1" si="162"/>
        <v>40.004758022622312</v>
      </c>
      <c r="H1454" s="47" t="str" cm="1">
        <f t="array" aca="1" ref="H14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55" spans="1:8" x14ac:dyDescent="0.25">
      <c r="A1455" s="2">
        <f t="shared" ca="1" si="159"/>
        <v>3.0096781171840421</v>
      </c>
      <c r="B1455" s="4" cm="1">
        <f t="array" aca="1" ref="B14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455" s="2">
        <f t="shared" ca="1" si="160"/>
        <v>3.0170932204976295</v>
      </c>
      <c r="D1455" s="4" t="str" cm="1">
        <f t="array" aca="1" ref="D14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55" s="2">
        <f t="shared" ca="1" si="161"/>
        <v>30.027467937727593</v>
      </c>
      <c r="F1455" s="4" t="str" cm="1">
        <f t="array" aca="1" ref="F14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55" s="2">
        <f t="shared" ca="1" si="162"/>
        <v>40.022664866355598</v>
      </c>
      <c r="H1455" s="47" t="str" cm="1">
        <f t="array" aca="1" ref="H14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56" spans="1:8" x14ac:dyDescent="0.25">
      <c r="A1456" s="2">
        <f t="shared" ca="1" si="159"/>
        <v>3.0044867025538089</v>
      </c>
      <c r="B1456" s="4" cm="1">
        <f t="array" aca="1" ref="B14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456" s="2">
        <f t="shared" ca="1" si="160"/>
        <v>3.0222750354243022</v>
      </c>
      <c r="D1456" s="4" t="str" cm="1">
        <f t="array" aca="1" ref="D14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56" s="2">
        <f t="shared" ca="1" si="161"/>
        <v>30.027142195645897</v>
      </c>
      <c r="F1456" s="4" t="str" cm="1">
        <f t="array" aca="1" ref="F14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56" s="2">
        <f t="shared" ca="1" si="162"/>
        <v>40.005509101329231</v>
      </c>
      <c r="H1456" s="47" t="str" cm="1">
        <f t="array" aca="1" ref="H14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57" spans="1:8" x14ac:dyDescent="0.25">
      <c r="A1457" s="2">
        <f t="shared" ca="1" si="159"/>
        <v>3.0089767081143393</v>
      </c>
      <c r="B1457" s="4" cm="1">
        <f t="array" aca="1" ref="B14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457" s="2">
        <f t="shared" ca="1" si="160"/>
        <v>3.0014729808090901</v>
      </c>
      <c r="D1457" s="4" t="str" cm="1">
        <f t="array" aca="1" ref="D14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57" s="2">
        <f t="shared" ca="1" si="161"/>
        <v>30.021007886815585</v>
      </c>
      <c r="F1457" s="4" t="str" cm="1">
        <f t="array" aca="1" ref="F14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57" s="2">
        <f t="shared" ca="1" si="162"/>
        <v>40.000430208053373</v>
      </c>
      <c r="H1457" s="47" t="str" cm="1">
        <f t="array" aca="1" ref="H14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58" spans="1:8" x14ac:dyDescent="0.25">
      <c r="A1458" s="2">
        <f t="shared" ca="1" si="159"/>
        <v>3.0001568794186695</v>
      </c>
      <c r="B1458" s="4" cm="1">
        <f t="array" aca="1" ref="B14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458" s="2">
        <f t="shared" ca="1" si="160"/>
        <v>3.010468730290023</v>
      </c>
      <c r="D1458" s="4" t="str" cm="1">
        <f t="array" aca="1" ref="D14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58" s="2">
        <f t="shared" ca="1" si="161"/>
        <v>30.009639203929414</v>
      </c>
      <c r="F1458" s="4" t="str" cm="1">
        <f t="array" aca="1" ref="F14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58" s="2">
        <f t="shared" ca="1" si="162"/>
        <v>40.003995871186511</v>
      </c>
      <c r="H1458" s="47" t="str" cm="1">
        <f t="array" aca="1" ref="H14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59" spans="1:8" x14ac:dyDescent="0.25">
      <c r="A1459" s="2">
        <f t="shared" ca="1" si="159"/>
        <v>3.0048342814800915</v>
      </c>
      <c r="B1459" s="4" cm="1">
        <f t="array" aca="1" ref="B14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459" s="2">
        <f t="shared" ca="1" si="160"/>
        <v>3.0291823142277323</v>
      </c>
      <c r="D1459" s="4" t="str" cm="1">
        <f t="array" aca="1" ref="D14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59" s="2">
        <f t="shared" ca="1" si="161"/>
        <v>30.018807243168744</v>
      </c>
      <c r="F1459" s="4" t="str" cm="1">
        <f t="array" aca="1" ref="F14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59" s="2">
        <f t="shared" ca="1" si="162"/>
        <v>40.024325987689387</v>
      </c>
      <c r="H1459" s="47" t="str" cm="1">
        <f t="array" aca="1" ref="H14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60" spans="1:8" x14ac:dyDescent="0.25">
      <c r="A1460" s="2">
        <f t="shared" ca="1" si="159"/>
        <v>3.00940401647587</v>
      </c>
      <c r="B1460" s="4" cm="1">
        <f t="array" aca="1" ref="B14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460" s="2">
        <f t="shared" ca="1" si="160"/>
        <v>3.0069230656926029</v>
      </c>
      <c r="D1460" s="4" t="str" cm="1">
        <f t="array" aca="1" ref="D14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60" s="2">
        <f t="shared" ca="1" si="161"/>
        <v>30.009183456290216</v>
      </c>
      <c r="F1460" s="4" t="str" cm="1">
        <f t="array" aca="1" ref="F14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60" s="2">
        <f t="shared" ca="1" si="162"/>
        <v>40.026055996733035</v>
      </c>
      <c r="H1460" s="47" t="str" cm="1">
        <f t="array" aca="1" ref="H14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61" spans="1:8" x14ac:dyDescent="0.25">
      <c r="A1461" s="2">
        <f t="shared" ca="1" si="159"/>
        <v>3.0057603012294467</v>
      </c>
      <c r="B1461" s="4" cm="1">
        <f t="array" aca="1" ref="B14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461" s="2">
        <f t="shared" ca="1" si="160"/>
        <v>3.0242139705281064</v>
      </c>
      <c r="D1461" s="4" t="str" cm="1">
        <f t="array" aca="1" ref="D14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61" s="2">
        <f t="shared" ca="1" si="161"/>
        <v>30.000345137957691</v>
      </c>
      <c r="F1461" s="4" t="str" cm="1">
        <f t="array" aca="1" ref="F14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61" s="2">
        <f t="shared" ca="1" si="162"/>
        <v>40.020464616044428</v>
      </c>
      <c r="H1461" s="47" t="str" cm="1">
        <f t="array" aca="1" ref="H14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62" spans="1:8" x14ac:dyDescent="0.25">
      <c r="A1462" s="2">
        <f t="shared" ca="1" si="159"/>
        <v>3.0034281403855982</v>
      </c>
      <c r="B1462" s="4" cm="1">
        <f t="array" aca="1" ref="B14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462" s="2">
        <f t="shared" ca="1" si="160"/>
        <v>3.0151622403312355</v>
      </c>
      <c r="D1462" s="4" t="str" cm="1">
        <f t="array" aca="1" ref="D14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62" s="2">
        <f t="shared" ca="1" si="161"/>
        <v>30.022782433251621</v>
      </c>
      <c r="F1462" s="4" t="str" cm="1">
        <f t="array" aca="1" ref="F14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62" s="2">
        <f t="shared" ca="1" si="162"/>
        <v>40.019081771500794</v>
      </c>
      <c r="H1462" s="47" t="str" cm="1">
        <f t="array" aca="1" ref="H14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63" spans="1:8" x14ac:dyDescent="0.25">
      <c r="A1463" s="2">
        <f t="shared" ca="1" si="159"/>
        <v>3.006124793178667</v>
      </c>
      <c r="B1463" s="4" cm="1">
        <f t="array" aca="1" ref="B14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463" s="2">
        <f t="shared" ca="1" si="160"/>
        <v>3.0106750694773221</v>
      </c>
      <c r="D1463" s="4" t="str" cm="1">
        <f t="array" aca="1" ref="D14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63" s="2">
        <f t="shared" ca="1" si="161"/>
        <v>30.025674065137846</v>
      </c>
      <c r="F1463" s="4" t="str" cm="1">
        <f t="array" aca="1" ref="F14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63" s="2">
        <f t="shared" ca="1" si="162"/>
        <v>40.005480452679663</v>
      </c>
      <c r="H1463" s="47" t="str" cm="1">
        <f t="array" aca="1" ref="H14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64" spans="1:8" x14ac:dyDescent="0.25">
      <c r="A1464" s="2">
        <f t="shared" ca="1" si="159"/>
        <v>3.000779565839065</v>
      </c>
      <c r="B1464" s="4" cm="1">
        <f t="array" aca="1" ref="B14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464" s="2">
        <f t="shared" ca="1" si="160"/>
        <v>3.0219840575971086</v>
      </c>
      <c r="D1464" s="4" t="str" cm="1">
        <f t="array" aca="1" ref="D14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64" s="2">
        <f t="shared" ca="1" si="161"/>
        <v>30.011232252752027</v>
      </c>
      <c r="F1464" s="4" t="str" cm="1">
        <f t="array" aca="1" ref="F14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64" s="2">
        <f t="shared" ca="1" si="162"/>
        <v>40.020132330125165</v>
      </c>
      <c r="H1464" s="47" t="str" cm="1">
        <f t="array" aca="1" ref="H14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65" spans="1:8" x14ac:dyDescent="0.25">
      <c r="A1465" s="2">
        <f t="shared" ca="1" si="159"/>
        <v>3.0028091228792264</v>
      </c>
      <c r="B1465" s="4" cm="1">
        <f t="array" aca="1" ref="B14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465" s="2">
        <f t="shared" ca="1" si="160"/>
        <v>3.0171221857456207</v>
      </c>
      <c r="D1465" s="4" t="str" cm="1">
        <f t="array" aca="1" ref="D14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65" s="2">
        <f t="shared" ca="1" si="161"/>
        <v>30.002135367001813</v>
      </c>
      <c r="F1465" s="4" t="str" cm="1">
        <f t="array" aca="1" ref="F14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65" s="2">
        <f t="shared" ca="1" si="162"/>
        <v>40.021517083689588</v>
      </c>
      <c r="H1465" s="47" t="str" cm="1">
        <f t="array" aca="1" ref="H14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66" spans="1:8" x14ac:dyDescent="0.25">
      <c r="A1466" s="2">
        <f t="shared" ca="1" si="159"/>
        <v>3.0027493095480455</v>
      </c>
      <c r="B1466" s="4" cm="1">
        <f t="array" aca="1" ref="B14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466" s="2">
        <f t="shared" ca="1" si="160"/>
        <v>3.0161058592825531</v>
      </c>
      <c r="D1466" s="4" t="str" cm="1">
        <f t="array" aca="1" ref="D14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66" s="2">
        <f t="shared" ca="1" si="161"/>
        <v>30.003041143602314</v>
      </c>
      <c r="F1466" s="4" t="str" cm="1">
        <f t="array" aca="1" ref="F14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66" s="2">
        <f t="shared" ca="1" si="162"/>
        <v>40.00873824480044</v>
      </c>
      <c r="H1466" s="47" t="str" cm="1">
        <f t="array" aca="1" ref="H14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67" spans="1:8" x14ac:dyDescent="0.25">
      <c r="A1467" s="2">
        <f t="shared" ca="1" si="159"/>
        <v>3.0017110150524764</v>
      </c>
      <c r="B1467" s="4" cm="1">
        <f t="array" aca="1" ref="B14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467" s="2">
        <f t="shared" ca="1" si="160"/>
        <v>3.024475829675104</v>
      </c>
      <c r="D1467" s="4" t="str" cm="1">
        <f t="array" aca="1" ref="D14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67" s="2">
        <f t="shared" ca="1" si="161"/>
        <v>30.00686302249013</v>
      </c>
      <c r="F1467" s="4" t="str" cm="1">
        <f t="array" aca="1" ref="F14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67" s="2">
        <f t="shared" ca="1" si="162"/>
        <v>40.006722741374041</v>
      </c>
      <c r="H1467" s="47" t="str" cm="1">
        <f t="array" aca="1" ref="H14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68" spans="1:8" x14ac:dyDescent="0.25">
      <c r="A1468" s="2">
        <f t="shared" ca="1" si="159"/>
        <v>3.0038869038685996</v>
      </c>
      <c r="B1468" s="4" cm="1">
        <f t="array" aca="1" ref="B14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468" s="2">
        <f t="shared" ca="1" si="160"/>
        <v>3.0133933224618601</v>
      </c>
      <c r="D1468" s="4" t="str" cm="1">
        <f t="array" aca="1" ref="D14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68" s="2">
        <f t="shared" ca="1" si="161"/>
        <v>30.02255903795875</v>
      </c>
      <c r="F1468" s="4" t="str" cm="1">
        <f t="array" aca="1" ref="F14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68" s="2">
        <f t="shared" ca="1" si="162"/>
        <v>40.018678569712485</v>
      </c>
      <c r="H1468" s="47" t="str" cm="1">
        <f t="array" aca="1" ref="H14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69" spans="1:8" x14ac:dyDescent="0.25">
      <c r="A1469" s="2">
        <f t="shared" ca="1" si="159"/>
        <v>3.0070396893273479</v>
      </c>
      <c r="B1469" s="4" cm="1">
        <f t="array" aca="1" ref="B14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469" s="2">
        <f t="shared" ca="1" si="160"/>
        <v>3.0292709994514859</v>
      </c>
      <c r="D1469" s="4" t="str" cm="1">
        <f t="array" aca="1" ref="D14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69" s="2">
        <f t="shared" ca="1" si="161"/>
        <v>30.00732756294066</v>
      </c>
      <c r="F1469" s="4" t="str" cm="1">
        <f t="array" aca="1" ref="F14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69" s="2">
        <f t="shared" ca="1" si="162"/>
        <v>40.001938546174934</v>
      </c>
      <c r="H1469" s="47" t="str" cm="1">
        <f t="array" aca="1" ref="H14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70" spans="1:8" x14ac:dyDescent="0.25">
      <c r="A1470" s="2">
        <f t="shared" ca="1" si="159"/>
        <v>3.0088021872796884</v>
      </c>
      <c r="B1470" s="4" cm="1">
        <f t="array" aca="1" ref="B14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470" s="2">
        <f t="shared" ca="1" si="160"/>
        <v>3.0254626299938194</v>
      </c>
      <c r="D1470" s="4" t="str" cm="1">
        <f t="array" aca="1" ref="D14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70" s="2">
        <f t="shared" ca="1" si="161"/>
        <v>30.010077783673488</v>
      </c>
      <c r="F1470" s="4" t="str" cm="1">
        <f t="array" aca="1" ref="F14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70" s="2">
        <f t="shared" ca="1" si="162"/>
        <v>40.015040197779015</v>
      </c>
      <c r="H1470" s="47" t="str" cm="1">
        <f t="array" aca="1" ref="H14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71" spans="1:8" x14ac:dyDescent="0.25">
      <c r="A1471" s="2">
        <f t="shared" ca="1" si="159"/>
        <v>3.0007164553259376</v>
      </c>
      <c r="B1471" s="4" cm="1">
        <f t="array" aca="1" ref="B14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471" s="2">
        <f t="shared" ca="1" si="160"/>
        <v>3.0007939751589965</v>
      </c>
      <c r="D1471" s="4" t="str" cm="1">
        <f t="array" aca="1" ref="D14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71" s="2">
        <f t="shared" ca="1" si="161"/>
        <v>30.019923393111235</v>
      </c>
      <c r="F1471" s="4" t="str" cm="1">
        <f t="array" aca="1" ref="F14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71" s="2">
        <f t="shared" ca="1" si="162"/>
        <v>40.000139291323762</v>
      </c>
      <c r="H1471" s="47" t="str" cm="1">
        <f t="array" aca="1" ref="H14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72" spans="1:8" x14ac:dyDescent="0.25">
      <c r="A1472" s="2">
        <f t="shared" ca="1" si="159"/>
        <v>3.0036696720666276</v>
      </c>
      <c r="B1472" s="4" cm="1">
        <f t="array" aca="1" ref="B14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472" s="2">
        <f t="shared" ca="1" si="160"/>
        <v>3.0062900408631288</v>
      </c>
      <c r="D1472" s="4" t="str" cm="1">
        <f t="array" aca="1" ref="D14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72" s="2">
        <f t="shared" ca="1" si="161"/>
        <v>30.014462387859993</v>
      </c>
      <c r="F1472" s="4" t="str" cm="1">
        <f t="array" aca="1" ref="F14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72" s="2">
        <f t="shared" ca="1" si="162"/>
        <v>40.003546577041597</v>
      </c>
      <c r="H1472" s="47" t="str" cm="1">
        <f t="array" aca="1" ref="H14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73" spans="1:8" x14ac:dyDescent="0.25">
      <c r="A1473" s="2">
        <f t="shared" ca="1" si="159"/>
        <v>3.0090479879478544</v>
      </c>
      <c r="B1473" s="4" cm="1">
        <f t="array" aca="1" ref="B14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473" s="2">
        <f t="shared" ca="1" si="160"/>
        <v>3.008515727629661</v>
      </c>
      <c r="D1473" s="4" t="str" cm="1">
        <f t="array" aca="1" ref="D14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73" s="2">
        <f t="shared" ca="1" si="161"/>
        <v>30.017085969832863</v>
      </c>
      <c r="F1473" s="4" t="str" cm="1">
        <f t="array" aca="1" ref="F14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73" s="2">
        <f t="shared" ca="1" si="162"/>
        <v>40.015209266300189</v>
      </c>
      <c r="H1473" s="47" t="str" cm="1">
        <f t="array" aca="1" ref="H14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74" spans="1:8" x14ac:dyDescent="0.25">
      <c r="A1474" s="2">
        <f t="shared" ref="A1474:A1537" ca="1" si="163">3+RAND()*0.01</f>
        <v>3.0065323078107462</v>
      </c>
      <c r="B1474" s="4" cm="1">
        <f t="array" aca="1" ref="B14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474" s="2">
        <f t="shared" ref="C1474:C1537" ca="1" si="164">3+RAND()*0.03</f>
        <v>3.0002373973198488</v>
      </c>
      <c r="D1474" s="4" t="str" cm="1">
        <f t="array" aca="1" ref="D14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74" s="2">
        <f t="shared" ref="E1474:E1537" ca="1" si="165">30+RAND()*0.03</f>
        <v>30.024109105461182</v>
      </c>
      <c r="F1474" s="4" t="str" cm="1">
        <f t="array" aca="1" ref="F14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74" s="2">
        <f t="shared" ref="G1474:G1537" ca="1" si="166">40+RAND()*0.03</f>
        <v>40.014862348399511</v>
      </c>
      <c r="H1474" s="47" t="str" cm="1">
        <f t="array" aca="1" ref="H14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75" spans="1:8" x14ac:dyDescent="0.25">
      <c r="A1475" s="2">
        <f t="shared" ca="1" si="163"/>
        <v>3.0001878543339875</v>
      </c>
      <c r="B1475" s="4" cm="1">
        <f t="array" aca="1" ref="B14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475" s="2">
        <f t="shared" ca="1" si="164"/>
        <v>3.0294286094902527</v>
      </c>
      <c r="D1475" s="4" t="str" cm="1">
        <f t="array" aca="1" ref="D14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75" s="2">
        <f t="shared" ca="1" si="165"/>
        <v>30.000239802496282</v>
      </c>
      <c r="F1475" s="4" t="str" cm="1">
        <f t="array" aca="1" ref="F14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75" s="2">
        <f t="shared" ca="1" si="166"/>
        <v>40.00033027417733</v>
      </c>
      <c r="H1475" s="47" t="str" cm="1">
        <f t="array" aca="1" ref="H14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76" spans="1:8" x14ac:dyDescent="0.25">
      <c r="A1476" s="2">
        <f t="shared" ca="1" si="163"/>
        <v>3.008562921021825</v>
      </c>
      <c r="B1476" s="4" cm="1">
        <f t="array" aca="1" ref="B14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476" s="2">
        <f t="shared" ca="1" si="164"/>
        <v>3.0099360206403936</v>
      </c>
      <c r="D1476" s="4" t="str" cm="1">
        <f t="array" aca="1" ref="D14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76" s="2">
        <f t="shared" ca="1" si="165"/>
        <v>30.014864781920064</v>
      </c>
      <c r="F1476" s="4" t="str" cm="1">
        <f t="array" aca="1" ref="F14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76" s="2">
        <f t="shared" ca="1" si="166"/>
        <v>40.008514192648434</v>
      </c>
      <c r="H1476" s="47" t="str" cm="1">
        <f t="array" aca="1" ref="H14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77" spans="1:8" x14ac:dyDescent="0.25">
      <c r="A1477" s="2">
        <f t="shared" ca="1" si="163"/>
        <v>3.0096065404325065</v>
      </c>
      <c r="B1477" s="4" cm="1">
        <f t="array" aca="1" ref="B14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477" s="2">
        <f t="shared" ca="1" si="164"/>
        <v>3.0198477781345772</v>
      </c>
      <c r="D1477" s="4" t="str" cm="1">
        <f t="array" aca="1" ref="D14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77" s="2">
        <f t="shared" ca="1" si="165"/>
        <v>30.00884741794696</v>
      </c>
      <c r="F1477" s="4" t="str" cm="1">
        <f t="array" aca="1" ref="F14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77" s="2">
        <f t="shared" ca="1" si="166"/>
        <v>40.013131457215529</v>
      </c>
      <c r="H1477" s="47" t="str" cm="1">
        <f t="array" aca="1" ref="H14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78" spans="1:8" x14ac:dyDescent="0.25">
      <c r="A1478" s="2">
        <f t="shared" ca="1" si="163"/>
        <v>3.0062808010869877</v>
      </c>
      <c r="B1478" s="4" cm="1">
        <f t="array" aca="1" ref="B14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478" s="2">
        <f t="shared" ca="1" si="164"/>
        <v>3.0107288780493078</v>
      </c>
      <c r="D1478" s="4" t="str" cm="1">
        <f t="array" aca="1" ref="D14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78" s="2">
        <f t="shared" ca="1" si="165"/>
        <v>30.012354745895173</v>
      </c>
      <c r="F1478" s="4" t="str" cm="1">
        <f t="array" aca="1" ref="F14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78" s="2">
        <f t="shared" ca="1" si="166"/>
        <v>40.009307290172465</v>
      </c>
      <c r="H1478" s="47" t="str" cm="1">
        <f t="array" aca="1" ref="H14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79" spans="1:8" x14ac:dyDescent="0.25">
      <c r="A1479" s="2">
        <f t="shared" ca="1" si="163"/>
        <v>3.0079877358918496</v>
      </c>
      <c r="B1479" s="4" cm="1">
        <f t="array" aca="1" ref="B14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479" s="2">
        <f t="shared" ca="1" si="164"/>
        <v>3.0104475108740818</v>
      </c>
      <c r="D1479" s="4" t="str" cm="1">
        <f t="array" aca="1" ref="D14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79" s="2">
        <f t="shared" ca="1" si="165"/>
        <v>30.01157074636518</v>
      </c>
      <c r="F1479" s="4" t="str" cm="1">
        <f t="array" aca="1" ref="F14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79" s="2">
        <f t="shared" ca="1" si="166"/>
        <v>40.029215035988102</v>
      </c>
      <c r="H1479" s="47" t="str" cm="1">
        <f t="array" aca="1" ref="H14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80" spans="1:8" x14ac:dyDescent="0.25">
      <c r="A1480" s="2">
        <f t="shared" ca="1" si="163"/>
        <v>3.009725563512772</v>
      </c>
      <c r="B1480" s="4" cm="1">
        <f t="array" aca="1" ref="B14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480" s="2">
        <f t="shared" ca="1" si="164"/>
        <v>3.0283525101754374</v>
      </c>
      <c r="D1480" s="4" t="str" cm="1">
        <f t="array" aca="1" ref="D14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80" s="2">
        <f t="shared" ca="1" si="165"/>
        <v>30.001224975977308</v>
      </c>
      <c r="F1480" s="4" t="str" cm="1">
        <f t="array" aca="1" ref="F14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80" s="2">
        <f t="shared" ca="1" si="166"/>
        <v>40.003289967831741</v>
      </c>
      <c r="H1480" s="47" t="str" cm="1">
        <f t="array" aca="1" ref="H14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81" spans="1:8" x14ac:dyDescent="0.25">
      <c r="A1481" s="2">
        <f t="shared" ca="1" si="163"/>
        <v>3.0062799045476796</v>
      </c>
      <c r="B1481" s="4" cm="1">
        <f t="array" aca="1" ref="B14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481" s="2">
        <f t="shared" ca="1" si="164"/>
        <v>3.0005481898631232</v>
      </c>
      <c r="D1481" s="4" t="str" cm="1">
        <f t="array" aca="1" ref="D14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81" s="2">
        <f t="shared" ca="1" si="165"/>
        <v>30.010604179497328</v>
      </c>
      <c r="F1481" s="4" t="str" cm="1">
        <f t="array" aca="1" ref="F14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81" s="2">
        <f t="shared" ca="1" si="166"/>
        <v>40.021685147243772</v>
      </c>
      <c r="H1481" s="47" t="str" cm="1">
        <f t="array" aca="1" ref="H14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82" spans="1:8" x14ac:dyDescent="0.25">
      <c r="A1482" s="2">
        <f t="shared" ca="1" si="163"/>
        <v>3.0098049542054524</v>
      </c>
      <c r="B1482" s="4" cm="1">
        <f t="array" aca="1" ref="B14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482" s="2">
        <f t="shared" ca="1" si="164"/>
        <v>3.0010840015712028</v>
      </c>
      <c r="D1482" s="4" t="str" cm="1">
        <f t="array" aca="1" ref="D14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82" s="2">
        <f t="shared" ca="1" si="165"/>
        <v>30.006979124074189</v>
      </c>
      <c r="F1482" s="4" t="str" cm="1">
        <f t="array" aca="1" ref="F14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82" s="2">
        <f t="shared" ca="1" si="166"/>
        <v>40.000985908377608</v>
      </c>
      <c r="H1482" s="47" t="str" cm="1">
        <f t="array" aca="1" ref="H14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83" spans="1:8" x14ac:dyDescent="0.25">
      <c r="A1483" s="2">
        <f t="shared" ca="1" si="163"/>
        <v>3.0074938460734568</v>
      </c>
      <c r="B1483" s="4" cm="1">
        <f t="array" aca="1" ref="B14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483" s="2">
        <f t="shared" ca="1" si="164"/>
        <v>3.0102221385009296</v>
      </c>
      <c r="D1483" s="4" t="str" cm="1">
        <f t="array" aca="1" ref="D14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83" s="2">
        <f t="shared" ca="1" si="165"/>
        <v>30.016229850961583</v>
      </c>
      <c r="F1483" s="4" t="str" cm="1">
        <f t="array" aca="1" ref="F14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83" s="2">
        <f t="shared" ca="1" si="166"/>
        <v>40.023666616890743</v>
      </c>
      <c r="H1483" s="47" t="str" cm="1">
        <f t="array" aca="1" ref="H14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84" spans="1:8" x14ac:dyDescent="0.25">
      <c r="A1484" s="2">
        <f t="shared" ca="1" si="163"/>
        <v>3.0062669233531549</v>
      </c>
      <c r="B1484" s="4" cm="1">
        <f t="array" aca="1" ref="B14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484" s="2">
        <f t="shared" ca="1" si="164"/>
        <v>3.0145808708723125</v>
      </c>
      <c r="D1484" s="4" t="str" cm="1">
        <f t="array" aca="1" ref="D14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84" s="2">
        <f t="shared" ca="1" si="165"/>
        <v>30.000550395731228</v>
      </c>
      <c r="F1484" s="4" t="str" cm="1">
        <f t="array" aca="1" ref="F14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84" s="2">
        <f t="shared" ca="1" si="166"/>
        <v>40.01847364439098</v>
      </c>
      <c r="H1484" s="47" t="str" cm="1">
        <f t="array" aca="1" ref="H14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85" spans="1:8" x14ac:dyDescent="0.25">
      <c r="A1485" s="2">
        <f t="shared" ca="1" si="163"/>
        <v>3.001328586051935</v>
      </c>
      <c r="B1485" s="4" cm="1">
        <f t="array" aca="1" ref="B14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485" s="2">
        <f t="shared" ca="1" si="164"/>
        <v>3.0290314559035436</v>
      </c>
      <c r="D1485" s="4" t="str" cm="1">
        <f t="array" aca="1" ref="D14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85" s="2">
        <f t="shared" ca="1" si="165"/>
        <v>30.004738988459128</v>
      </c>
      <c r="F1485" s="4" t="str" cm="1">
        <f t="array" aca="1" ref="F14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85" s="2">
        <f t="shared" ca="1" si="166"/>
        <v>40.004125844102397</v>
      </c>
      <c r="H1485" s="47" t="str" cm="1">
        <f t="array" aca="1" ref="H14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86" spans="1:8" x14ac:dyDescent="0.25">
      <c r="A1486" s="2">
        <f t="shared" ca="1" si="163"/>
        <v>3.0008685833487836</v>
      </c>
      <c r="B1486" s="4" cm="1">
        <f t="array" aca="1" ref="B14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486" s="2">
        <f t="shared" ca="1" si="164"/>
        <v>3.0090178925741471</v>
      </c>
      <c r="D1486" s="4" t="str" cm="1">
        <f t="array" aca="1" ref="D14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86" s="2">
        <f t="shared" ca="1" si="165"/>
        <v>30.019015582931953</v>
      </c>
      <c r="F1486" s="4" t="str" cm="1">
        <f t="array" aca="1" ref="F14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86" s="2">
        <f t="shared" ca="1" si="166"/>
        <v>40.020207770453325</v>
      </c>
      <c r="H1486" s="47" t="str" cm="1">
        <f t="array" aca="1" ref="H14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87" spans="1:8" x14ac:dyDescent="0.25">
      <c r="A1487" s="2">
        <f t="shared" ca="1" si="163"/>
        <v>3.0015477332151539</v>
      </c>
      <c r="B1487" s="4" cm="1">
        <f t="array" aca="1" ref="B14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487" s="2">
        <f t="shared" ca="1" si="164"/>
        <v>3.0260494723903948</v>
      </c>
      <c r="D1487" s="4" t="str" cm="1">
        <f t="array" aca="1" ref="D14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87" s="2">
        <f t="shared" ca="1" si="165"/>
        <v>30.009278389926166</v>
      </c>
      <c r="F1487" s="4" t="str" cm="1">
        <f t="array" aca="1" ref="F14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87" s="2">
        <f t="shared" ca="1" si="166"/>
        <v>40.011746346956905</v>
      </c>
      <c r="H1487" s="47" t="str" cm="1">
        <f t="array" aca="1" ref="H14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88" spans="1:8" x14ac:dyDescent="0.25">
      <c r="A1488" s="2">
        <f t="shared" ca="1" si="163"/>
        <v>3.0096623531590145</v>
      </c>
      <c r="B1488" s="4" cm="1">
        <f t="array" aca="1" ref="B14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488" s="2">
        <f t="shared" ca="1" si="164"/>
        <v>3.0292004324386781</v>
      </c>
      <c r="D1488" s="4" t="str" cm="1">
        <f t="array" aca="1" ref="D14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88" s="2">
        <f t="shared" ca="1" si="165"/>
        <v>30.004840850340262</v>
      </c>
      <c r="F1488" s="4" t="str" cm="1">
        <f t="array" aca="1" ref="F14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88" s="2">
        <f t="shared" ca="1" si="166"/>
        <v>40.001889250709318</v>
      </c>
      <c r="H1488" s="47" t="str" cm="1">
        <f t="array" aca="1" ref="H14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89" spans="1:8" x14ac:dyDescent="0.25">
      <c r="A1489" s="2">
        <f t="shared" ca="1" si="163"/>
        <v>3.0024429656067562</v>
      </c>
      <c r="B1489" s="4" cm="1">
        <f t="array" aca="1" ref="B14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489" s="2">
        <f t="shared" ca="1" si="164"/>
        <v>3.0067163531609755</v>
      </c>
      <c r="D1489" s="4" t="str" cm="1">
        <f t="array" aca="1" ref="D14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89" s="2">
        <f t="shared" ca="1" si="165"/>
        <v>30.007730414733654</v>
      </c>
      <c r="F1489" s="4" t="str" cm="1">
        <f t="array" aca="1" ref="F14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89" s="2">
        <f t="shared" ca="1" si="166"/>
        <v>40.026949342304668</v>
      </c>
      <c r="H1489" s="47" t="str" cm="1">
        <f t="array" aca="1" ref="H14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90" spans="1:8" x14ac:dyDescent="0.25">
      <c r="A1490" s="2">
        <f t="shared" ca="1" si="163"/>
        <v>3.0040395459503157</v>
      </c>
      <c r="B1490" s="4" cm="1">
        <f t="array" aca="1" ref="B14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490" s="2">
        <f t="shared" ca="1" si="164"/>
        <v>3.0087296235937511</v>
      </c>
      <c r="D1490" s="4" t="str" cm="1">
        <f t="array" aca="1" ref="D14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90" s="2">
        <f t="shared" ca="1" si="165"/>
        <v>30.021887192807686</v>
      </c>
      <c r="F1490" s="4" t="str" cm="1">
        <f t="array" aca="1" ref="F14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90" s="2">
        <f t="shared" ca="1" si="166"/>
        <v>40.004580838069508</v>
      </c>
      <c r="H1490" s="47" t="str" cm="1">
        <f t="array" aca="1" ref="H14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91" spans="1:8" x14ac:dyDescent="0.25">
      <c r="A1491" s="2">
        <f t="shared" ca="1" si="163"/>
        <v>3.0087781677430536</v>
      </c>
      <c r="B1491" s="4" cm="1">
        <f t="array" aca="1" ref="B14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491" s="2">
        <f t="shared" ca="1" si="164"/>
        <v>3.0158213253923059</v>
      </c>
      <c r="D1491" s="4" t="str" cm="1">
        <f t="array" aca="1" ref="D14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91" s="2">
        <f t="shared" ca="1" si="165"/>
        <v>30.007216258867626</v>
      </c>
      <c r="F1491" s="4" t="str" cm="1">
        <f t="array" aca="1" ref="F14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91" s="2">
        <f t="shared" ca="1" si="166"/>
        <v>40.00307256372065</v>
      </c>
      <c r="H1491" s="47" t="str" cm="1">
        <f t="array" aca="1" ref="H14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92" spans="1:8" x14ac:dyDescent="0.25">
      <c r="A1492" s="2">
        <f t="shared" ca="1" si="163"/>
        <v>3.0099988642461804</v>
      </c>
      <c r="B1492" s="4" cm="1">
        <f t="array" aca="1" ref="B14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492" s="2">
        <f t="shared" ca="1" si="164"/>
        <v>3.0220502436208108</v>
      </c>
      <c r="D1492" s="4" t="str" cm="1">
        <f t="array" aca="1" ref="D14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92" s="2">
        <f t="shared" ca="1" si="165"/>
        <v>30.020278005692134</v>
      </c>
      <c r="F1492" s="4" t="str" cm="1">
        <f t="array" aca="1" ref="F14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92" s="2">
        <f t="shared" ca="1" si="166"/>
        <v>40.018592403511178</v>
      </c>
      <c r="H1492" s="47" t="str" cm="1">
        <f t="array" aca="1" ref="H14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93" spans="1:8" x14ac:dyDescent="0.25">
      <c r="A1493" s="2">
        <f t="shared" ca="1" si="163"/>
        <v>3.0097535108178826</v>
      </c>
      <c r="B1493" s="4" cm="1">
        <f t="array" aca="1" ref="B14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493" s="2">
        <f t="shared" ca="1" si="164"/>
        <v>3.0132485057631326</v>
      </c>
      <c r="D1493" s="4" t="str" cm="1">
        <f t="array" aca="1" ref="D14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93" s="2">
        <f t="shared" ca="1" si="165"/>
        <v>30.012406110564829</v>
      </c>
      <c r="F1493" s="4" t="str" cm="1">
        <f t="array" aca="1" ref="F14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93" s="2">
        <f t="shared" ca="1" si="166"/>
        <v>40.00961078870418</v>
      </c>
      <c r="H1493" s="47" t="str" cm="1">
        <f t="array" aca="1" ref="H14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94" spans="1:8" x14ac:dyDescent="0.25">
      <c r="A1494" s="2">
        <f t="shared" ca="1" si="163"/>
        <v>3.0036443767974412</v>
      </c>
      <c r="B1494" s="4" cm="1">
        <f t="array" aca="1" ref="B14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494" s="2">
        <f t="shared" ca="1" si="164"/>
        <v>3.0158825072877868</v>
      </c>
      <c r="D1494" s="4" t="str" cm="1">
        <f t="array" aca="1" ref="D14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94" s="2">
        <f t="shared" ca="1" si="165"/>
        <v>30.003386429927783</v>
      </c>
      <c r="F1494" s="4" t="str" cm="1">
        <f t="array" aca="1" ref="F14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94" s="2">
        <f t="shared" ca="1" si="166"/>
        <v>40.015253528112837</v>
      </c>
      <c r="H1494" s="47" t="str" cm="1">
        <f t="array" aca="1" ref="H14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95" spans="1:8" x14ac:dyDescent="0.25">
      <c r="A1495" s="2">
        <f t="shared" ca="1" si="163"/>
        <v>3.0037193266714382</v>
      </c>
      <c r="B1495" s="4" cm="1">
        <f t="array" aca="1" ref="B14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495" s="2">
        <f t="shared" ca="1" si="164"/>
        <v>3.0163925674884915</v>
      </c>
      <c r="D1495" s="4" t="str" cm="1">
        <f t="array" aca="1" ref="D14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95" s="2">
        <f t="shared" ca="1" si="165"/>
        <v>30.004494279831459</v>
      </c>
      <c r="F1495" s="4" t="str" cm="1">
        <f t="array" aca="1" ref="F14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95" s="2">
        <f t="shared" ca="1" si="166"/>
        <v>40.022738761536189</v>
      </c>
      <c r="H1495" s="47" t="str" cm="1">
        <f t="array" aca="1" ref="H14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496" spans="1:8" x14ac:dyDescent="0.25">
      <c r="A1496" s="2">
        <f t="shared" ca="1" si="163"/>
        <v>3.0078925207101781</v>
      </c>
      <c r="B1496" s="4" cm="1">
        <f t="array" aca="1" ref="B14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496" s="2">
        <f t="shared" ca="1" si="164"/>
        <v>3.0143152984572135</v>
      </c>
      <c r="D1496" s="4" t="str" cm="1">
        <f t="array" aca="1" ref="D14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496" s="2">
        <f t="shared" ca="1" si="165"/>
        <v>30.013484749436767</v>
      </c>
      <c r="F1496" s="4" t="str" cm="1">
        <f t="array" aca="1" ref="F14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496" s="2">
        <f t="shared" ca="1" si="166"/>
        <v>40.017905440965748</v>
      </c>
      <c r="H1496" s="47" t="str" cm="1">
        <f t="array" aca="1" ref="H14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497" spans="1:8" x14ac:dyDescent="0.25">
      <c r="A1497" s="2">
        <f t="shared" ca="1" si="163"/>
        <v>3.0014973173480319</v>
      </c>
      <c r="B1497" s="4" cm="1">
        <f t="array" aca="1" ref="B14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497" s="2">
        <f t="shared" ca="1" si="164"/>
        <v>3.0093235136198797</v>
      </c>
      <c r="D1497" s="4" t="str" cm="1">
        <f t="array" aca="1" ref="D14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97" s="2">
        <f t="shared" ca="1" si="165"/>
        <v>30.001343151118565</v>
      </c>
      <c r="F1497" s="4" t="str" cm="1">
        <f t="array" aca="1" ref="F14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497" s="2">
        <f t="shared" ca="1" si="166"/>
        <v>40.006252059968631</v>
      </c>
      <c r="H1497" s="47" t="str" cm="1">
        <f t="array" aca="1" ref="H14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98" spans="1:8" x14ac:dyDescent="0.25">
      <c r="A1498" s="2">
        <f t="shared" ca="1" si="163"/>
        <v>3.0066770385497703</v>
      </c>
      <c r="B1498" s="4" cm="1">
        <f t="array" aca="1" ref="B14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498" s="2">
        <f t="shared" ca="1" si="164"/>
        <v>3.0222271771272591</v>
      </c>
      <c r="D1498" s="4" t="str" cm="1">
        <f t="array" aca="1" ref="D14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498" s="2">
        <f t="shared" ca="1" si="165"/>
        <v>30.025574319963198</v>
      </c>
      <c r="F1498" s="4" t="str" cm="1">
        <f t="array" aca="1" ref="F14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98" s="2">
        <f t="shared" ca="1" si="166"/>
        <v>40.008445356344147</v>
      </c>
      <c r="H1498" s="47" t="str" cm="1">
        <f t="array" aca="1" ref="H14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499" spans="1:8" x14ac:dyDescent="0.25">
      <c r="A1499" s="2">
        <f t="shared" ca="1" si="163"/>
        <v>3.00093835508406</v>
      </c>
      <c r="B1499" s="4" cm="1">
        <f t="array" aca="1" ref="B14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499" s="2">
        <f t="shared" ca="1" si="164"/>
        <v>3.0054347018952252</v>
      </c>
      <c r="D1499" s="4" t="str" cm="1">
        <f t="array" aca="1" ref="D14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499" s="2">
        <f t="shared" ca="1" si="165"/>
        <v>30.020688232815338</v>
      </c>
      <c r="F1499" s="4" t="str" cm="1">
        <f t="array" aca="1" ref="F14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499" s="2">
        <f t="shared" ca="1" si="166"/>
        <v>40.019543856257862</v>
      </c>
      <c r="H1499" s="47" t="str" cm="1">
        <f t="array" aca="1" ref="H14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00" spans="1:8" x14ac:dyDescent="0.25">
      <c r="A1500" s="2">
        <f t="shared" ca="1" si="163"/>
        <v>3.0002834345383231</v>
      </c>
      <c r="B1500" s="4" cm="1">
        <f t="array" aca="1" ref="B15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500" s="2">
        <f t="shared" ca="1" si="164"/>
        <v>3.018338275108996</v>
      </c>
      <c r="D1500" s="4" t="str" cm="1">
        <f t="array" aca="1" ref="D15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00" s="2">
        <f t="shared" ca="1" si="165"/>
        <v>30.017398144155063</v>
      </c>
      <c r="F1500" s="4" t="str" cm="1">
        <f t="array" aca="1" ref="F15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00" s="2">
        <f t="shared" ca="1" si="166"/>
        <v>40.028694309846657</v>
      </c>
      <c r="H1500" s="47" t="str" cm="1">
        <f t="array" aca="1" ref="H15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01" spans="1:8" x14ac:dyDescent="0.25">
      <c r="A1501" s="2">
        <f t="shared" ca="1" si="163"/>
        <v>3.0050711514931021</v>
      </c>
      <c r="B1501" s="4" cm="1">
        <f t="array" aca="1" ref="B15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501" s="2">
        <f t="shared" ca="1" si="164"/>
        <v>3.0102701405423682</v>
      </c>
      <c r="D1501" s="4" t="str" cm="1">
        <f t="array" aca="1" ref="D15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01" s="2">
        <f t="shared" ca="1" si="165"/>
        <v>30.020721444796717</v>
      </c>
      <c r="F1501" s="4" t="str" cm="1">
        <f t="array" aca="1" ref="F15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01" s="2">
        <f t="shared" ca="1" si="166"/>
        <v>40.026852264137766</v>
      </c>
      <c r="H1501" s="47" t="str" cm="1">
        <f t="array" aca="1" ref="H15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02" spans="1:8" x14ac:dyDescent="0.25">
      <c r="A1502" s="2">
        <f t="shared" ca="1" si="163"/>
        <v>3.0032463434629624</v>
      </c>
      <c r="B1502" s="4" cm="1">
        <f t="array" aca="1" ref="B15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502" s="2">
        <f t="shared" ca="1" si="164"/>
        <v>3.0035248875817642</v>
      </c>
      <c r="D1502" s="4" t="str" cm="1">
        <f t="array" aca="1" ref="D15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02" s="2">
        <f t="shared" ca="1" si="165"/>
        <v>30.004520384414221</v>
      </c>
      <c r="F1502" s="4" t="str" cm="1">
        <f t="array" aca="1" ref="F15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02" s="2">
        <f t="shared" ca="1" si="166"/>
        <v>40.018191661134125</v>
      </c>
      <c r="H1502" s="47" t="str" cm="1">
        <f t="array" aca="1" ref="H15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03" spans="1:8" x14ac:dyDescent="0.25">
      <c r="A1503" s="2">
        <f t="shared" ca="1" si="163"/>
        <v>3.0026040733510007</v>
      </c>
      <c r="B1503" s="4" cm="1">
        <f t="array" aca="1" ref="B15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503" s="2">
        <f t="shared" ca="1" si="164"/>
        <v>3.0072513551929623</v>
      </c>
      <c r="D1503" s="4" t="str" cm="1">
        <f t="array" aca="1" ref="D15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03" s="2">
        <f t="shared" ca="1" si="165"/>
        <v>30.004403075081367</v>
      </c>
      <c r="F1503" s="4" t="str" cm="1">
        <f t="array" aca="1" ref="F15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03" s="2">
        <f t="shared" ca="1" si="166"/>
        <v>40.019149085723413</v>
      </c>
      <c r="H1503" s="47" t="str" cm="1">
        <f t="array" aca="1" ref="H15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04" spans="1:8" x14ac:dyDescent="0.25">
      <c r="A1504" s="2">
        <f t="shared" ca="1" si="163"/>
        <v>3.0009158359032906</v>
      </c>
      <c r="B1504" s="4" cm="1">
        <f t="array" aca="1" ref="B15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504" s="2">
        <f t="shared" ca="1" si="164"/>
        <v>3.0177344531866224</v>
      </c>
      <c r="D1504" s="4" t="str" cm="1">
        <f t="array" aca="1" ref="D15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04" s="2">
        <f t="shared" ca="1" si="165"/>
        <v>30.017444529218277</v>
      </c>
      <c r="F1504" s="4" t="str" cm="1">
        <f t="array" aca="1" ref="F15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04" s="2">
        <f t="shared" ca="1" si="166"/>
        <v>40.011860369460585</v>
      </c>
      <c r="H1504" s="47" t="str" cm="1">
        <f t="array" aca="1" ref="H15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05" spans="1:8" x14ac:dyDescent="0.25">
      <c r="A1505" s="2">
        <f t="shared" ca="1" si="163"/>
        <v>3.0072507740239733</v>
      </c>
      <c r="B1505" s="4" cm="1">
        <f t="array" aca="1" ref="B15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505" s="2">
        <f t="shared" ca="1" si="164"/>
        <v>3.0224268951455935</v>
      </c>
      <c r="D1505" s="4" t="str" cm="1">
        <f t="array" aca="1" ref="D15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05" s="2">
        <f t="shared" ca="1" si="165"/>
        <v>30.02975814207365</v>
      </c>
      <c r="F1505" s="4" t="str" cm="1">
        <f t="array" aca="1" ref="F15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05" s="2">
        <f t="shared" ca="1" si="166"/>
        <v>40.025623378064545</v>
      </c>
      <c r="H1505" s="47" t="str" cm="1">
        <f t="array" aca="1" ref="H15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06" spans="1:8" x14ac:dyDescent="0.25">
      <c r="A1506" s="2">
        <f t="shared" ca="1" si="163"/>
        <v>3.0077927625570413</v>
      </c>
      <c r="B1506" s="4" cm="1">
        <f t="array" aca="1" ref="B15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506" s="2">
        <f t="shared" ca="1" si="164"/>
        <v>3.0256908197225671</v>
      </c>
      <c r="D1506" s="4" t="str" cm="1">
        <f t="array" aca="1" ref="D15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06" s="2">
        <f t="shared" ca="1" si="165"/>
        <v>30.028529759494354</v>
      </c>
      <c r="F1506" s="4" t="str" cm="1">
        <f t="array" aca="1" ref="F15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06" s="2">
        <f t="shared" ca="1" si="166"/>
        <v>40.004864531913903</v>
      </c>
      <c r="H1506" s="47" t="str" cm="1">
        <f t="array" aca="1" ref="H15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07" spans="1:8" x14ac:dyDescent="0.25">
      <c r="A1507" s="2">
        <f t="shared" ca="1" si="163"/>
        <v>3.0096586756258747</v>
      </c>
      <c r="B1507" s="4" cm="1">
        <f t="array" aca="1" ref="B15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507" s="2">
        <f t="shared" ca="1" si="164"/>
        <v>3.0282073121179334</v>
      </c>
      <c r="D1507" s="4" t="str" cm="1">
        <f t="array" aca="1" ref="D15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07" s="2">
        <f t="shared" ca="1" si="165"/>
        <v>30.006907208734379</v>
      </c>
      <c r="F1507" s="4" t="str" cm="1">
        <f t="array" aca="1" ref="F15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07" s="2">
        <f t="shared" ca="1" si="166"/>
        <v>40.022279182449836</v>
      </c>
      <c r="H1507" s="47" t="str" cm="1">
        <f t="array" aca="1" ref="H15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08" spans="1:8" x14ac:dyDescent="0.25">
      <c r="A1508" s="2">
        <f t="shared" ca="1" si="163"/>
        <v>3.0052525211915273</v>
      </c>
      <c r="B1508" s="4" cm="1">
        <f t="array" aca="1" ref="B15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508" s="2">
        <f t="shared" ca="1" si="164"/>
        <v>3.0057202507619722</v>
      </c>
      <c r="D1508" s="4" t="str" cm="1">
        <f t="array" aca="1" ref="D15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08" s="2">
        <f t="shared" ca="1" si="165"/>
        <v>30.003863258889346</v>
      </c>
      <c r="F1508" s="4" t="str" cm="1">
        <f t="array" aca="1" ref="F15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08" s="2">
        <f t="shared" ca="1" si="166"/>
        <v>40.002046361892909</v>
      </c>
      <c r="H1508" s="47" t="str" cm="1">
        <f t="array" aca="1" ref="H15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09" spans="1:8" x14ac:dyDescent="0.25">
      <c r="A1509" s="2">
        <f t="shared" ca="1" si="163"/>
        <v>3.005952411126021</v>
      </c>
      <c r="B1509" s="4" cm="1">
        <f t="array" aca="1" ref="B15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509" s="2">
        <f t="shared" ca="1" si="164"/>
        <v>3.0137181465391825</v>
      </c>
      <c r="D1509" s="4" t="str" cm="1">
        <f t="array" aca="1" ref="D15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09" s="2">
        <f t="shared" ca="1" si="165"/>
        <v>30.011122569997973</v>
      </c>
      <c r="F1509" s="4" t="str" cm="1">
        <f t="array" aca="1" ref="F15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09" s="2">
        <f t="shared" ca="1" si="166"/>
        <v>40.011620074409684</v>
      </c>
      <c r="H1509" s="47" t="str" cm="1">
        <f t="array" aca="1" ref="H15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10" spans="1:8" x14ac:dyDescent="0.25">
      <c r="A1510" s="2">
        <f t="shared" ca="1" si="163"/>
        <v>3.0077015583976561</v>
      </c>
      <c r="B1510" s="4" cm="1">
        <f t="array" aca="1" ref="B15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510" s="2">
        <f t="shared" ca="1" si="164"/>
        <v>3.0285210501717992</v>
      </c>
      <c r="D1510" s="4" t="str" cm="1">
        <f t="array" aca="1" ref="D15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10" s="2">
        <f t="shared" ca="1" si="165"/>
        <v>30.022474117144114</v>
      </c>
      <c r="F1510" s="4" t="str" cm="1">
        <f t="array" aca="1" ref="F15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10" s="2">
        <f t="shared" ca="1" si="166"/>
        <v>40.029066906884104</v>
      </c>
      <c r="H1510" s="47" t="str" cm="1">
        <f t="array" aca="1" ref="H15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11" spans="1:8" x14ac:dyDescent="0.25">
      <c r="A1511" s="2">
        <f t="shared" ca="1" si="163"/>
        <v>3.0081398455758572</v>
      </c>
      <c r="B1511" s="4" cm="1">
        <f t="array" aca="1" ref="B15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511" s="2">
        <f t="shared" ca="1" si="164"/>
        <v>3.0096211483453508</v>
      </c>
      <c r="D1511" s="4" t="str" cm="1">
        <f t="array" aca="1" ref="D15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11" s="2">
        <f t="shared" ca="1" si="165"/>
        <v>30.000371861216333</v>
      </c>
      <c r="F1511" s="4" t="str" cm="1">
        <f t="array" aca="1" ref="F15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11" s="2">
        <f t="shared" ca="1" si="166"/>
        <v>40.018792316797821</v>
      </c>
      <c r="H1511" s="47" t="str" cm="1">
        <f t="array" aca="1" ref="H15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12" spans="1:8" x14ac:dyDescent="0.25">
      <c r="A1512" s="2">
        <f t="shared" ca="1" si="163"/>
        <v>3.0005806262788437</v>
      </c>
      <c r="B1512" s="4" cm="1">
        <f t="array" aca="1" ref="B15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512" s="2">
        <f t="shared" ca="1" si="164"/>
        <v>3.0086687582734482</v>
      </c>
      <c r="D1512" s="4" t="str" cm="1">
        <f t="array" aca="1" ref="D15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12" s="2">
        <f t="shared" ca="1" si="165"/>
        <v>30.000055842142409</v>
      </c>
      <c r="F1512" s="4" t="str" cm="1">
        <f t="array" aca="1" ref="F15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12" s="2">
        <f t="shared" ca="1" si="166"/>
        <v>40.010476978971226</v>
      </c>
      <c r="H1512" s="47" t="str" cm="1">
        <f t="array" aca="1" ref="H15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13" spans="1:8" x14ac:dyDescent="0.25">
      <c r="A1513" s="2">
        <f t="shared" ca="1" si="163"/>
        <v>3.0075816131320781</v>
      </c>
      <c r="B1513" s="4" cm="1">
        <f t="array" aca="1" ref="B15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513" s="2">
        <f t="shared" ca="1" si="164"/>
        <v>3.029237216822426</v>
      </c>
      <c r="D1513" s="4" t="str" cm="1">
        <f t="array" aca="1" ref="D15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13" s="2">
        <f t="shared" ca="1" si="165"/>
        <v>30.025441273918904</v>
      </c>
      <c r="F1513" s="4" t="str" cm="1">
        <f t="array" aca="1" ref="F15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13" s="2">
        <f t="shared" ca="1" si="166"/>
        <v>40.004919324894466</v>
      </c>
      <c r="H1513" s="47" t="str" cm="1">
        <f t="array" aca="1" ref="H15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14" spans="1:8" x14ac:dyDescent="0.25">
      <c r="A1514" s="2">
        <f t="shared" ca="1" si="163"/>
        <v>3.0075232520127417</v>
      </c>
      <c r="B1514" s="4" cm="1">
        <f t="array" aca="1" ref="B15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514" s="2">
        <f t="shared" ca="1" si="164"/>
        <v>3.009212330575683</v>
      </c>
      <c r="D1514" s="4" t="str" cm="1">
        <f t="array" aca="1" ref="D15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14" s="2">
        <f t="shared" ca="1" si="165"/>
        <v>30.009458179858775</v>
      </c>
      <c r="F1514" s="4" t="str" cm="1">
        <f t="array" aca="1" ref="F15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14" s="2">
        <f t="shared" ca="1" si="166"/>
        <v>40.004315571764415</v>
      </c>
      <c r="H1514" s="47" t="str" cm="1">
        <f t="array" aca="1" ref="H15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15" spans="1:8" x14ac:dyDescent="0.25">
      <c r="A1515" s="2">
        <f t="shared" ca="1" si="163"/>
        <v>3.0022545328391561</v>
      </c>
      <c r="B1515" s="4" cm="1">
        <f t="array" aca="1" ref="B15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515" s="2">
        <f t="shared" ca="1" si="164"/>
        <v>3.0095208442519836</v>
      </c>
      <c r="D1515" s="4" t="str" cm="1">
        <f t="array" aca="1" ref="D15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15" s="2">
        <f t="shared" ca="1" si="165"/>
        <v>30.002781846431734</v>
      </c>
      <c r="F1515" s="4" t="str" cm="1">
        <f t="array" aca="1" ref="F15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15" s="2">
        <f t="shared" ca="1" si="166"/>
        <v>40.021619392431589</v>
      </c>
      <c r="H1515" s="47" t="str" cm="1">
        <f t="array" aca="1" ref="H15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16" spans="1:8" x14ac:dyDescent="0.25">
      <c r="A1516" s="2">
        <f t="shared" ca="1" si="163"/>
        <v>3.0051298613435975</v>
      </c>
      <c r="B1516" s="4" cm="1">
        <f t="array" aca="1" ref="B15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516" s="2">
        <f t="shared" ca="1" si="164"/>
        <v>3.0060789495317652</v>
      </c>
      <c r="D1516" s="4" t="str" cm="1">
        <f t="array" aca="1" ref="D15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16" s="2">
        <f t="shared" ca="1" si="165"/>
        <v>30.018849548445036</v>
      </c>
      <c r="F1516" s="4" t="str" cm="1">
        <f t="array" aca="1" ref="F15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16" s="2">
        <f t="shared" ca="1" si="166"/>
        <v>40.015438031455311</v>
      </c>
      <c r="H1516" s="47" t="str" cm="1">
        <f t="array" aca="1" ref="H15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17" spans="1:8" x14ac:dyDescent="0.25">
      <c r="A1517" s="2">
        <f t="shared" ca="1" si="163"/>
        <v>3.0023254018989771</v>
      </c>
      <c r="B1517" s="4" cm="1">
        <f t="array" aca="1" ref="B15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517" s="2">
        <f t="shared" ca="1" si="164"/>
        <v>3.0298284568230414</v>
      </c>
      <c r="D1517" s="4" t="str" cm="1">
        <f t="array" aca="1" ref="D15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17" s="2">
        <f t="shared" ca="1" si="165"/>
        <v>30.000048465968373</v>
      </c>
      <c r="F1517" s="4" t="str" cm="1">
        <f t="array" aca="1" ref="F15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17" s="2">
        <f t="shared" ca="1" si="166"/>
        <v>40.023542834029762</v>
      </c>
      <c r="H1517" s="47" t="str" cm="1">
        <f t="array" aca="1" ref="H15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18" spans="1:8" x14ac:dyDescent="0.25">
      <c r="A1518" s="2">
        <f t="shared" ca="1" si="163"/>
        <v>3.0061039021688321</v>
      </c>
      <c r="B1518" s="4" cm="1">
        <f t="array" aca="1" ref="B15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518" s="2">
        <f t="shared" ca="1" si="164"/>
        <v>3.0112167797393337</v>
      </c>
      <c r="D1518" s="4" t="str" cm="1">
        <f t="array" aca="1" ref="D15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18" s="2">
        <f t="shared" ca="1" si="165"/>
        <v>30.002914551322437</v>
      </c>
      <c r="F1518" s="4" t="str" cm="1">
        <f t="array" aca="1" ref="F15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18" s="2">
        <f t="shared" ca="1" si="166"/>
        <v>40.009889251564744</v>
      </c>
      <c r="H1518" s="47" t="str" cm="1">
        <f t="array" aca="1" ref="H15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19" spans="1:8" x14ac:dyDescent="0.25">
      <c r="A1519" s="2">
        <f t="shared" ca="1" si="163"/>
        <v>3.0017947029520315</v>
      </c>
      <c r="B1519" s="4" cm="1">
        <f t="array" aca="1" ref="B15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519" s="2">
        <f t="shared" ca="1" si="164"/>
        <v>3.0140690833127337</v>
      </c>
      <c r="D1519" s="4" t="str" cm="1">
        <f t="array" aca="1" ref="D15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19" s="2">
        <f t="shared" ca="1" si="165"/>
        <v>30.017665154437108</v>
      </c>
      <c r="F1519" s="4" t="str" cm="1">
        <f t="array" aca="1" ref="F15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19" s="2">
        <f t="shared" ca="1" si="166"/>
        <v>40.023611933657214</v>
      </c>
      <c r="H1519" s="47" t="str" cm="1">
        <f t="array" aca="1" ref="H15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20" spans="1:8" x14ac:dyDescent="0.25">
      <c r="A1520" s="2">
        <f t="shared" ca="1" si="163"/>
        <v>3.0077890319882896</v>
      </c>
      <c r="B1520" s="4" cm="1">
        <f t="array" aca="1" ref="B15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520" s="2">
        <f t="shared" ca="1" si="164"/>
        <v>3.0286903365146491</v>
      </c>
      <c r="D1520" s="4" t="str" cm="1">
        <f t="array" aca="1" ref="D15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20" s="2">
        <f t="shared" ca="1" si="165"/>
        <v>30.011724568576344</v>
      </c>
      <c r="F1520" s="4" t="str" cm="1">
        <f t="array" aca="1" ref="F15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20" s="2">
        <f t="shared" ca="1" si="166"/>
        <v>40.013848616385637</v>
      </c>
      <c r="H1520" s="47" t="str" cm="1">
        <f t="array" aca="1" ref="H15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21" spans="1:8" x14ac:dyDescent="0.25">
      <c r="A1521" s="2">
        <f t="shared" ca="1" si="163"/>
        <v>3.0062306003721675</v>
      </c>
      <c r="B1521" s="4" cm="1">
        <f t="array" aca="1" ref="B15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521" s="2">
        <f t="shared" ca="1" si="164"/>
        <v>3.0042038946656153</v>
      </c>
      <c r="D1521" s="4" t="str" cm="1">
        <f t="array" aca="1" ref="D15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21" s="2">
        <f t="shared" ca="1" si="165"/>
        <v>30.02511597663797</v>
      </c>
      <c r="F1521" s="4" t="str" cm="1">
        <f t="array" aca="1" ref="F15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21" s="2">
        <f t="shared" ca="1" si="166"/>
        <v>40.028672252836905</v>
      </c>
      <c r="H1521" s="47" t="str" cm="1">
        <f t="array" aca="1" ref="H15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22" spans="1:8" x14ac:dyDescent="0.25">
      <c r="A1522" s="2">
        <f t="shared" ca="1" si="163"/>
        <v>3.0041191626609538</v>
      </c>
      <c r="B1522" s="4" cm="1">
        <f t="array" aca="1" ref="B15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522" s="2">
        <f t="shared" ca="1" si="164"/>
        <v>3.0269916789723847</v>
      </c>
      <c r="D1522" s="4" t="str" cm="1">
        <f t="array" aca="1" ref="D15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22" s="2">
        <f t="shared" ca="1" si="165"/>
        <v>30.019292792412386</v>
      </c>
      <c r="F1522" s="4" t="str" cm="1">
        <f t="array" aca="1" ref="F15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22" s="2">
        <f t="shared" ca="1" si="166"/>
        <v>40.013929948417029</v>
      </c>
      <c r="H1522" s="47" t="str" cm="1">
        <f t="array" aca="1" ref="H15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23" spans="1:8" x14ac:dyDescent="0.25">
      <c r="A1523" s="2">
        <f t="shared" ca="1" si="163"/>
        <v>3.0040004735135524</v>
      </c>
      <c r="B1523" s="4" cm="1">
        <f t="array" aca="1" ref="B15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523" s="2">
        <f t="shared" ca="1" si="164"/>
        <v>3.0064630235675374</v>
      </c>
      <c r="D1523" s="4" t="str" cm="1">
        <f t="array" aca="1" ref="D15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23" s="2">
        <f t="shared" ca="1" si="165"/>
        <v>30.012083490732937</v>
      </c>
      <c r="F1523" s="4" t="str" cm="1">
        <f t="array" aca="1" ref="F15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23" s="2">
        <f t="shared" ca="1" si="166"/>
        <v>40.007383345996203</v>
      </c>
      <c r="H1523" s="47" t="str" cm="1">
        <f t="array" aca="1" ref="H15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24" spans="1:8" x14ac:dyDescent="0.25">
      <c r="A1524" s="2">
        <f t="shared" ca="1" si="163"/>
        <v>3.0091674862723132</v>
      </c>
      <c r="B1524" s="4" cm="1">
        <f t="array" aca="1" ref="B15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524" s="2">
        <f t="shared" ca="1" si="164"/>
        <v>3.0091677816452758</v>
      </c>
      <c r="D1524" s="4" t="str" cm="1">
        <f t="array" aca="1" ref="D15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24" s="2">
        <f t="shared" ca="1" si="165"/>
        <v>30.011688716752591</v>
      </c>
      <c r="F1524" s="4" t="str" cm="1">
        <f t="array" aca="1" ref="F15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24" s="2">
        <f t="shared" ca="1" si="166"/>
        <v>40.002469174585457</v>
      </c>
      <c r="H1524" s="47" t="str" cm="1">
        <f t="array" aca="1" ref="H15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25" spans="1:8" x14ac:dyDescent="0.25">
      <c r="A1525" s="2">
        <f t="shared" ca="1" si="163"/>
        <v>3.0093208263598212</v>
      </c>
      <c r="B1525" s="4" cm="1">
        <f t="array" aca="1" ref="B15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525" s="2">
        <f t="shared" ca="1" si="164"/>
        <v>3.0225601748822339</v>
      </c>
      <c r="D1525" s="4" t="str" cm="1">
        <f t="array" aca="1" ref="D15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25" s="2">
        <f t="shared" ca="1" si="165"/>
        <v>30.017792760323893</v>
      </c>
      <c r="F1525" s="4" t="str" cm="1">
        <f t="array" aca="1" ref="F15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25" s="2">
        <f t="shared" ca="1" si="166"/>
        <v>40.012228993174936</v>
      </c>
      <c r="H1525" s="47" t="str" cm="1">
        <f t="array" aca="1" ref="H15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26" spans="1:8" x14ac:dyDescent="0.25">
      <c r="A1526" s="2">
        <f t="shared" ca="1" si="163"/>
        <v>3.0015953716962835</v>
      </c>
      <c r="B1526" s="4" cm="1">
        <f t="array" aca="1" ref="B15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526" s="2">
        <f t="shared" ca="1" si="164"/>
        <v>3.0177490093833685</v>
      </c>
      <c r="D1526" s="4" t="str" cm="1">
        <f t="array" aca="1" ref="D15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26" s="2">
        <f t="shared" ca="1" si="165"/>
        <v>30.029810465666401</v>
      </c>
      <c r="F1526" s="4" t="str" cm="1">
        <f t="array" aca="1" ref="F15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26" s="2">
        <f t="shared" ca="1" si="166"/>
        <v>40.024209871343956</v>
      </c>
      <c r="H1526" s="47" t="str" cm="1">
        <f t="array" aca="1" ref="H15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27" spans="1:8" x14ac:dyDescent="0.25">
      <c r="A1527" s="2">
        <f t="shared" ca="1" si="163"/>
        <v>3.0038201548217391</v>
      </c>
      <c r="B1527" s="4" cm="1">
        <f t="array" aca="1" ref="B15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527" s="2">
        <f t="shared" ca="1" si="164"/>
        <v>3.0064038602693994</v>
      </c>
      <c r="D1527" s="4" t="str" cm="1">
        <f t="array" aca="1" ref="D15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27" s="2">
        <f t="shared" ca="1" si="165"/>
        <v>30.027362391292304</v>
      </c>
      <c r="F1527" s="4" t="str" cm="1">
        <f t="array" aca="1" ref="F15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27" s="2">
        <f t="shared" ca="1" si="166"/>
        <v>40.021068806965793</v>
      </c>
      <c r="H1527" s="47" t="str" cm="1">
        <f t="array" aca="1" ref="H15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28" spans="1:8" x14ac:dyDescent="0.25">
      <c r="A1528" s="2">
        <f t="shared" ca="1" si="163"/>
        <v>3.0077572211415591</v>
      </c>
      <c r="B1528" s="4" cm="1">
        <f t="array" aca="1" ref="B15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528" s="2">
        <f t="shared" ca="1" si="164"/>
        <v>3.0038373300354859</v>
      </c>
      <c r="D1528" s="4" t="str" cm="1">
        <f t="array" aca="1" ref="D15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28" s="2">
        <f t="shared" ca="1" si="165"/>
        <v>30.006330634698813</v>
      </c>
      <c r="F1528" s="4" t="str" cm="1">
        <f t="array" aca="1" ref="F15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28" s="2">
        <f t="shared" ca="1" si="166"/>
        <v>40.013731735936084</v>
      </c>
      <c r="H1528" s="47" t="str" cm="1">
        <f t="array" aca="1" ref="H15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29" spans="1:8" x14ac:dyDescent="0.25">
      <c r="A1529" s="2">
        <f t="shared" ca="1" si="163"/>
        <v>3.0065575320641953</v>
      </c>
      <c r="B1529" s="4" cm="1">
        <f t="array" aca="1" ref="B15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529" s="2">
        <f t="shared" ca="1" si="164"/>
        <v>3.0170042188316151</v>
      </c>
      <c r="D1529" s="4" t="str" cm="1">
        <f t="array" aca="1" ref="D15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29" s="2">
        <f t="shared" ca="1" si="165"/>
        <v>30.026269509289286</v>
      </c>
      <c r="F1529" s="4" t="str" cm="1">
        <f t="array" aca="1" ref="F15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29" s="2">
        <f t="shared" ca="1" si="166"/>
        <v>40.028075202353527</v>
      </c>
      <c r="H1529" s="47" t="str" cm="1">
        <f t="array" aca="1" ref="H15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30" spans="1:8" x14ac:dyDescent="0.25">
      <c r="A1530" s="2">
        <f t="shared" ca="1" si="163"/>
        <v>3.0049599300235021</v>
      </c>
      <c r="B1530" s="4" cm="1">
        <f t="array" aca="1" ref="B15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530" s="2">
        <f t="shared" ca="1" si="164"/>
        <v>3.0275983979471444</v>
      </c>
      <c r="D1530" s="4" t="str" cm="1">
        <f t="array" aca="1" ref="D15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30" s="2">
        <f t="shared" ca="1" si="165"/>
        <v>30.015920120528886</v>
      </c>
      <c r="F1530" s="4" t="str" cm="1">
        <f t="array" aca="1" ref="F15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30" s="2">
        <f t="shared" ca="1" si="166"/>
        <v>40.029868169160672</v>
      </c>
      <c r="H1530" s="47" t="str" cm="1">
        <f t="array" aca="1" ref="H15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31" spans="1:8" x14ac:dyDescent="0.25">
      <c r="A1531" s="2">
        <f t="shared" ca="1" si="163"/>
        <v>3.0027602258162536</v>
      </c>
      <c r="B1531" s="4" cm="1">
        <f t="array" aca="1" ref="B15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531" s="2">
        <f t="shared" ca="1" si="164"/>
        <v>3.0297977554788509</v>
      </c>
      <c r="D1531" s="4" t="str" cm="1">
        <f t="array" aca="1" ref="D15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31" s="2">
        <f t="shared" ca="1" si="165"/>
        <v>30.010450726145134</v>
      </c>
      <c r="F1531" s="4" t="str" cm="1">
        <f t="array" aca="1" ref="F15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31" s="2">
        <f t="shared" ca="1" si="166"/>
        <v>40.028200171560712</v>
      </c>
      <c r="H1531" s="47" t="str" cm="1">
        <f t="array" aca="1" ref="H15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32" spans="1:8" x14ac:dyDescent="0.25">
      <c r="A1532" s="2">
        <f t="shared" ca="1" si="163"/>
        <v>3.0042392282130521</v>
      </c>
      <c r="B1532" s="4" cm="1">
        <f t="array" aca="1" ref="B15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532" s="2">
        <f t="shared" ca="1" si="164"/>
        <v>3.0279422842824339</v>
      </c>
      <c r="D1532" s="4" t="str" cm="1">
        <f t="array" aca="1" ref="D15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32" s="2">
        <f t="shared" ca="1" si="165"/>
        <v>30.024195154200303</v>
      </c>
      <c r="F1532" s="4" t="str" cm="1">
        <f t="array" aca="1" ref="F15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32" s="2">
        <f t="shared" ca="1" si="166"/>
        <v>40.022220169522278</v>
      </c>
      <c r="H1532" s="47" t="str" cm="1">
        <f t="array" aca="1" ref="H15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33" spans="1:8" x14ac:dyDescent="0.25">
      <c r="A1533" s="2">
        <f t="shared" ca="1" si="163"/>
        <v>3.0026058813492997</v>
      </c>
      <c r="B1533" s="4" cm="1">
        <f t="array" aca="1" ref="B15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533" s="2">
        <f t="shared" ca="1" si="164"/>
        <v>3.003749964051774</v>
      </c>
      <c r="D1533" s="4" t="str" cm="1">
        <f t="array" aca="1" ref="D15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33" s="2">
        <f t="shared" ca="1" si="165"/>
        <v>30.027761097859152</v>
      </c>
      <c r="F1533" s="4" t="str" cm="1">
        <f t="array" aca="1" ref="F15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33" s="2">
        <f t="shared" ca="1" si="166"/>
        <v>40.012963549432747</v>
      </c>
      <c r="H1533" s="47" t="str" cm="1">
        <f t="array" aca="1" ref="H15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34" spans="1:8" x14ac:dyDescent="0.25">
      <c r="A1534" s="2">
        <f t="shared" ca="1" si="163"/>
        <v>3.0034639442205524</v>
      </c>
      <c r="B1534" s="4" cm="1">
        <f t="array" aca="1" ref="B15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534" s="2">
        <f t="shared" ca="1" si="164"/>
        <v>3.0275301175461649</v>
      </c>
      <c r="D1534" s="4" t="str" cm="1">
        <f t="array" aca="1" ref="D15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34" s="2">
        <f t="shared" ca="1" si="165"/>
        <v>30.004890449445767</v>
      </c>
      <c r="F1534" s="4" t="str" cm="1">
        <f t="array" aca="1" ref="F15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34" s="2">
        <f t="shared" ca="1" si="166"/>
        <v>40.028710207116042</v>
      </c>
      <c r="H1534" s="47" t="str" cm="1">
        <f t="array" aca="1" ref="H15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35" spans="1:8" x14ac:dyDescent="0.25">
      <c r="A1535" s="2">
        <f t="shared" ca="1" si="163"/>
        <v>3.0053749329111326</v>
      </c>
      <c r="B1535" s="4" cm="1">
        <f t="array" aca="1" ref="B15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535" s="2">
        <f t="shared" ca="1" si="164"/>
        <v>3.0285336867982404</v>
      </c>
      <c r="D1535" s="4" t="str" cm="1">
        <f t="array" aca="1" ref="D15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35" s="2">
        <f t="shared" ca="1" si="165"/>
        <v>30.020376768257712</v>
      </c>
      <c r="F1535" s="4" t="str" cm="1">
        <f t="array" aca="1" ref="F15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35" s="2">
        <f t="shared" ca="1" si="166"/>
        <v>40.027433454220116</v>
      </c>
      <c r="H1535" s="47" t="str" cm="1">
        <f t="array" aca="1" ref="H15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36" spans="1:8" x14ac:dyDescent="0.25">
      <c r="A1536" s="2">
        <f t="shared" ca="1" si="163"/>
        <v>3.0030649828458564</v>
      </c>
      <c r="B1536" s="4" cm="1">
        <f t="array" aca="1" ref="B15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536" s="2">
        <f t="shared" ca="1" si="164"/>
        <v>3.0152301805410753</v>
      </c>
      <c r="D1536" s="4" t="str" cm="1">
        <f t="array" aca="1" ref="D15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36" s="2">
        <f t="shared" ca="1" si="165"/>
        <v>30.004724186529359</v>
      </c>
      <c r="F1536" s="4" t="str" cm="1">
        <f t="array" aca="1" ref="F15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36" s="2">
        <f t="shared" ca="1" si="166"/>
        <v>40.008676844410502</v>
      </c>
      <c r="H1536" s="47" t="str" cm="1">
        <f t="array" aca="1" ref="H15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37" spans="1:8" x14ac:dyDescent="0.25">
      <c r="A1537" s="2">
        <f t="shared" ca="1" si="163"/>
        <v>3.0067490506452721</v>
      </c>
      <c r="B1537" s="4" cm="1">
        <f t="array" aca="1" ref="B15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537" s="2">
        <f t="shared" ca="1" si="164"/>
        <v>3.0203699499931282</v>
      </c>
      <c r="D1537" s="4" t="str" cm="1">
        <f t="array" aca="1" ref="D15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37" s="2">
        <f t="shared" ca="1" si="165"/>
        <v>30.018006556647482</v>
      </c>
      <c r="F1537" s="4" t="str" cm="1">
        <f t="array" aca="1" ref="F15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37" s="2">
        <f t="shared" ca="1" si="166"/>
        <v>40.026722348442931</v>
      </c>
      <c r="H1537" s="47" t="str" cm="1">
        <f t="array" aca="1" ref="H15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38" spans="1:8" x14ac:dyDescent="0.25">
      <c r="A1538" s="2">
        <f t="shared" ref="A1538:A1601" ca="1" si="167">3+RAND()*0.01</f>
        <v>3.0006194261271566</v>
      </c>
      <c r="B1538" s="4" cm="1">
        <f t="array" aca="1" ref="B15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538" s="2">
        <f t="shared" ref="C1538:C1601" ca="1" si="168">3+RAND()*0.03</f>
        <v>3.0093598007026188</v>
      </c>
      <c r="D1538" s="4" t="str" cm="1">
        <f t="array" aca="1" ref="D15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38" s="2">
        <f t="shared" ref="E1538:E1601" ca="1" si="169">30+RAND()*0.03</f>
        <v>30.021227241577886</v>
      </c>
      <c r="F1538" s="4" t="str" cm="1">
        <f t="array" aca="1" ref="F15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38" s="2">
        <f t="shared" ref="G1538:G1601" ca="1" si="170">40+RAND()*0.03</f>
        <v>40.006300332860249</v>
      </c>
      <c r="H1538" s="47" t="str" cm="1">
        <f t="array" aca="1" ref="H15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39" spans="1:8" x14ac:dyDescent="0.25">
      <c r="A1539" s="2">
        <f t="shared" ca="1" si="167"/>
        <v>3.0003002991170789</v>
      </c>
      <c r="B1539" s="4" cm="1">
        <f t="array" aca="1" ref="B15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539" s="2">
        <f t="shared" ca="1" si="168"/>
        <v>3.0217682244464439</v>
      </c>
      <c r="D1539" s="4" t="str" cm="1">
        <f t="array" aca="1" ref="D15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39" s="2">
        <f t="shared" ca="1" si="169"/>
        <v>30.0192857970336</v>
      </c>
      <c r="F1539" s="4" t="str" cm="1">
        <f t="array" aca="1" ref="F15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39" s="2">
        <f t="shared" ca="1" si="170"/>
        <v>40.005158879556269</v>
      </c>
      <c r="H1539" s="47" t="str" cm="1">
        <f t="array" aca="1" ref="H15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40" spans="1:8" x14ac:dyDescent="0.25">
      <c r="A1540" s="2">
        <f t="shared" ca="1" si="167"/>
        <v>3.0052289361963922</v>
      </c>
      <c r="B1540" s="4" cm="1">
        <f t="array" aca="1" ref="B15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540" s="2">
        <f t="shared" ca="1" si="168"/>
        <v>3.0170195717713861</v>
      </c>
      <c r="D1540" s="4" t="str" cm="1">
        <f t="array" aca="1" ref="D15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40" s="2">
        <f t="shared" ca="1" si="169"/>
        <v>30.016013005548416</v>
      </c>
      <c r="F1540" s="4" t="str" cm="1">
        <f t="array" aca="1" ref="F15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40" s="2">
        <f t="shared" ca="1" si="170"/>
        <v>40.022133383435495</v>
      </c>
      <c r="H1540" s="47" t="str" cm="1">
        <f t="array" aca="1" ref="H15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41" spans="1:8" x14ac:dyDescent="0.25">
      <c r="A1541" s="2">
        <f t="shared" ca="1" si="167"/>
        <v>3.0007125246990758</v>
      </c>
      <c r="B1541" s="4" cm="1">
        <f t="array" aca="1" ref="B15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541" s="2">
        <f t="shared" ca="1" si="168"/>
        <v>3.0085011875478731</v>
      </c>
      <c r="D1541" s="4" t="str" cm="1">
        <f t="array" aca="1" ref="D15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41" s="2">
        <f t="shared" ca="1" si="169"/>
        <v>30.011910426339931</v>
      </c>
      <c r="F1541" s="4" t="str" cm="1">
        <f t="array" aca="1" ref="F15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41" s="2">
        <f t="shared" ca="1" si="170"/>
        <v>40.029892074150133</v>
      </c>
      <c r="H1541" s="47" t="str" cm="1">
        <f t="array" aca="1" ref="H15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42" spans="1:8" x14ac:dyDescent="0.25">
      <c r="A1542" s="2">
        <f t="shared" ca="1" si="167"/>
        <v>3.0091646798599592</v>
      </c>
      <c r="B1542" s="4" cm="1">
        <f t="array" aca="1" ref="B15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542" s="2">
        <f t="shared" ca="1" si="168"/>
        <v>3.0006561425636664</v>
      </c>
      <c r="D1542" s="4" t="str" cm="1">
        <f t="array" aca="1" ref="D15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42" s="2">
        <f t="shared" ca="1" si="169"/>
        <v>30.007082460360362</v>
      </c>
      <c r="F1542" s="4" t="str" cm="1">
        <f t="array" aca="1" ref="F15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42" s="2">
        <f t="shared" ca="1" si="170"/>
        <v>40.028021380335701</v>
      </c>
      <c r="H1542" s="47" t="str" cm="1">
        <f t="array" aca="1" ref="H15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43" spans="1:8" x14ac:dyDescent="0.25">
      <c r="A1543" s="2">
        <f t="shared" ca="1" si="167"/>
        <v>3.0008433728199666</v>
      </c>
      <c r="B1543" s="4" cm="1">
        <f t="array" aca="1" ref="B15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543" s="2">
        <f t="shared" ca="1" si="168"/>
        <v>3.0276001074324537</v>
      </c>
      <c r="D1543" s="4" t="str" cm="1">
        <f t="array" aca="1" ref="D15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43" s="2">
        <f t="shared" ca="1" si="169"/>
        <v>30.006471732110874</v>
      </c>
      <c r="F1543" s="4" t="str" cm="1">
        <f t="array" aca="1" ref="F15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43" s="2">
        <f t="shared" ca="1" si="170"/>
        <v>40.014846000158691</v>
      </c>
      <c r="H1543" s="47" t="str" cm="1">
        <f t="array" aca="1" ref="H15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44" spans="1:8" x14ac:dyDescent="0.25">
      <c r="A1544" s="2">
        <f t="shared" ca="1" si="167"/>
        <v>3.0073154277509833</v>
      </c>
      <c r="B1544" s="4" cm="1">
        <f t="array" aca="1" ref="B15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544" s="2">
        <f t="shared" ca="1" si="168"/>
        <v>3.0258490018165998</v>
      </c>
      <c r="D1544" s="4" t="str" cm="1">
        <f t="array" aca="1" ref="D15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44" s="2">
        <f t="shared" ca="1" si="169"/>
        <v>30.025292037179593</v>
      </c>
      <c r="F1544" s="4" t="str" cm="1">
        <f t="array" aca="1" ref="F15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44" s="2">
        <f t="shared" ca="1" si="170"/>
        <v>40.005751168117186</v>
      </c>
      <c r="H1544" s="47" t="str" cm="1">
        <f t="array" aca="1" ref="H15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45" spans="1:8" x14ac:dyDescent="0.25">
      <c r="A1545" s="2">
        <f t="shared" ca="1" si="167"/>
        <v>3.0051500879328055</v>
      </c>
      <c r="B1545" s="4" cm="1">
        <f t="array" aca="1" ref="B15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545" s="2">
        <f t="shared" ca="1" si="168"/>
        <v>3.0051748453836802</v>
      </c>
      <c r="D1545" s="4" t="str" cm="1">
        <f t="array" aca="1" ref="D15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45" s="2">
        <f t="shared" ca="1" si="169"/>
        <v>30.011897535197537</v>
      </c>
      <c r="F1545" s="4" t="str" cm="1">
        <f t="array" aca="1" ref="F15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45" s="2">
        <f t="shared" ca="1" si="170"/>
        <v>40.005551537923694</v>
      </c>
      <c r="H1545" s="47" t="str" cm="1">
        <f t="array" aca="1" ref="H15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46" spans="1:8" x14ac:dyDescent="0.25">
      <c r="A1546" s="2">
        <f t="shared" ca="1" si="167"/>
        <v>3.0072703124030813</v>
      </c>
      <c r="B1546" s="4" cm="1">
        <f t="array" aca="1" ref="B15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546" s="2">
        <f t="shared" ca="1" si="168"/>
        <v>3.0213384089768773</v>
      </c>
      <c r="D1546" s="4" t="str" cm="1">
        <f t="array" aca="1" ref="D15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46" s="2">
        <f t="shared" ca="1" si="169"/>
        <v>30.016291568309384</v>
      </c>
      <c r="F1546" s="4" t="str" cm="1">
        <f t="array" aca="1" ref="F15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46" s="2">
        <f t="shared" ca="1" si="170"/>
        <v>40.018105809309255</v>
      </c>
      <c r="H1546" s="47" t="str" cm="1">
        <f t="array" aca="1" ref="H15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47" spans="1:8" x14ac:dyDescent="0.25">
      <c r="A1547" s="2">
        <f t="shared" ca="1" si="167"/>
        <v>3.005436920611491</v>
      </c>
      <c r="B1547" s="4" cm="1">
        <f t="array" aca="1" ref="B15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547" s="2">
        <f t="shared" ca="1" si="168"/>
        <v>3.0034778606343147</v>
      </c>
      <c r="D1547" s="4" t="str" cm="1">
        <f t="array" aca="1" ref="D15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47" s="2">
        <f t="shared" ca="1" si="169"/>
        <v>30.010099964338096</v>
      </c>
      <c r="F1547" s="4" t="str" cm="1">
        <f t="array" aca="1" ref="F15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47" s="2">
        <f t="shared" ca="1" si="170"/>
        <v>40.028322448840584</v>
      </c>
      <c r="H1547" s="47" t="str" cm="1">
        <f t="array" aca="1" ref="H15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48" spans="1:8" x14ac:dyDescent="0.25">
      <c r="A1548" s="2">
        <f t="shared" ca="1" si="167"/>
        <v>3.0042072483770195</v>
      </c>
      <c r="B1548" s="4" cm="1">
        <f t="array" aca="1" ref="B15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548" s="2">
        <f t="shared" ca="1" si="168"/>
        <v>3.0245335827819715</v>
      </c>
      <c r="D1548" s="4" t="str" cm="1">
        <f t="array" aca="1" ref="D15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48" s="2">
        <f t="shared" ca="1" si="169"/>
        <v>30.027537893421478</v>
      </c>
      <c r="F1548" s="4" t="str" cm="1">
        <f t="array" aca="1" ref="F15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48" s="2">
        <f t="shared" ca="1" si="170"/>
        <v>40.028783498010512</v>
      </c>
      <c r="H1548" s="47" t="str" cm="1">
        <f t="array" aca="1" ref="H15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49" spans="1:8" x14ac:dyDescent="0.25">
      <c r="A1549" s="2">
        <f t="shared" ca="1" si="167"/>
        <v>3.0073609467347988</v>
      </c>
      <c r="B1549" s="4" cm="1">
        <f t="array" aca="1" ref="B15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549" s="2">
        <f t="shared" ca="1" si="168"/>
        <v>3.0160110977168118</v>
      </c>
      <c r="D1549" s="4" t="str" cm="1">
        <f t="array" aca="1" ref="D15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49" s="2">
        <f t="shared" ca="1" si="169"/>
        <v>30.01451613820355</v>
      </c>
      <c r="F1549" s="4" t="str" cm="1">
        <f t="array" aca="1" ref="F15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49" s="2">
        <f t="shared" ca="1" si="170"/>
        <v>40.005629032570852</v>
      </c>
      <c r="H1549" s="47" t="str" cm="1">
        <f t="array" aca="1" ref="H15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50" spans="1:8" x14ac:dyDescent="0.25">
      <c r="A1550" s="2">
        <f t="shared" ca="1" si="167"/>
        <v>3.0074660017439245</v>
      </c>
      <c r="B1550" s="4" cm="1">
        <f t="array" aca="1" ref="B15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550" s="2">
        <f t="shared" ca="1" si="168"/>
        <v>3.0215039871365907</v>
      </c>
      <c r="D1550" s="4" t="str" cm="1">
        <f t="array" aca="1" ref="D15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50" s="2">
        <f t="shared" ca="1" si="169"/>
        <v>30.000234978394477</v>
      </c>
      <c r="F1550" s="4" t="str" cm="1">
        <f t="array" aca="1" ref="F15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50" s="2">
        <f t="shared" ca="1" si="170"/>
        <v>40.013737471701702</v>
      </c>
      <c r="H1550" s="47" t="str" cm="1">
        <f t="array" aca="1" ref="H15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51" spans="1:8" x14ac:dyDescent="0.25">
      <c r="A1551" s="2">
        <f t="shared" ca="1" si="167"/>
        <v>3.0049576355753493</v>
      </c>
      <c r="B1551" s="4" cm="1">
        <f t="array" aca="1" ref="B15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551" s="2">
        <f t="shared" ca="1" si="168"/>
        <v>3.0013099380145567</v>
      </c>
      <c r="D1551" s="4" t="str" cm="1">
        <f t="array" aca="1" ref="D15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51" s="2">
        <f t="shared" ca="1" si="169"/>
        <v>30.02255095433862</v>
      </c>
      <c r="F1551" s="4" t="str" cm="1">
        <f t="array" aca="1" ref="F15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51" s="2">
        <f t="shared" ca="1" si="170"/>
        <v>40.005391973665851</v>
      </c>
      <c r="H1551" s="47" t="str" cm="1">
        <f t="array" aca="1" ref="H15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52" spans="1:8" x14ac:dyDescent="0.25">
      <c r="A1552" s="2">
        <f t="shared" ca="1" si="167"/>
        <v>3.0067238251539496</v>
      </c>
      <c r="B1552" s="4" cm="1">
        <f t="array" aca="1" ref="B15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552" s="2">
        <f t="shared" ca="1" si="168"/>
        <v>3.0115209381262296</v>
      </c>
      <c r="D1552" s="4" t="str" cm="1">
        <f t="array" aca="1" ref="D15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52" s="2">
        <f t="shared" ca="1" si="169"/>
        <v>30.027723110316416</v>
      </c>
      <c r="F1552" s="4" t="str" cm="1">
        <f t="array" aca="1" ref="F15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52" s="2">
        <f t="shared" ca="1" si="170"/>
        <v>40.027981004451611</v>
      </c>
      <c r="H1552" s="47" t="str" cm="1">
        <f t="array" aca="1" ref="H15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53" spans="1:8" x14ac:dyDescent="0.25">
      <c r="A1553" s="2">
        <f t="shared" ca="1" si="167"/>
        <v>3.0034731384733777</v>
      </c>
      <c r="B1553" s="4" cm="1">
        <f t="array" aca="1" ref="B15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553" s="2">
        <f t="shared" ca="1" si="168"/>
        <v>3.0097971003615078</v>
      </c>
      <c r="D1553" s="4" t="str" cm="1">
        <f t="array" aca="1" ref="D15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53" s="2">
        <f t="shared" ca="1" si="169"/>
        <v>30.005732864695723</v>
      </c>
      <c r="F1553" s="4" t="str" cm="1">
        <f t="array" aca="1" ref="F15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53" s="2">
        <f t="shared" ca="1" si="170"/>
        <v>40.009438467540548</v>
      </c>
      <c r="H1553" s="47" t="str" cm="1">
        <f t="array" aca="1" ref="H15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54" spans="1:8" x14ac:dyDescent="0.25">
      <c r="A1554" s="2">
        <f t="shared" ca="1" si="167"/>
        <v>3.0033356531541338</v>
      </c>
      <c r="B1554" s="4" cm="1">
        <f t="array" aca="1" ref="B15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554" s="2">
        <f t="shared" ca="1" si="168"/>
        <v>3.0116292492443679</v>
      </c>
      <c r="D1554" s="4" t="str" cm="1">
        <f t="array" aca="1" ref="D15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54" s="2">
        <f t="shared" ca="1" si="169"/>
        <v>30.016411341554523</v>
      </c>
      <c r="F1554" s="4" t="str" cm="1">
        <f t="array" aca="1" ref="F15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54" s="2">
        <f t="shared" ca="1" si="170"/>
        <v>40.024573065006308</v>
      </c>
      <c r="H1554" s="47" t="str" cm="1">
        <f t="array" aca="1" ref="H15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55" spans="1:8" x14ac:dyDescent="0.25">
      <c r="A1555" s="2">
        <f t="shared" ca="1" si="167"/>
        <v>3.0032579803587063</v>
      </c>
      <c r="B1555" s="4" cm="1">
        <f t="array" aca="1" ref="B15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555" s="2">
        <f t="shared" ca="1" si="168"/>
        <v>3.0214789346184769</v>
      </c>
      <c r="D1555" s="4" t="str" cm="1">
        <f t="array" aca="1" ref="D15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55" s="2">
        <f t="shared" ca="1" si="169"/>
        <v>30.020346106360655</v>
      </c>
      <c r="F1555" s="4" t="str" cm="1">
        <f t="array" aca="1" ref="F15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55" s="2">
        <f t="shared" ca="1" si="170"/>
        <v>40.02652854706146</v>
      </c>
      <c r="H1555" s="47" t="str" cm="1">
        <f t="array" aca="1" ref="H15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56" spans="1:8" x14ac:dyDescent="0.25">
      <c r="A1556" s="2">
        <f t="shared" ca="1" si="167"/>
        <v>3.0091815103983919</v>
      </c>
      <c r="B1556" s="4" cm="1">
        <f t="array" aca="1" ref="B15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556" s="2">
        <f t="shared" ca="1" si="168"/>
        <v>3.0282199081182068</v>
      </c>
      <c r="D1556" s="4" t="str" cm="1">
        <f t="array" aca="1" ref="D15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56" s="2">
        <f t="shared" ca="1" si="169"/>
        <v>30.024472342965506</v>
      </c>
      <c r="F1556" s="4" t="str" cm="1">
        <f t="array" aca="1" ref="F15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56" s="2">
        <f t="shared" ca="1" si="170"/>
        <v>40.002988255824675</v>
      </c>
      <c r="H1556" s="47" t="str" cm="1">
        <f t="array" aca="1" ref="H15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57" spans="1:8" x14ac:dyDescent="0.25">
      <c r="A1557" s="2">
        <f t="shared" ca="1" si="167"/>
        <v>3.0096604096796966</v>
      </c>
      <c r="B1557" s="4" cm="1">
        <f t="array" aca="1" ref="B15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557" s="2">
        <f t="shared" ca="1" si="168"/>
        <v>3.0058755689807271</v>
      </c>
      <c r="D1557" s="4" t="str" cm="1">
        <f t="array" aca="1" ref="D15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57" s="2">
        <f t="shared" ca="1" si="169"/>
        <v>30.00963464532229</v>
      </c>
      <c r="F1557" s="4" t="str" cm="1">
        <f t="array" aca="1" ref="F15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57" s="2">
        <f t="shared" ca="1" si="170"/>
        <v>40.000547542061994</v>
      </c>
      <c r="H1557" s="47" t="str" cm="1">
        <f t="array" aca="1" ref="H15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58" spans="1:8" x14ac:dyDescent="0.25">
      <c r="A1558" s="2">
        <f t="shared" ca="1" si="167"/>
        <v>3.0077901021523723</v>
      </c>
      <c r="B1558" s="4" cm="1">
        <f t="array" aca="1" ref="B15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558" s="2">
        <f t="shared" ca="1" si="168"/>
        <v>3.0256890207899692</v>
      </c>
      <c r="D1558" s="4" t="str" cm="1">
        <f t="array" aca="1" ref="D15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58" s="2">
        <f t="shared" ca="1" si="169"/>
        <v>30.002195687047877</v>
      </c>
      <c r="F1558" s="4" t="str" cm="1">
        <f t="array" aca="1" ref="F15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58" s="2">
        <f t="shared" ca="1" si="170"/>
        <v>40.00072561095741</v>
      </c>
      <c r="H1558" s="47" t="str" cm="1">
        <f t="array" aca="1" ref="H15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59" spans="1:8" x14ac:dyDescent="0.25">
      <c r="A1559" s="2">
        <f t="shared" ca="1" si="167"/>
        <v>3.0050440521980404</v>
      </c>
      <c r="B1559" s="4" cm="1">
        <f t="array" aca="1" ref="B15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559" s="2">
        <f t="shared" ca="1" si="168"/>
        <v>3.0057417872720134</v>
      </c>
      <c r="D1559" s="4" t="str" cm="1">
        <f t="array" aca="1" ref="D15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59" s="2">
        <f t="shared" ca="1" si="169"/>
        <v>30.01139396893964</v>
      </c>
      <c r="F1559" s="4" t="str" cm="1">
        <f t="array" aca="1" ref="F15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59" s="2">
        <f t="shared" ca="1" si="170"/>
        <v>40.019545526883917</v>
      </c>
      <c r="H1559" s="47" t="str" cm="1">
        <f t="array" aca="1" ref="H15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60" spans="1:8" x14ac:dyDescent="0.25">
      <c r="A1560" s="2">
        <f t="shared" ca="1" si="167"/>
        <v>3.0047680677365052</v>
      </c>
      <c r="B1560" s="4" cm="1">
        <f t="array" aca="1" ref="B15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560" s="2">
        <f t="shared" ca="1" si="168"/>
        <v>3.0000188017154046</v>
      </c>
      <c r="D1560" s="4" t="str" cm="1">
        <f t="array" aca="1" ref="D15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60" s="2">
        <f t="shared" ca="1" si="169"/>
        <v>30.003869249614986</v>
      </c>
      <c r="F1560" s="4" t="str" cm="1">
        <f t="array" aca="1" ref="F15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60" s="2">
        <f t="shared" ca="1" si="170"/>
        <v>40.00340333745028</v>
      </c>
      <c r="H1560" s="47" t="str" cm="1">
        <f t="array" aca="1" ref="H15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61" spans="1:8" x14ac:dyDescent="0.25">
      <c r="A1561" s="2">
        <f t="shared" ca="1" si="167"/>
        <v>3.0025553703629675</v>
      </c>
      <c r="B1561" s="4" cm="1">
        <f t="array" aca="1" ref="B15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561" s="2">
        <f t="shared" ca="1" si="168"/>
        <v>3.0005867648064095</v>
      </c>
      <c r="D1561" s="4" t="str" cm="1">
        <f t="array" aca="1" ref="D15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61" s="2">
        <f t="shared" ca="1" si="169"/>
        <v>30.023676586169159</v>
      </c>
      <c r="F1561" s="4" t="str" cm="1">
        <f t="array" aca="1" ref="F15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61" s="2">
        <f t="shared" ca="1" si="170"/>
        <v>40.005516167903707</v>
      </c>
      <c r="H1561" s="47" t="str" cm="1">
        <f t="array" aca="1" ref="H15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62" spans="1:8" x14ac:dyDescent="0.25">
      <c r="A1562" s="2">
        <f t="shared" ca="1" si="167"/>
        <v>3.0008111772675035</v>
      </c>
      <c r="B1562" s="4" cm="1">
        <f t="array" aca="1" ref="B15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562" s="2">
        <f t="shared" ca="1" si="168"/>
        <v>3.0128977095618406</v>
      </c>
      <c r="D1562" s="4" t="str" cm="1">
        <f t="array" aca="1" ref="D15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62" s="2">
        <f t="shared" ca="1" si="169"/>
        <v>30.010602309870215</v>
      </c>
      <c r="F1562" s="4" t="str" cm="1">
        <f t="array" aca="1" ref="F15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62" s="2">
        <f t="shared" ca="1" si="170"/>
        <v>40.015923031341103</v>
      </c>
      <c r="H1562" s="47" t="str" cm="1">
        <f t="array" aca="1" ref="H15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63" spans="1:8" x14ac:dyDescent="0.25">
      <c r="A1563" s="2">
        <f t="shared" ca="1" si="167"/>
        <v>3.0098854722003896</v>
      </c>
      <c r="B1563" s="4" cm="1">
        <f t="array" aca="1" ref="B15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563" s="2">
        <f t="shared" ca="1" si="168"/>
        <v>3.0228256588640612</v>
      </c>
      <c r="D1563" s="4" t="str" cm="1">
        <f t="array" aca="1" ref="D15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63" s="2">
        <f t="shared" ca="1" si="169"/>
        <v>30.029696002053914</v>
      </c>
      <c r="F1563" s="4" t="str" cm="1">
        <f t="array" aca="1" ref="F15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63" s="2">
        <f t="shared" ca="1" si="170"/>
        <v>40.022297465517987</v>
      </c>
      <c r="H1563" s="47" t="str" cm="1">
        <f t="array" aca="1" ref="H15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64" spans="1:8" x14ac:dyDescent="0.25">
      <c r="A1564" s="2">
        <f t="shared" ca="1" si="167"/>
        <v>3.0016125537967211</v>
      </c>
      <c r="B1564" s="4" cm="1">
        <f t="array" aca="1" ref="B15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564" s="2">
        <f t="shared" ca="1" si="168"/>
        <v>3.0269648746258984</v>
      </c>
      <c r="D1564" s="4" t="str" cm="1">
        <f t="array" aca="1" ref="D15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64" s="2">
        <f t="shared" ca="1" si="169"/>
        <v>30.018781662281302</v>
      </c>
      <c r="F1564" s="4" t="str" cm="1">
        <f t="array" aca="1" ref="F15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64" s="2">
        <f t="shared" ca="1" si="170"/>
        <v>40.025064823261594</v>
      </c>
      <c r="H1564" s="47" t="str" cm="1">
        <f t="array" aca="1" ref="H15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65" spans="1:8" x14ac:dyDescent="0.25">
      <c r="A1565" s="2">
        <f t="shared" ca="1" si="167"/>
        <v>3.0054543225372283</v>
      </c>
      <c r="B1565" s="4" cm="1">
        <f t="array" aca="1" ref="B15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565" s="2">
        <f t="shared" ca="1" si="168"/>
        <v>3.0163365639860187</v>
      </c>
      <c r="D1565" s="4" t="str" cm="1">
        <f t="array" aca="1" ref="D15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65" s="2">
        <f t="shared" ca="1" si="169"/>
        <v>30.004730344200702</v>
      </c>
      <c r="F1565" s="4" t="str" cm="1">
        <f t="array" aca="1" ref="F15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65" s="2">
        <f t="shared" ca="1" si="170"/>
        <v>40.001299149313496</v>
      </c>
      <c r="H1565" s="47" t="str" cm="1">
        <f t="array" aca="1" ref="H15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66" spans="1:8" x14ac:dyDescent="0.25">
      <c r="A1566" s="2">
        <f t="shared" ca="1" si="167"/>
        <v>3.005495405710036</v>
      </c>
      <c r="B1566" s="4" cm="1">
        <f t="array" aca="1" ref="B15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566" s="2">
        <f t="shared" ca="1" si="168"/>
        <v>3.0130319646664918</v>
      </c>
      <c r="D1566" s="4" t="str" cm="1">
        <f t="array" aca="1" ref="D15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66" s="2">
        <f t="shared" ca="1" si="169"/>
        <v>30.026191874542533</v>
      </c>
      <c r="F1566" s="4" t="str" cm="1">
        <f t="array" aca="1" ref="F15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66" s="2">
        <f t="shared" ca="1" si="170"/>
        <v>40.013738141686339</v>
      </c>
      <c r="H1566" s="47" t="str" cm="1">
        <f t="array" aca="1" ref="H15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67" spans="1:8" x14ac:dyDescent="0.25">
      <c r="A1567" s="2">
        <f t="shared" ca="1" si="167"/>
        <v>3.0055717079779476</v>
      </c>
      <c r="B1567" s="4" cm="1">
        <f t="array" aca="1" ref="B15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567" s="2">
        <f t="shared" ca="1" si="168"/>
        <v>3.0153810278453159</v>
      </c>
      <c r="D1567" s="4" t="str" cm="1">
        <f t="array" aca="1" ref="D15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67" s="2">
        <f t="shared" ca="1" si="169"/>
        <v>30.021740712121421</v>
      </c>
      <c r="F1567" s="4" t="str" cm="1">
        <f t="array" aca="1" ref="F15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67" s="2">
        <f t="shared" ca="1" si="170"/>
        <v>40.029773247394033</v>
      </c>
      <c r="H1567" s="47" t="str" cm="1">
        <f t="array" aca="1" ref="H15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68" spans="1:8" x14ac:dyDescent="0.25">
      <c r="A1568" s="2">
        <f t="shared" ca="1" si="167"/>
        <v>3.0039566887176359</v>
      </c>
      <c r="B1568" s="4" cm="1">
        <f t="array" aca="1" ref="B15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568" s="2">
        <f t="shared" ca="1" si="168"/>
        <v>3.0172092432390243</v>
      </c>
      <c r="D1568" s="4" t="str" cm="1">
        <f t="array" aca="1" ref="D15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68" s="2">
        <f t="shared" ca="1" si="169"/>
        <v>30.010483469483969</v>
      </c>
      <c r="F1568" s="4" t="str" cm="1">
        <f t="array" aca="1" ref="F15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68" s="2">
        <f t="shared" ca="1" si="170"/>
        <v>40.026473201859169</v>
      </c>
      <c r="H1568" s="47" t="str" cm="1">
        <f t="array" aca="1" ref="H15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69" spans="1:8" x14ac:dyDescent="0.25">
      <c r="A1569" s="2">
        <f t="shared" ca="1" si="167"/>
        <v>3.009541270888497</v>
      </c>
      <c r="B1569" s="4" cm="1">
        <f t="array" aca="1" ref="B15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569" s="2">
        <f t="shared" ca="1" si="168"/>
        <v>3.0228391145784719</v>
      </c>
      <c r="D1569" s="4" t="str" cm="1">
        <f t="array" aca="1" ref="D15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69" s="2">
        <f t="shared" ca="1" si="169"/>
        <v>30.008513186958215</v>
      </c>
      <c r="F1569" s="4" t="str" cm="1">
        <f t="array" aca="1" ref="F15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69" s="2">
        <f t="shared" ca="1" si="170"/>
        <v>40.016615374985165</v>
      </c>
      <c r="H1569" s="47" t="str" cm="1">
        <f t="array" aca="1" ref="H15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70" spans="1:8" x14ac:dyDescent="0.25">
      <c r="A1570" s="2">
        <f t="shared" ca="1" si="167"/>
        <v>3.0043856379518425</v>
      </c>
      <c r="B1570" s="4" cm="1">
        <f t="array" aca="1" ref="B15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570" s="2">
        <f t="shared" ca="1" si="168"/>
        <v>3.0282586295375546</v>
      </c>
      <c r="D1570" s="4" t="str" cm="1">
        <f t="array" aca="1" ref="D15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70" s="2">
        <f t="shared" ca="1" si="169"/>
        <v>30.014775380883357</v>
      </c>
      <c r="F1570" s="4" t="str" cm="1">
        <f t="array" aca="1" ref="F15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70" s="2">
        <f t="shared" ca="1" si="170"/>
        <v>40.0179678302203</v>
      </c>
      <c r="H1570" s="47" t="str" cm="1">
        <f t="array" aca="1" ref="H15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71" spans="1:8" x14ac:dyDescent="0.25">
      <c r="A1571" s="2">
        <f t="shared" ca="1" si="167"/>
        <v>3.0017951701238195</v>
      </c>
      <c r="B1571" s="4" cm="1">
        <f t="array" aca="1" ref="B15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571" s="2">
        <f t="shared" ca="1" si="168"/>
        <v>3.0165981985016961</v>
      </c>
      <c r="D1571" s="4" t="str" cm="1">
        <f t="array" aca="1" ref="D15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71" s="2">
        <f t="shared" ca="1" si="169"/>
        <v>30.01061536639131</v>
      </c>
      <c r="F1571" s="4" t="str" cm="1">
        <f t="array" aca="1" ref="F15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71" s="2">
        <f t="shared" ca="1" si="170"/>
        <v>40.020807126409252</v>
      </c>
      <c r="H1571" s="47" t="str" cm="1">
        <f t="array" aca="1" ref="H15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72" spans="1:8" x14ac:dyDescent="0.25">
      <c r="A1572" s="2">
        <f t="shared" ca="1" si="167"/>
        <v>3.0091027796823262</v>
      </c>
      <c r="B1572" s="4" cm="1">
        <f t="array" aca="1" ref="B15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572" s="2">
        <f t="shared" ca="1" si="168"/>
        <v>3.0223835226703621</v>
      </c>
      <c r="D1572" s="4" t="str" cm="1">
        <f t="array" aca="1" ref="D15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72" s="2">
        <f t="shared" ca="1" si="169"/>
        <v>30.018842598829899</v>
      </c>
      <c r="F1572" s="4" t="str" cm="1">
        <f t="array" aca="1" ref="F15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72" s="2">
        <f t="shared" ca="1" si="170"/>
        <v>40.020059370025912</v>
      </c>
      <c r="H1572" s="47" t="str" cm="1">
        <f t="array" aca="1" ref="H15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73" spans="1:8" x14ac:dyDescent="0.25">
      <c r="A1573" s="2">
        <f t="shared" ca="1" si="167"/>
        <v>3.005536017236039</v>
      </c>
      <c r="B1573" s="4" cm="1">
        <f t="array" aca="1" ref="B15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573" s="2">
        <f t="shared" ca="1" si="168"/>
        <v>3.0253767132614806</v>
      </c>
      <c r="D1573" s="4" t="str" cm="1">
        <f t="array" aca="1" ref="D15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73" s="2">
        <f t="shared" ca="1" si="169"/>
        <v>30.003228922437728</v>
      </c>
      <c r="F1573" s="4" t="str" cm="1">
        <f t="array" aca="1" ref="F15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73" s="2">
        <f t="shared" ca="1" si="170"/>
        <v>40.021065785748611</v>
      </c>
      <c r="H1573" s="47" t="str" cm="1">
        <f t="array" aca="1" ref="H15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74" spans="1:8" x14ac:dyDescent="0.25">
      <c r="A1574" s="2">
        <f t="shared" ca="1" si="167"/>
        <v>3.0032446789474339</v>
      </c>
      <c r="B1574" s="4" cm="1">
        <f t="array" aca="1" ref="B15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574" s="2">
        <f t="shared" ca="1" si="168"/>
        <v>3.0179695446231358</v>
      </c>
      <c r="D1574" s="4" t="str" cm="1">
        <f t="array" aca="1" ref="D15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74" s="2">
        <f t="shared" ca="1" si="169"/>
        <v>30.003020729610075</v>
      </c>
      <c r="F1574" s="4" t="str" cm="1">
        <f t="array" aca="1" ref="F15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74" s="2">
        <f t="shared" ca="1" si="170"/>
        <v>40.002481109839472</v>
      </c>
      <c r="H1574" s="47" t="str" cm="1">
        <f t="array" aca="1" ref="H15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75" spans="1:8" x14ac:dyDescent="0.25">
      <c r="A1575" s="2">
        <f t="shared" ca="1" si="167"/>
        <v>3.0024271924626982</v>
      </c>
      <c r="B1575" s="4" cm="1">
        <f t="array" aca="1" ref="B15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575" s="2">
        <f t="shared" ca="1" si="168"/>
        <v>3.0151062044925605</v>
      </c>
      <c r="D1575" s="4" t="str" cm="1">
        <f t="array" aca="1" ref="D15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75" s="2">
        <f t="shared" ca="1" si="169"/>
        <v>30.017920321114982</v>
      </c>
      <c r="F1575" s="4" t="str" cm="1">
        <f t="array" aca="1" ref="F15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75" s="2">
        <f t="shared" ca="1" si="170"/>
        <v>40.022353842530279</v>
      </c>
      <c r="H1575" s="47" t="str" cm="1">
        <f t="array" aca="1" ref="H15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76" spans="1:8" x14ac:dyDescent="0.25">
      <c r="A1576" s="2">
        <f t="shared" ca="1" si="167"/>
        <v>3.0041717992108232</v>
      </c>
      <c r="B1576" s="4" cm="1">
        <f t="array" aca="1" ref="B15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576" s="2">
        <f t="shared" ca="1" si="168"/>
        <v>3.0063558037899796</v>
      </c>
      <c r="D1576" s="4" t="str" cm="1">
        <f t="array" aca="1" ref="D15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76" s="2">
        <f t="shared" ca="1" si="169"/>
        <v>30.025259264243267</v>
      </c>
      <c r="F1576" s="4" t="str" cm="1">
        <f t="array" aca="1" ref="F15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76" s="2">
        <f t="shared" ca="1" si="170"/>
        <v>40.023976057806358</v>
      </c>
      <c r="H1576" s="47" t="str" cm="1">
        <f t="array" aca="1" ref="H15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77" spans="1:8" x14ac:dyDescent="0.25">
      <c r="A1577" s="2">
        <f t="shared" ca="1" si="167"/>
        <v>3.004457707804042</v>
      </c>
      <c r="B1577" s="4" cm="1">
        <f t="array" aca="1" ref="B15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577" s="2">
        <f t="shared" ca="1" si="168"/>
        <v>3.0234712055033426</v>
      </c>
      <c r="D1577" s="4" t="str" cm="1">
        <f t="array" aca="1" ref="D15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77" s="2">
        <f t="shared" ca="1" si="169"/>
        <v>30.026205864808386</v>
      </c>
      <c r="F1577" s="4" t="str" cm="1">
        <f t="array" aca="1" ref="F15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77" s="2">
        <f t="shared" ca="1" si="170"/>
        <v>40.002838744291836</v>
      </c>
      <c r="H1577" s="47" t="str" cm="1">
        <f t="array" aca="1" ref="H15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78" spans="1:8" x14ac:dyDescent="0.25">
      <c r="A1578" s="2">
        <f t="shared" ca="1" si="167"/>
        <v>3.0032613691636509</v>
      </c>
      <c r="B1578" s="4" cm="1">
        <f t="array" aca="1" ref="B15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578" s="2">
        <f t="shared" ca="1" si="168"/>
        <v>3.0207405335303537</v>
      </c>
      <c r="D1578" s="4" t="str" cm="1">
        <f t="array" aca="1" ref="D15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78" s="2">
        <f t="shared" ca="1" si="169"/>
        <v>30.022478258985576</v>
      </c>
      <c r="F1578" s="4" t="str" cm="1">
        <f t="array" aca="1" ref="F15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78" s="2">
        <f t="shared" ca="1" si="170"/>
        <v>40.019158558325941</v>
      </c>
      <c r="H1578" s="47" t="str" cm="1">
        <f t="array" aca="1" ref="H15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79" spans="1:8" x14ac:dyDescent="0.25">
      <c r="A1579" s="2">
        <f t="shared" ca="1" si="167"/>
        <v>3.001241743177423</v>
      </c>
      <c r="B1579" s="4" cm="1">
        <f t="array" aca="1" ref="B15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579" s="2">
        <f t="shared" ca="1" si="168"/>
        <v>3.0143629939533123</v>
      </c>
      <c r="D1579" s="4" t="str" cm="1">
        <f t="array" aca="1" ref="D15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79" s="2">
        <f t="shared" ca="1" si="169"/>
        <v>30.020633612937619</v>
      </c>
      <c r="F1579" s="4" t="str" cm="1">
        <f t="array" aca="1" ref="F15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79" s="2">
        <f t="shared" ca="1" si="170"/>
        <v>40.02558658016585</v>
      </c>
      <c r="H1579" s="47" t="str" cm="1">
        <f t="array" aca="1" ref="H15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80" spans="1:8" x14ac:dyDescent="0.25">
      <c r="A1580" s="2">
        <f t="shared" ca="1" si="167"/>
        <v>3.0030812566364062</v>
      </c>
      <c r="B1580" s="4" cm="1">
        <f t="array" aca="1" ref="B15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580" s="2">
        <f t="shared" ca="1" si="168"/>
        <v>3.0059634757142311</v>
      </c>
      <c r="D1580" s="4" t="str" cm="1">
        <f t="array" aca="1" ref="D15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80" s="2">
        <f t="shared" ca="1" si="169"/>
        <v>30.017449131753274</v>
      </c>
      <c r="F1580" s="4" t="str" cm="1">
        <f t="array" aca="1" ref="F15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80" s="2">
        <f t="shared" ca="1" si="170"/>
        <v>40.006134940136519</v>
      </c>
      <c r="H1580" s="47" t="str" cm="1">
        <f t="array" aca="1" ref="H15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81" spans="1:8" x14ac:dyDescent="0.25">
      <c r="A1581" s="2">
        <f t="shared" ca="1" si="167"/>
        <v>3.0002193193907085</v>
      </c>
      <c r="B1581" s="4" cm="1">
        <f t="array" aca="1" ref="B15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581" s="2">
        <f t="shared" ca="1" si="168"/>
        <v>3.0211347205322001</v>
      </c>
      <c r="D1581" s="4" t="str" cm="1">
        <f t="array" aca="1" ref="D15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81" s="2">
        <f t="shared" ca="1" si="169"/>
        <v>30.010793277710036</v>
      </c>
      <c r="F1581" s="4" t="str" cm="1">
        <f t="array" aca="1" ref="F15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81" s="2">
        <f t="shared" ca="1" si="170"/>
        <v>40.014868108072086</v>
      </c>
      <c r="H1581" s="47" t="str" cm="1">
        <f t="array" aca="1" ref="H15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82" spans="1:8" x14ac:dyDescent="0.25">
      <c r="A1582" s="2">
        <f t="shared" ca="1" si="167"/>
        <v>3.0004351772443605</v>
      </c>
      <c r="B1582" s="4" cm="1">
        <f t="array" aca="1" ref="B15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582" s="2">
        <f t="shared" ca="1" si="168"/>
        <v>3.0201182594545322</v>
      </c>
      <c r="D1582" s="4" t="str" cm="1">
        <f t="array" aca="1" ref="D15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82" s="2">
        <f t="shared" ca="1" si="169"/>
        <v>30.026246766395275</v>
      </c>
      <c r="F1582" s="4" t="str" cm="1">
        <f t="array" aca="1" ref="F15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82" s="2">
        <f t="shared" ca="1" si="170"/>
        <v>40.017253185198641</v>
      </c>
      <c r="H1582" s="47" t="str" cm="1">
        <f t="array" aca="1" ref="H15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83" spans="1:8" x14ac:dyDescent="0.25">
      <c r="A1583" s="2">
        <f t="shared" ca="1" si="167"/>
        <v>3.00852309090638</v>
      </c>
      <c r="B1583" s="4" cm="1">
        <f t="array" aca="1" ref="B15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583" s="2">
        <f t="shared" ca="1" si="168"/>
        <v>3.0083495437170122</v>
      </c>
      <c r="D1583" s="4" t="str" cm="1">
        <f t="array" aca="1" ref="D15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83" s="2">
        <f t="shared" ca="1" si="169"/>
        <v>30.021861467538027</v>
      </c>
      <c r="F1583" s="4" t="str" cm="1">
        <f t="array" aca="1" ref="F15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83" s="2">
        <f t="shared" ca="1" si="170"/>
        <v>40.012467873496171</v>
      </c>
      <c r="H1583" s="47" t="str" cm="1">
        <f t="array" aca="1" ref="H15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84" spans="1:8" x14ac:dyDescent="0.25">
      <c r="A1584" s="2">
        <f t="shared" ca="1" si="167"/>
        <v>3.0021225471750803</v>
      </c>
      <c r="B1584" s="4" cm="1">
        <f t="array" aca="1" ref="B15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584" s="2">
        <f t="shared" ca="1" si="168"/>
        <v>3.0071857154667052</v>
      </c>
      <c r="D1584" s="4" t="str" cm="1">
        <f t="array" aca="1" ref="D15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84" s="2">
        <f t="shared" ca="1" si="169"/>
        <v>30.006058172865817</v>
      </c>
      <c r="F1584" s="4" t="str" cm="1">
        <f t="array" aca="1" ref="F15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84" s="2">
        <f t="shared" ca="1" si="170"/>
        <v>40.000805838509855</v>
      </c>
      <c r="H1584" s="47" t="str" cm="1">
        <f t="array" aca="1" ref="H15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85" spans="1:8" x14ac:dyDescent="0.25">
      <c r="A1585" s="2">
        <f t="shared" ca="1" si="167"/>
        <v>3.0075560306131432</v>
      </c>
      <c r="B1585" s="4" cm="1">
        <f t="array" aca="1" ref="B15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585" s="2">
        <f t="shared" ca="1" si="168"/>
        <v>3.0129958903559362</v>
      </c>
      <c r="D1585" s="4" t="str" cm="1">
        <f t="array" aca="1" ref="D15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85" s="2">
        <f t="shared" ca="1" si="169"/>
        <v>30.025925373783807</v>
      </c>
      <c r="F1585" s="4" t="str" cm="1">
        <f t="array" aca="1" ref="F15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85" s="2">
        <f t="shared" ca="1" si="170"/>
        <v>40.006552689897049</v>
      </c>
      <c r="H1585" s="47" t="str" cm="1">
        <f t="array" aca="1" ref="H15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86" spans="1:8" x14ac:dyDescent="0.25">
      <c r="A1586" s="2">
        <f t="shared" ca="1" si="167"/>
        <v>3.0043809723332013</v>
      </c>
      <c r="B1586" s="4" cm="1">
        <f t="array" aca="1" ref="B15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586" s="2">
        <f t="shared" ca="1" si="168"/>
        <v>3.0048686304860728</v>
      </c>
      <c r="D1586" s="4" t="str" cm="1">
        <f t="array" aca="1" ref="D15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86" s="2">
        <f t="shared" ca="1" si="169"/>
        <v>30.002177012813345</v>
      </c>
      <c r="F1586" s="4" t="str" cm="1">
        <f t="array" aca="1" ref="F15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86" s="2">
        <f t="shared" ca="1" si="170"/>
        <v>40.029150319458985</v>
      </c>
      <c r="H1586" s="47" t="str" cm="1">
        <f t="array" aca="1" ref="H15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87" spans="1:8" x14ac:dyDescent="0.25">
      <c r="A1587" s="2">
        <f t="shared" ca="1" si="167"/>
        <v>3.0033034420822804</v>
      </c>
      <c r="B1587" s="4" cm="1">
        <f t="array" aca="1" ref="B15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587" s="2">
        <f t="shared" ca="1" si="168"/>
        <v>3.0289716461340253</v>
      </c>
      <c r="D1587" s="4" t="str" cm="1">
        <f t="array" aca="1" ref="D15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87" s="2">
        <f t="shared" ca="1" si="169"/>
        <v>30.005722147239528</v>
      </c>
      <c r="F1587" s="4" t="str" cm="1">
        <f t="array" aca="1" ref="F15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87" s="2">
        <f t="shared" ca="1" si="170"/>
        <v>40.028529823270794</v>
      </c>
      <c r="H1587" s="47" t="str" cm="1">
        <f t="array" aca="1" ref="H15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88" spans="1:8" x14ac:dyDescent="0.25">
      <c r="A1588" s="2">
        <f t="shared" ca="1" si="167"/>
        <v>3.0087041092851035</v>
      </c>
      <c r="B1588" s="4" cm="1">
        <f t="array" aca="1" ref="B15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588" s="2">
        <f t="shared" ca="1" si="168"/>
        <v>3.0148730267964865</v>
      </c>
      <c r="D1588" s="4" t="str" cm="1">
        <f t="array" aca="1" ref="D15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88" s="2">
        <f t="shared" ca="1" si="169"/>
        <v>30.029780075030871</v>
      </c>
      <c r="F1588" s="4" t="str" cm="1">
        <f t="array" aca="1" ref="F15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88" s="2">
        <f t="shared" ca="1" si="170"/>
        <v>40.002859688301612</v>
      </c>
      <c r="H1588" s="47" t="str" cm="1">
        <f t="array" aca="1" ref="H15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89" spans="1:8" x14ac:dyDescent="0.25">
      <c r="A1589" s="2">
        <f t="shared" ca="1" si="167"/>
        <v>3.0079854633558778</v>
      </c>
      <c r="B1589" s="4" cm="1">
        <f t="array" aca="1" ref="B15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589" s="2">
        <f t="shared" ca="1" si="168"/>
        <v>3.0062192006535451</v>
      </c>
      <c r="D1589" s="4" t="str" cm="1">
        <f t="array" aca="1" ref="D15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89" s="2">
        <f t="shared" ca="1" si="169"/>
        <v>30.008315562272099</v>
      </c>
      <c r="F1589" s="4" t="str" cm="1">
        <f t="array" aca="1" ref="F15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89" s="2">
        <f t="shared" ca="1" si="170"/>
        <v>40.023233890650978</v>
      </c>
      <c r="H1589" s="47" t="str" cm="1">
        <f t="array" aca="1" ref="H15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90" spans="1:8" x14ac:dyDescent="0.25">
      <c r="A1590" s="2">
        <f t="shared" ca="1" si="167"/>
        <v>3.0009333552209845</v>
      </c>
      <c r="B1590" s="4" cm="1">
        <f t="array" aca="1" ref="B15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590" s="2">
        <f t="shared" ca="1" si="168"/>
        <v>3.0245169064004127</v>
      </c>
      <c r="D1590" s="4" t="str" cm="1">
        <f t="array" aca="1" ref="D15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90" s="2">
        <f t="shared" ca="1" si="169"/>
        <v>30.022619503302725</v>
      </c>
      <c r="F1590" s="4" t="str" cm="1">
        <f t="array" aca="1" ref="F15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90" s="2">
        <f t="shared" ca="1" si="170"/>
        <v>40.009047601130007</v>
      </c>
      <c r="H1590" s="47" t="str" cm="1">
        <f t="array" aca="1" ref="H15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91" spans="1:8" x14ac:dyDescent="0.25">
      <c r="A1591" s="2">
        <f t="shared" ca="1" si="167"/>
        <v>3.0027379158121095</v>
      </c>
      <c r="B1591" s="4" cm="1">
        <f t="array" aca="1" ref="B15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591" s="2">
        <f t="shared" ca="1" si="168"/>
        <v>3.0065859850145626</v>
      </c>
      <c r="D1591" s="4" t="str" cm="1">
        <f t="array" aca="1" ref="D15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91" s="2">
        <f t="shared" ca="1" si="169"/>
        <v>30.026295337469296</v>
      </c>
      <c r="F1591" s="4" t="str" cm="1">
        <f t="array" aca="1" ref="F15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91" s="2">
        <f t="shared" ca="1" si="170"/>
        <v>40.007435440037398</v>
      </c>
      <c r="H1591" s="47" t="str" cm="1">
        <f t="array" aca="1" ref="H15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92" spans="1:8" x14ac:dyDescent="0.25">
      <c r="A1592" s="2">
        <f t="shared" ca="1" si="167"/>
        <v>3.0086025946495685</v>
      </c>
      <c r="B1592" s="4" cm="1">
        <f t="array" aca="1" ref="B15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592" s="2">
        <f t="shared" ca="1" si="168"/>
        <v>3.0203227989496764</v>
      </c>
      <c r="D1592" s="4" t="str" cm="1">
        <f t="array" aca="1" ref="D15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92" s="2">
        <f t="shared" ca="1" si="169"/>
        <v>30.024066196564199</v>
      </c>
      <c r="F1592" s="4" t="str" cm="1">
        <f t="array" aca="1" ref="F15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92" s="2">
        <f t="shared" ca="1" si="170"/>
        <v>40.010679980882202</v>
      </c>
      <c r="H1592" s="47" t="str" cm="1">
        <f t="array" aca="1" ref="H15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93" spans="1:8" x14ac:dyDescent="0.25">
      <c r="A1593" s="2">
        <f t="shared" ca="1" si="167"/>
        <v>3.004198118801229</v>
      </c>
      <c r="B1593" s="4" cm="1">
        <f t="array" aca="1" ref="B15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593" s="2">
        <f t="shared" ca="1" si="168"/>
        <v>3.0286872050136737</v>
      </c>
      <c r="D1593" s="4" t="str" cm="1">
        <f t="array" aca="1" ref="D15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93" s="2">
        <f t="shared" ca="1" si="169"/>
        <v>30.022745318394684</v>
      </c>
      <c r="F1593" s="4" t="str" cm="1">
        <f t="array" aca="1" ref="F15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93" s="2">
        <f t="shared" ca="1" si="170"/>
        <v>40.019475659785677</v>
      </c>
      <c r="H1593" s="47" t="str" cm="1">
        <f t="array" aca="1" ref="H15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94" spans="1:8" x14ac:dyDescent="0.25">
      <c r="A1594" s="2">
        <f t="shared" ca="1" si="167"/>
        <v>3.0092381294781467</v>
      </c>
      <c r="B1594" s="4" cm="1">
        <f t="array" aca="1" ref="B15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594" s="2">
        <f t="shared" ca="1" si="168"/>
        <v>3.0117678434590065</v>
      </c>
      <c r="D1594" s="4" t="str" cm="1">
        <f t="array" aca="1" ref="D15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94" s="2">
        <f t="shared" ca="1" si="169"/>
        <v>30.028014788649603</v>
      </c>
      <c r="F1594" s="4" t="str" cm="1">
        <f t="array" aca="1" ref="F15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594" s="2">
        <f t="shared" ca="1" si="170"/>
        <v>40.023994895454777</v>
      </c>
      <c r="H1594" s="47" t="str" cm="1">
        <f t="array" aca="1" ref="H15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95" spans="1:8" x14ac:dyDescent="0.25">
      <c r="A1595" s="2">
        <f t="shared" ca="1" si="167"/>
        <v>3.0098386890929576</v>
      </c>
      <c r="B1595" s="4" cm="1">
        <f t="array" aca="1" ref="B15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595" s="2">
        <f t="shared" ca="1" si="168"/>
        <v>3.0129287322838585</v>
      </c>
      <c r="D1595" s="4" t="str" cm="1">
        <f t="array" aca="1" ref="D15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595" s="2">
        <f t="shared" ca="1" si="169"/>
        <v>30.012356885954048</v>
      </c>
      <c r="F1595" s="4" t="str" cm="1">
        <f t="array" aca="1" ref="F15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95" s="2">
        <f t="shared" ca="1" si="170"/>
        <v>40.000614708085422</v>
      </c>
      <c r="H1595" s="47" t="str" cm="1">
        <f t="array" aca="1" ref="H15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596" spans="1:8" x14ac:dyDescent="0.25">
      <c r="A1596" s="2">
        <f t="shared" ca="1" si="167"/>
        <v>3.0072382298932752</v>
      </c>
      <c r="B1596" s="4" cm="1">
        <f t="array" aca="1" ref="B15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596" s="2">
        <f t="shared" ca="1" si="168"/>
        <v>3.0259095955626916</v>
      </c>
      <c r="D1596" s="4" t="str" cm="1">
        <f t="array" aca="1" ref="D15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596" s="2">
        <f t="shared" ca="1" si="169"/>
        <v>30.009583311274007</v>
      </c>
      <c r="F1596" s="4" t="str" cm="1">
        <f t="array" aca="1" ref="F15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96" s="2">
        <f t="shared" ca="1" si="170"/>
        <v>40.022361207295312</v>
      </c>
      <c r="H1596" s="47" t="str" cm="1">
        <f t="array" aca="1" ref="H15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97" spans="1:8" x14ac:dyDescent="0.25">
      <c r="A1597" s="2">
        <f t="shared" ca="1" si="167"/>
        <v>3.0066075101458769</v>
      </c>
      <c r="B1597" s="4" cm="1">
        <f t="array" aca="1" ref="B15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597" s="2">
        <f t="shared" ca="1" si="168"/>
        <v>3.0037828405371925</v>
      </c>
      <c r="D1597" s="4" t="str" cm="1">
        <f t="array" aca="1" ref="D15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97" s="2">
        <f t="shared" ca="1" si="169"/>
        <v>30.01742968782321</v>
      </c>
      <c r="F1597" s="4" t="str" cm="1">
        <f t="array" aca="1" ref="F15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597" s="2">
        <f t="shared" ca="1" si="170"/>
        <v>40.020907049508729</v>
      </c>
      <c r="H1597" s="47" t="str" cm="1">
        <f t="array" aca="1" ref="H15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598" spans="1:8" x14ac:dyDescent="0.25">
      <c r="A1598" s="2">
        <f t="shared" ca="1" si="167"/>
        <v>3.0015438844073561</v>
      </c>
      <c r="B1598" s="4" cm="1">
        <f t="array" aca="1" ref="B15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598" s="2">
        <f t="shared" ca="1" si="168"/>
        <v>3.0038569725591451</v>
      </c>
      <c r="D1598" s="4" t="str" cm="1">
        <f t="array" aca="1" ref="D15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98" s="2">
        <f t="shared" ca="1" si="169"/>
        <v>30.001319134870727</v>
      </c>
      <c r="F1598" s="4" t="str" cm="1">
        <f t="array" aca="1" ref="F15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98" s="2">
        <f t="shared" ca="1" si="170"/>
        <v>40.014444912512587</v>
      </c>
      <c r="H1598" s="47" t="str" cm="1">
        <f t="array" aca="1" ref="H15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599" spans="1:8" x14ac:dyDescent="0.25">
      <c r="A1599" s="2">
        <f t="shared" ca="1" si="167"/>
        <v>3.0081139025818979</v>
      </c>
      <c r="B1599" s="4" cm="1">
        <f t="array" aca="1" ref="B15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599" s="2">
        <f t="shared" ca="1" si="168"/>
        <v>3.00464864355461</v>
      </c>
      <c r="D1599" s="4" t="str" cm="1">
        <f t="array" aca="1" ref="D15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599" s="2">
        <f t="shared" ca="1" si="169"/>
        <v>30.009540811803497</v>
      </c>
      <c r="F1599" s="4" t="str" cm="1">
        <f t="array" aca="1" ref="F15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599" s="2">
        <f t="shared" ca="1" si="170"/>
        <v>40.004134854560419</v>
      </c>
      <c r="H1599" s="47" t="str" cm="1">
        <f t="array" aca="1" ref="H15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00" spans="1:8" x14ac:dyDescent="0.25">
      <c r="A1600" s="2">
        <f t="shared" ca="1" si="167"/>
        <v>3.0067850686482398</v>
      </c>
      <c r="B1600" s="4" cm="1">
        <f t="array" aca="1" ref="B16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600" s="2">
        <f t="shared" ca="1" si="168"/>
        <v>3.0083325805288696</v>
      </c>
      <c r="D1600" s="4" t="str" cm="1">
        <f t="array" aca="1" ref="D16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00" s="2">
        <f t="shared" ca="1" si="169"/>
        <v>30.020102399712155</v>
      </c>
      <c r="F1600" s="4" t="str" cm="1">
        <f t="array" aca="1" ref="F16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00" s="2">
        <f t="shared" ca="1" si="170"/>
        <v>40.011867471371495</v>
      </c>
      <c r="H1600" s="47" t="str" cm="1">
        <f t="array" aca="1" ref="H16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01" spans="1:8" x14ac:dyDescent="0.25">
      <c r="A1601" s="2">
        <f t="shared" ca="1" si="167"/>
        <v>3.0098327119099393</v>
      </c>
      <c r="B1601" s="4" cm="1">
        <f t="array" aca="1" ref="B16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601" s="2">
        <f t="shared" ca="1" si="168"/>
        <v>3.0215832296587761</v>
      </c>
      <c r="D1601" s="4" t="str" cm="1">
        <f t="array" aca="1" ref="D16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01" s="2">
        <f t="shared" ca="1" si="169"/>
        <v>30.003012778229071</v>
      </c>
      <c r="F1601" s="4" t="str" cm="1">
        <f t="array" aca="1" ref="F16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01" s="2">
        <f t="shared" ca="1" si="170"/>
        <v>40.028403211570719</v>
      </c>
      <c r="H1601" s="47" t="str" cm="1">
        <f t="array" aca="1" ref="H16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02" spans="1:8" x14ac:dyDescent="0.25">
      <c r="A1602" s="2">
        <f t="shared" ref="A1602:A1665" ca="1" si="171">3+RAND()*0.01</f>
        <v>3.0002121684266956</v>
      </c>
      <c r="B1602" s="4" cm="1">
        <f t="array" aca="1" ref="B16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602" s="2">
        <f t="shared" ref="C1602:C1665" ca="1" si="172">3+RAND()*0.03</f>
        <v>3.0138753249851868</v>
      </c>
      <c r="D1602" s="4" t="str" cm="1">
        <f t="array" aca="1" ref="D16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02" s="2">
        <f t="shared" ref="E1602:E1665" ca="1" si="173">30+RAND()*0.03</f>
        <v>30.011732944332877</v>
      </c>
      <c r="F1602" s="4" t="str" cm="1">
        <f t="array" aca="1" ref="F16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02" s="2">
        <f t="shared" ref="G1602:G1665" ca="1" si="174">40+RAND()*0.03</f>
        <v>40.029651460231918</v>
      </c>
      <c r="H1602" s="47" t="str" cm="1">
        <f t="array" aca="1" ref="H16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03" spans="1:8" x14ac:dyDescent="0.25">
      <c r="A1603" s="2">
        <f t="shared" ca="1" si="171"/>
        <v>3.0000607529782508</v>
      </c>
      <c r="B1603" s="4" cm="1">
        <f t="array" aca="1" ref="B16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603" s="2">
        <f t="shared" ca="1" si="172"/>
        <v>3.0121335648935634</v>
      </c>
      <c r="D1603" s="4" t="str" cm="1">
        <f t="array" aca="1" ref="D16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03" s="2">
        <f t="shared" ca="1" si="173"/>
        <v>30.015693638208639</v>
      </c>
      <c r="F1603" s="4" t="str" cm="1">
        <f t="array" aca="1" ref="F16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03" s="2">
        <f t="shared" ca="1" si="174"/>
        <v>40.01578402994496</v>
      </c>
      <c r="H1603" s="47" t="str" cm="1">
        <f t="array" aca="1" ref="H16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04" spans="1:8" x14ac:dyDescent="0.25">
      <c r="A1604" s="2">
        <f t="shared" ca="1" si="171"/>
        <v>3.0069897605131635</v>
      </c>
      <c r="B1604" s="4" cm="1">
        <f t="array" aca="1" ref="B16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604" s="2">
        <f t="shared" ca="1" si="172"/>
        <v>3.0200821603658197</v>
      </c>
      <c r="D1604" s="4" t="str" cm="1">
        <f t="array" aca="1" ref="D16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04" s="2">
        <f t="shared" ca="1" si="173"/>
        <v>30.023973938249163</v>
      </c>
      <c r="F1604" s="4" t="str" cm="1">
        <f t="array" aca="1" ref="F16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04" s="2">
        <f t="shared" ca="1" si="174"/>
        <v>40.019619700888448</v>
      </c>
      <c r="H1604" s="47" t="str" cm="1">
        <f t="array" aca="1" ref="H16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05" spans="1:8" x14ac:dyDescent="0.25">
      <c r="A1605" s="2">
        <f t="shared" ca="1" si="171"/>
        <v>3.0019736116343063</v>
      </c>
      <c r="B1605" s="4" cm="1">
        <f t="array" aca="1" ref="B16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605" s="2">
        <f t="shared" ca="1" si="172"/>
        <v>3.0062813181219217</v>
      </c>
      <c r="D1605" s="4" t="str" cm="1">
        <f t="array" aca="1" ref="D16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05" s="2">
        <f t="shared" ca="1" si="173"/>
        <v>30.018235354544078</v>
      </c>
      <c r="F1605" s="4" t="str" cm="1">
        <f t="array" aca="1" ref="F16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05" s="2">
        <f t="shared" ca="1" si="174"/>
        <v>40.000564986434867</v>
      </c>
      <c r="H1605" s="47" t="str" cm="1">
        <f t="array" aca="1" ref="H16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06" spans="1:8" x14ac:dyDescent="0.25">
      <c r="A1606" s="2">
        <f t="shared" ca="1" si="171"/>
        <v>3.0015073463132613</v>
      </c>
      <c r="B1606" s="4" cm="1">
        <f t="array" aca="1" ref="B16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606" s="2">
        <f t="shared" ca="1" si="172"/>
        <v>3.0107180867970098</v>
      </c>
      <c r="D1606" s="4" t="str" cm="1">
        <f t="array" aca="1" ref="D16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06" s="2">
        <f t="shared" ca="1" si="173"/>
        <v>30.015831962222936</v>
      </c>
      <c r="F1606" s="4" t="str" cm="1">
        <f t="array" aca="1" ref="F16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06" s="2">
        <f t="shared" ca="1" si="174"/>
        <v>40.022308639527978</v>
      </c>
      <c r="H1606" s="47" t="str" cm="1">
        <f t="array" aca="1" ref="H16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07" spans="1:8" x14ac:dyDescent="0.25">
      <c r="A1607" s="2">
        <f t="shared" ca="1" si="171"/>
        <v>3.0047096497419186</v>
      </c>
      <c r="B1607" s="4" cm="1">
        <f t="array" aca="1" ref="B16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607" s="2">
        <f t="shared" ca="1" si="172"/>
        <v>3.0189645877890281</v>
      </c>
      <c r="D1607" s="4" t="str" cm="1">
        <f t="array" aca="1" ref="D16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07" s="2">
        <f t="shared" ca="1" si="173"/>
        <v>30.014169093564114</v>
      </c>
      <c r="F1607" s="4" t="str" cm="1">
        <f t="array" aca="1" ref="F16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07" s="2">
        <f t="shared" ca="1" si="174"/>
        <v>40.021545623422774</v>
      </c>
      <c r="H1607" s="47" t="str" cm="1">
        <f t="array" aca="1" ref="H16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08" spans="1:8" x14ac:dyDescent="0.25">
      <c r="A1608" s="2">
        <f t="shared" ca="1" si="171"/>
        <v>3.0092684981763855</v>
      </c>
      <c r="B1608" s="4" cm="1">
        <f t="array" aca="1" ref="B16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608" s="2">
        <f t="shared" ca="1" si="172"/>
        <v>3.0259043744755747</v>
      </c>
      <c r="D1608" s="4" t="str" cm="1">
        <f t="array" aca="1" ref="D16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08" s="2">
        <f t="shared" ca="1" si="173"/>
        <v>30.021738474120266</v>
      </c>
      <c r="F1608" s="4" t="str" cm="1">
        <f t="array" aca="1" ref="F16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08" s="2">
        <f t="shared" ca="1" si="174"/>
        <v>40.02037076665524</v>
      </c>
      <c r="H1608" s="47" t="str" cm="1">
        <f t="array" aca="1" ref="H16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09" spans="1:8" x14ac:dyDescent="0.25">
      <c r="A1609" s="2">
        <f t="shared" ca="1" si="171"/>
        <v>3.0075727699142605</v>
      </c>
      <c r="B1609" s="4" cm="1">
        <f t="array" aca="1" ref="B16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609" s="2">
        <f t="shared" ca="1" si="172"/>
        <v>3.0114664249218981</v>
      </c>
      <c r="D1609" s="4" t="str" cm="1">
        <f t="array" aca="1" ref="D16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09" s="2">
        <f t="shared" ca="1" si="173"/>
        <v>30.012231719091574</v>
      </c>
      <c r="F1609" s="4" t="str" cm="1">
        <f t="array" aca="1" ref="F16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09" s="2">
        <f t="shared" ca="1" si="174"/>
        <v>40.022633100861867</v>
      </c>
      <c r="H1609" s="47" t="str" cm="1">
        <f t="array" aca="1" ref="H16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10" spans="1:8" x14ac:dyDescent="0.25">
      <c r="A1610" s="2">
        <f t="shared" ca="1" si="171"/>
        <v>3.0005035582935098</v>
      </c>
      <c r="B1610" s="4" cm="1">
        <f t="array" aca="1" ref="B16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610" s="2">
        <f t="shared" ca="1" si="172"/>
        <v>3.0052768889244477</v>
      </c>
      <c r="D1610" s="4" t="str" cm="1">
        <f t="array" aca="1" ref="D16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10" s="2">
        <f t="shared" ca="1" si="173"/>
        <v>30.00828906053642</v>
      </c>
      <c r="F1610" s="4" t="str" cm="1">
        <f t="array" aca="1" ref="F16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10" s="2">
        <f t="shared" ca="1" si="174"/>
        <v>40.002797408903156</v>
      </c>
      <c r="H1610" s="47" t="str" cm="1">
        <f t="array" aca="1" ref="H16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11" spans="1:8" x14ac:dyDescent="0.25">
      <c r="A1611" s="2">
        <f t="shared" ca="1" si="171"/>
        <v>3.0001483667780229</v>
      </c>
      <c r="B1611" s="4" cm="1">
        <f t="array" aca="1" ref="B16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611" s="2">
        <f t="shared" ca="1" si="172"/>
        <v>3.019264380373528</v>
      </c>
      <c r="D1611" s="4" t="str" cm="1">
        <f t="array" aca="1" ref="D16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11" s="2">
        <f t="shared" ca="1" si="173"/>
        <v>30.005490937977047</v>
      </c>
      <c r="F1611" s="4" t="str" cm="1">
        <f t="array" aca="1" ref="F16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11" s="2">
        <f t="shared" ca="1" si="174"/>
        <v>40.017187924058902</v>
      </c>
      <c r="H1611" s="47" t="str" cm="1">
        <f t="array" aca="1" ref="H16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12" spans="1:8" x14ac:dyDescent="0.25">
      <c r="A1612" s="2">
        <f t="shared" ca="1" si="171"/>
        <v>3.0070720052862083</v>
      </c>
      <c r="B1612" s="4" cm="1">
        <f t="array" aca="1" ref="B16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612" s="2">
        <f t="shared" ca="1" si="172"/>
        <v>3.0220995590097131</v>
      </c>
      <c r="D1612" s="4" t="str" cm="1">
        <f t="array" aca="1" ref="D16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12" s="2">
        <f t="shared" ca="1" si="173"/>
        <v>30.023294245553018</v>
      </c>
      <c r="F1612" s="4" t="str" cm="1">
        <f t="array" aca="1" ref="F16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12" s="2">
        <f t="shared" ca="1" si="174"/>
        <v>40.002688896256757</v>
      </c>
      <c r="H1612" s="47" t="str" cm="1">
        <f t="array" aca="1" ref="H16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13" spans="1:8" x14ac:dyDescent="0.25">
      <c r="A1613" s="2">
        <f t="shared" ca="1" si="171"/>
        <v>3.0029926494467909</v>
      </c>
      <c r="B1613" s="4" cm="1">
        <f t="array" aca="1" ref="B16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613" s="2">
        <f t="shared" ca="1" si="172"/>
        <v>3.0196463297860436</v>
      </c>
      <c r="D1613" s="4" t="str" cm="1">
        <f t="array" aca="1" ref="D16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13" s="2">
        <f t="shared" ca="1" si="173"/>
        <v>30.021753162052487</v>
      </c>
      <c r="F1613" s="4" t="str" cm="1">
        <f t="array" aca="1" ref="F16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13" s="2">
        <f t="shared" ca="1" si="174"/>
        <v>40.023998957638995</v>
      </c>
      <c r="H1613" s="47" t="str" cm="1">
        <f t="array" aca="1" ref="H16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14" spans="1:8" x14ac:dyDescent="0.25">
      <c r="A1614" s="2">
        <f t="shared" ca="1" si="171"/>
        <v>3.0019597602495143</v>
      </c>
      <c r="B1614" s="4" cm="1">
        <f t="array" aca="1" ref="B16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614" s="2">
        <f t="shared" ca="1" si="172"/>
        <v>3.0170832958234448</v>
      </c>
      <c r="D1614" s="4" t="str" cm="1">
        <f t="array" aca="1" ref="D16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14" s="2">
        <f t="shared" ca="1" si="173"/>
        <v>30.00678444926686</v>
      </c>
      <c r="F1614" s="4" t="str" cm="1">
        <f t="array" aca="1" ref="F16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14" s="2">
        <f t="shared" ca="1" si="174"/>
        <v>40.014251704752922</v>
      </c>
      <c r="H1614" s="47" t="str" cm="1">
        <f t="array" aca="1" ref="H16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15" spans="1:8" x14ac:dyDescent="0.25">
      <c r="A1615" s="2">
        <f t="shared" ca="1" si="171"/>
        <v>3.0065001352977401</v>
      </c>
      <c r="B1615" s="4" cm="1">
        <f t="array" aca="1" ref="B16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615" s="2">
        <f t="shared" ca="1" si="172"/>
        <v>3.026848004857182</v>
      </c>
      <c r="D1615" s="4" t="str" cm="1">
        <f t="array" aca="1" ref="D16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15" s="2">
        <f t="shared" ca="1" si="173"/>
        <v>30.019690512735842</v>
      </c>
      <c r="F1615" s="4" t="str" cm="1">
        <f t="array" aca="1" ref="F16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15" s="2">
        <f t="shared" ca="1" si="174"/>
        <v>40.003364043227698</v>
      </c>
      <c r="H1615" s="47" t="str" cm="1">
        <f t="array" aca="1" ref="H16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16" spans="1:8" x14ac:dyDescent="0.25">
      <c r="A1616" s="2">
        <f t="shared" ca="1" si="171"/>
        <v>3.0001267072612023</v>
      </c>
      <c r="B1616" s="4" cm="1">
        <f t="array" aca="1" ref="B16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616" s="2">
        <f t="shared" ca="1" si="172"/>
        <v>3.0227155339494671</v>
      </c>
      <c r="D1616" s="4" t="str" cm="1">
        <f t="array" aca="1" ref="D16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16" s="2">
        <f t="shared" ca="1" si="173"/>
        <v>30.027974859600587</v>
      </c>
      <c r="F1616" s="4" t="str" cm="1">
        <f t="array" aca="1" ref="F16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16" s="2">
        <f t="shared" ca="1" si="174"/>
        <v>40.017905977907461</v>
      </c>
      <c r="H1616" s="47" t="str" cm="1">
        <f t="array" aca="1" ref="H16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17" spans="1:8" x14ac:dyDescent="0.25">
      <c r="A1617" s="2">
        <f t="shared" ca="1" si="171"/>
        <v>3.0007463609293987</v>
      </c>
      <c r="B1617" s="4" cm="1">
        <f t="array" aca="1" ref="B16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617" s="2">
        <f t="shared" ca="1" si="172"/>
        <v>3.0227541432820391</v>
      </c>
      <c r="D1617" s="4" t="str" cm="1">
        <f t="array" aca="1" ref="D16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17" s="2">
        <f t="shared" ca="1" si="173"/>
        <v>30.026309395933382</v>
      </c>
      <c r="F1617" s="4" t="str" cm="1">
        <f t="array" aca="1" ref="F16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17" s="2">
        <f t="shared" ca="1" si="174"/>
        <v>40.017867975497531</v>
      </c>
      <c r="H1617" s="47" t="str" cm="1">
        <f t="array" aca="1" ref="H16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18" spans="1:8" x14ac:dyDescent="0.25">
      <c r="A1618" s="2">
        <f t="shared" ca="1" si="171"/>
        <v>3.0089935630816824</v>
      </c>
      <c r="B1618" s="4" cm="1">
        <f t="array" aca="1" ref="B16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618" s="2">
        <f t="shared" ca="1" si="172"/>
        <v>3.0092736499335104</v>
      </c>
      <c r="D1618" s="4" t="str" cm="1">
        <f t="array" aca="1" ref="D16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18" s="2">
        <f t="shared" ca="1" si="173"/>
        <v>30.020594577093753</v>
      </c>
      <c r="F1618" s="4" t="str" cm="1">
        <f t="array" aca="1" ref="F16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18" s="2">
        <f t="shared" ca="1" si="174"/>
        <v>40.004572572349709</v>
      </c>
      <c r="H1618" s="47" t="str" cm="1">
        <f t="array" aca="1" ref="H16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19" spans="1:8" x14ac:dyDescent="0.25">
      <c r="A1619" s="2">
        <f t="shared" ca="1" si="171"/>
        <v>3.0048554499452091</v>
      </c>
      <c r="B1619" s="4" cm="1">
        <f t="array" aca="1" ref="B16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619" s="2">
        <f t="shared" ca="1" si="172"/>
        <v>3.0011792343152068</v>
      </c>
      <c r="D1619" s="4" t="str" cm="1">
        <f t="array" aca="1" ref="D16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19" s="2">
        <f t="shared" ca="1" si="173"/>
        <v>30.028966755178288</v>
      </c>
      <c r="F1619" s="4" t="str" cm="1">
        <f t="array" aca="1" ref="F16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19" s="2">
        <f t="shared" ca="1" si="174"/>
        <v>40.020389474582778</v>
      </c>
      <c r="H1619" s="47" t="str" cm="1">
        <f t="array" aca="1" ref="H16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20" spans="1:8" x14ac:dyDescent="0.25">
      <c r="A1620" s="2">
        <f t="shared" ca="1" si="171"/>
        <v>3.0048113861168768</v>
      </c>
      <c r="B1620" s="4" cm="1">
        <f t="array" aca="1" ref="B16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620" s="2">
        <f t="shared" ca="1" si="172"/>
        <v>3.0298226455808175</v>
      </c>
      <c r="D1620" s="4" t="str" cm="1">
        <f t="array" aca="1" ref="D16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20" s="2">
        <f t="shared" ca="1" si="173"/>
        <v>30.016350301347675</v>
      </c>
      <c r="F1620" s="4" t="str" cm="1">
        <f t="array" aca="1" ref="F16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20" s="2">
        <f t="shared" ca="1" si="174"/>
        <v>40.016759967336817</v>
      </c>
      <c r="H1620" s="47" t="str" cm="1">
        <f t="array" aca="1" ref="H16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21" spans="1:8" x14ac:dyDescent="0.25">
      <c r="A1621" s="2">
        <f t="shared" ca="1" si="171"/>
        <v>3.0038946458704605</v>
      </c>
      <c r="B1621" s="4" cm="1">
        <f t="array" aca="1" ref="B16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621" s="2">
        <f t="shared" ca="1" si="172"/>
        <v>3.0033109504974078</v>
      </c>
      <c r="D1621" s="4" t="str" cm="1">
        <f t="array" aca="1" ref="D16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21" s="2">
        <f t="shared" ca="1" si="173"/>
        <v>30.000471126178844</v>
      </c>
      <c r="F1621" s="4" t="str" cm="1">
        <f t="array" aca="1" ref="F16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21" s="2">
        <f t="shared" ca="1" si="174"/>
        <v>40.016907571238384</v>
      </c>
      <c r="H1621" s="47" t="str" cm="1">
        <f t="array" aca="1" ref="H16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22" spans="1:8" x14ac:dyDescent="0.25">
      <c r="A1622" s="2">
        <f t="shared" ca="1" si="171"/>
        <v>3.0019084187068152</v>
      </c>
      <c r="B1622" s="4" cm="1">
        <f t="array" aca="1" ref="B16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622" s="2">
        <f t="shared" ca="1" si="172"/>
        <v>3.0296053192085868</v>
      </c>
      <c r="D1622" s="4" t="str" cm="1">
        <f t="array" aca="1" ref="D16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22" s="2">
        <f t="shared" ca="1" si="173"/>
        <v>30.026201281700676</v>
      </c>
      <c r="F1622" s="4" t="str" cm="1">
        <f t="array" aca="1" ref="F16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22" s="2">
        <f t="shared" ca="1" si="174"/>
        <v>40.024244718747106</v>
      </c>
      <c r="H1622" s="47" t="str" cm="1">
        <f t="array" aca="1" ref="H16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23" spans="1:8" x14ac:dyDescent="0.25">
      <c r="A1623" s="2">
        <f t="shared" ca="1" si="171"/>
        <v>3.0014142105989774</v>
      </c>
      <c r="B1623" s="4" cm="1">
        <f t="array" aca="1" ref="B16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623" s="2">
        <f t="shared" ca="1" si="172"/>
        <v>3.0160695312392649</v>
      </c>
      <c r="D1623" s="4" t="str" cm="1">
        <f t="array" aca="1" ref="D16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23" s="2">
        <f t="shared" ca="1" si="173"/>
        <v>30.010300610704924</v>
      </c>
      <c r="F1623" s="4" t="str" cm="1">
        <f t="array" aca="1" ref="F16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23" s="2">
        <f t="shared" ca="1" si="174"/>
        <v>40.009022659229487</v>
      </c>
      <c r="H1623" s="47" t="str" cm="1">
        <f t="array" aca="1" ref="H16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24" spans="1:8" x14ac:dyDescent="0.25">
      <c r="A1624" s="2">
        <f t="shared" ca="1" si="171"/>
        <v>3.0031911667890423</v>
      </c>
      <c r="B1624" s="4" cm="1">
        <f t="array" aca="1" ref="B16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624" s="2">
        <f t="shared" ca="1" si="172"/>
        <v>3.0269839441977138</v>
      </c>
      <c r="D1624" s="4" t="str" cm="1">
        <f t="array" aca="1" ref="D16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24" s="2">
        <f t="shared" ca="1" si="173"/>
        <v>30.02593247317937</v>
      </c>
      <c r="F1624" s="4" t="str" cm="1">
        <f t="array" aca="1" ref="F16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24" s="2">
        <f t="shared" ca="1" si="174"/>
        <v>40.019556963491311</v>
      </c>
      <c r="H1624" s="47" t="str" cm="1">
        <f t="array" aca="1" ref="H16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25" spans="1:8" x14ac:dyDescent="0.25">
      <c r="A1625" s="2">
        <f t="shared" ca="1" si="171"/>
        <v>3.0019143585100045</v>
      </c>
      <c r="B1625" s="4" cm="1">
        <f t="array" aca="1" ref="B16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625" s="2">
        <f t="shared" ca="1" si="172"/>
        <v>3.003558405150855</v>
      </c>
      <c r="D1625" s="4" t="str" cm="1">
        <f t="array" aca="1" ref="D16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25" s="2">
        <f t="shared" ca="1" si="173"/>
        <v>30.018898524604452</v>
      </c>
      <c r="F1625" s="4" t="str" cm="1">
        <f t="array" aca="1" ref="F16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25" s="2">
        <f t="shared" ca="1" si="174"/>
        <v>40.018083721847248</v>
      </c>
      <c r="H1625" s="47" t="str" cm="1">
        <f t="array" aca="1" ref="H16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26" spans="1:8" x14ac:dyDescent="0.25">
      <c r="A1626" s="2">
        <f t="shared" ca="1" si="171"/>
        <v>3.0008037509979082</v>
      </c>
      <c r="B1626" s="4" cm="1">
        <f t="array" aca="1" ref="B16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626" s="2">
        <f t="shared" ca="1" si="172"/>
        <v>3.0032272895371657</v>
      </c>
      <c r="D1626" s="4" t="str" cm="1">
        <f t="array" aca="1" ref="D16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26" s="2">
        <f t="shared" ca="1" si="173"/>
        <v>30.014403774587247</v>
      </c>
      <c r="F1626" s="4" t="str" cm="1">
        <f t="array" aca="1" ref="F16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26" s="2">
        <f t="shared" ca="1" si="174"/>
        <v>40.021213204192271</v>
      </c>
      <c r="H1626" s="47" t="str" cm="1">
        <f t="array" aca="1" ref="H16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27" spans="1:8" x14ac:dyDescent="0.25">
      <c r="A1627" s="2">
        <f t="shared" ca="1" si="171"/>
        <v>3.002528560647292</v>
      </c>
      <c r="B1627" s="4" cm="1">
        <f t="array" aca="1" ref="B16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627" s="2">
        <f t="shared" ca="1" si="172"/>
        <v>3.0151708690799346</v>
      </c>
      <c r="D1627" s="4" t="str" cm="1">
        <f t="array" aca="1" ref="D16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27" s="2">
        <f t="shared" ca="1" si="173"/>
        <v>30.026110489843074</v>
      </c>
      <c r="F1627" s="4" t="str" cm="1">
        <f t="array" aca="1" ref="F16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27" s="2">
        <f t="shared" ca="1" si="174"/>
        <v>40.008222383639882</v>
      </c>
      <c r="H1627" s="47" t="str" cm="1">
        <f t="array" aca="1" ref="H16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28" spans="1:8" x14ac:dyDescent="0.25">
      <c r="A1628" s="2">
        <f t="shared" ca="1" si="171"/>
        <v>3.0016704286637301</v>
      </c>
      <c r="B1628" s="4" cm="1">
        <f t="array" aca="1" ref="B16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628" s="2">
        <f t="shared" ca="1" si="172"/>
        <v>3.0199106721852114</v>
      </c>
      <c r="D1628" s="4" t="str" cm="1">
        <f t="array" aca="1" ref="D16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28" s="2">
        <f t="shared" ca="1" si="173"/>
        <v>30.013798939444101</v>
      </c>
      <c r="F1628" s="4" t="str" cm="1">
        <f t="array" aca="1" ref="F16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28" s="2">
        <f t="shared" ca="1" si="174"/>
        <v>40.029576903583688</v>
      </c>
      <c r="H1628" s="47" t="str" cm="1">
        <f t="array" aca="1" ref="H16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29" spans="1:8" x14ac:dyDescent="0.25">
      <c r="A1629" s="2">
        <f t="shared" ca="1" si="171"/>
        <v>3.007283659937674</v>
      </c>
      <c r="B1629" s="4" cm="1">
        <f t="array" aca="1" ref="B16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629" s="2">
        <f t="shared" ca="1" si="172"/>
        <v>3.0122960224693447</v>
      </c>
      <c r="D1629" s="4" t="str" cm="1">
        <f t="array" aca="1" ref="D16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29" s="2">
        <f t="shared" ca="1" si="173"/>
        <v>30.010466360313245</v>
      </c>
      <c r="F1629" s="4" t="str" cm="1">
        <f t="array" aca="1" ref="F16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29" s="2">
        <f t="shared" ca="1" si="174"/>
        <v>40.009628891518147</v>
      </c>
      <c r="H1629" s="47" t="str" cm="1">
        <f t="array" aca="1" ref="H16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30" spans="1:8" x14ac:dyDescent="0.25">
      <c r="A1630" s="2">
        <f t="shared" ca="1" si="171"/>
        <v>3.003897681578934</v>
      </c>
      <c r="B1630" s="4" cm="1">
        <f t="array" aca="1" ref="B16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630" s="2">
        <f t="shared" ca="1" si="172"/>
        <v>3.0296533993972314</v>
      </c>
      <c r="D1630" s="4" t="str" cm="1">
        <f t="array" aca="1" ref="D16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30" s="2">
        <f t="shared" ca="1" si="173"/>
        <v>30.005740811137791</v>
      </c>
      <c r="F1630" s="4" t="str" cm="1">
        <f t="array" aca="1" ref="F16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30" s="2">
        <f t="shared" ca="1" si="174"/>
        <v>40.004205761535331</v>
      </c>
      <c r="H1630" s="47" t="str" cm="1">
        <f t="array" aca="1" ref="H16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31" spans="1:8" x14ac:dyDescent="0.25">
      <c r="A1631" s="2">
        <f t="shared" ca="1" si="171"/>
        <v>3.0096082216376949</v>
      </c>
      <c r="B1631" s="4" cm="1">
        <f t="array" aca="1" ref="B16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631" s="2">
        <f t="shared" ca="1" si="172"/>
        <v>3.0149709768194386</v>
      </c>
      <c r="D1631" s="4" t="str" cm="1">
        <f t="array" aca="1" ref="D16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31" s="2">
        <f t="shared" ca="1" si="173"/>
        <v>30.013871913075565</v>
      </c>
      <c r="F1631" s="4" t="str" cm="1">
        <f t="array" aca="1" ref="F16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31" s="2">
        <f t="shared" ca="1" si="174"/>
        <v>40.010598150696723</v>
      </c>
      <c r="H1631" s="47" t="str" cm="1">
        <f t="array" aca="1" ref="H16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32" spans="1:8" x14ac:dyDescent="0.25">
      <c r="A1632" s="2">
        <f t="shared" ca="1" si="171"/>
        <v>3.0076579610782797</v>
      </c>
      <c r="B1632" s="4" cm="1">
        <f t="array" aca="1" ref="B16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632" s="2">
        <f t="shared" ca="1" si="172"/>
        <v>3.0175702652934002</v>
      </c>
      <c r="D1632" s="4" t="str" cm="1">
        <f t="array" aca="1" ref="D16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32" s="2">
        <f t="shared" ca="1" si="173"/>
        <v>30.011928236931013</v>
      </c>
      <c r="F1632" s="4" t="str" cm="1">
        <f t="array" aca="1" ref="F16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32" s="2">
        <f t="shared" ca="1" si="174"/>
        <v>40.00439092925582</v>
      </c>
      <c r="H1632" s="47" t="str" cm="1">
        <f t="array" aca="1" ref="H16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33" spans="1:8" x14ac:dyDescent="0.25">
      <c r="A1633" s="2">
        <f t="shared" ca="1" si="171"/>
        <v>3.0081715936973015</v>
      </c>
      <c r="B1633" s="4" cm="1">
        <f t="array" aca="1" ref="B16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633" s="2">
        <f t="shared" ca="1" si="172"/>
        <v>3.0277053364917212</v>
      </c>
      <c r="D1633" s="4" t="str" cm="1">
        <f t="array" aca="1" ref="D16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33" s="2">
        <f t="shared" ca="1" si="173"/>
        <v>30.020990091275404</v>
      </c>
      <c r="F1633" s="4" t="str" cm="1">
        <f t="array" aca="1" ref="F16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33" s="2">
        <f t="shared" ca="1" si="174"/>
        <v>40.010242867798233</v>
      </c>
      <c r="H1633" s="47" t="str" cm="1">
        <f t="array" aca="1" ref="H16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34" spans="1:8" x14ac:dyDescent="0.25">
      <c r="A1634" s="2">
        <f t="shared" ca="1" si="171"/>
        <v>3.0058293532668952</v>
      </c>
      <c r="B1634" s="4" cm="1">
        <f t="array" aca="1" ref="B16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634" s="2">
        <f t="shared" ca="1" si="172"/>
        <v>3.0142878518232088</v>
      </c>
      <c r="D1634" s="4" t="str" cm="1">
        <f t="array" aca="1" ref="D16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34" s="2">
        <f t="shared" ca="1" si="173"/>
        <v>30.028268621494277</v>
      </c>
      <c r="F1634" s="4" t="str" cm="1">
        <f t="array" aca="1" ref="F16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34" s="2">
        <f t="shared" ca="1" si="174"/>
        <v>40.006202022439709</v>
      </c>
      <c r="H1634" s="47" t="str" cm="1">
        <f t="array" aca="1" ref="H16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35" spans="1:8" x14ac:dyDescent="0.25">
      <c r="A1635" s="2">
        <f t="shared" ca="1" si="171"/>
        <v>3.0023472520530237</v>
      </c>
      <c r="B1635" s="4" cm="1">
        <f t="array" aca="1" ref="B16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635" s="2">
        <f t="shared" ca="1" si="172"/>
        <v>3.0170926662799262</v>
      </c>
      <c r="D1635" s="4" t="str" cm="1">
        <f t="array" aca="1" ref="D16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35" s="2">
        <f t="shared" ca="1" si="173"/>
        <v>30.014376156735118</v>
      </c>
      <c r="F1635" s="4" t="str" cm="1">
        <f t="array" aca="1" ref="F16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35" s="2">
        <f t="shared" ca="1" si="174"/>
        <v>40.015884625868644</v>
      </c>
      <c r="H1635" s="47" t="str" cm="1">
        <f t="array" aca="1" ref="H16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36" spans="1:8" x14ac:dyDescent="0.25">
      <c r="A1636" s="2">
        <f t="shared" ca="1" si="171"/>
        <v>3.0070993369906986</v>
      </c>
      <c r="B1636" s="4" cm="1">
        <f t="array" aca="1" ref="B16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636" s="2">
        <f t="shared" ca="1" si="172"/>
        <v>3.0033731311704344</v>
      </c>
      <c r="D1636" s="4" t="str" cm="1">
        <f t="array" aca="1" ref="D16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36" s="2">
        <f t="shared" ca="1" si="173"/>
        <v>30.001885524116251</v>
      </c>
      <c r="F1636" s="4" t="str" cm="1">
        <f t="array" aca="1" ref="F16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36" s="2">
        <f t="shared" ca="1" si="174"/>
        <v>40.001258859395442</v>
      </c>
      <c r="H1636" s="47" t="str" cm="1">
        <f t="array" aca="1" ref="H16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37" spans="1:8" x14ac:dyDescent="0.25">
      <c r="A1637" s="2">
        <f t="shared" ca="1" si="171"/>
        <v>3.0050009951515242</v>
      </c>
      <c r="B1637" s="4" cm="1">
        <f t="array" aca="1" ref="B16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637" s="2">
        <f t="shared" ca="1" si="172"/>
        <v>3.029328219888062</v>
      </c>
      <c r="D1637" s="4" t="str" cm="1">
        <f t="array" aca="1" ref="D16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37" s="2">
        <f t="shared" ca="1" si="173"/>
        <v>30.016344074897589</v>
      </c>
      <c r="F1637" s="4" t="str" cm="1">
        <f t="array" aca="1" ref="F16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37" s="2">
        <f t="shared" ca="1" si="174"/>
        <v>40.025048246176972</v>
      </c>
      <c r="H1637" s="47" t="str" cm="1">
        <f t="array" aca="1" ref="H16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38" spans="1:8" x14ac:dyDescent="0.25">
      <c r="A1638" s="2">
        <f t="shared" ca="1" si="171"/>
        <v>3.0022394618587298</v>
      </c>
      <c r="B1638" s="4" cm="1">
        <f t="array" aca="1" ref="B16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638" s="2">
        <f t="shared" ca="1" si="172"/>
        <v>3.0027905785686859</v>
      </c>
      <c r="D1638" s="4" t="str" cm="1">
        <f t="array" aca="1" ref="D16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38" s="2">
        <f t="shared" ca="1" si="173"/>
        <v>30.018138588194351</v>
      </c>
      <c r="F1638" s="4" t="str" cm="1">
        <f t="array" aca="1" ref="F16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38" s="2">
        <f t="shared" ca="1" si="174"/>
        <v>40.013690812527393</v>
      </c>
      <c r="H1638" s="47" t="str" cm="1">
        <f t="array" aca="1" ref="H16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39" spans="1:8" x14ac:dyDescent="0.25">
      <c r="A1639" s="2">
        <f t="shared" ca="1" si="171"/>
        <v>3.001097962334959</v>
      </c>
      <c r="B1639" s="4" cm="1">
        <f t="array" aca="1" ref="B16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639" s="2">
        <f t="shared" ca="1" si="172"/>
        <v>3.0020162321964894</v>
      </c>
      <c r="D1639" s="4" t="str" cm="1">
        <f t="array" aca="1" ref="D16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39" s="2">
        <f t="shared" ca="1" si="173"/>
        <v>30.015591189169992</v>
      </c>
      <c r="F1639" s="4" t="str" cm="1">
        <f t="array" aca="1" ref="F16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39" s="2">
        <f t="shared" ca="1" si="174"/>
        <v>40.002433100381324</v>
      </c>
      <c r="H1639" s="47" t="str" cm="1">
        <f t="array" aca="1" ref="H16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40" spans="1:8" x14ac:dyDescent="0.25">
      <c r="A1640" s="2">
        <f t="shared" ca="1" si="171"/>
        <v>3.0040266823842274</v>
      </c>
      <c r="B1640" s="4" cm="1">
        <f t="array" aca="1" ref="B16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640" s="2">
        <f t="shared" ca="1" si="172"/>
        <v>3.0200233102594796</v>
      </c>
      <c r="D1640" s="4" t="str" cm="1">
        <f t="array" aca="1" ref="D16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40" s="2">
        <f t="shared" ca="1" si="173"/>
        <v>30.029208325384019</v>
      </c>
      <c r="F1640" s="4" t="str" cm="1">
        <f t="array" aca="1" ref="F16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40" s="2">
        <f t="shared" ca="1" si="174"/>
        <v>40.025010688757419</v>
      </c>
      <c r="H1640" s="47" t="str" cm="1">
        <f t="array" aca="1" ref="H16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41" spans="1:8" x14ac:dyDescent="0.25">
      <c r="A1641" s="2">
        <f t="shared" ca="1" si="171"/>
        <v>3.0051319269058632</v>
      </c>
      <c r="B1641" s="4" cm="1">
        <f t="array" aca="1" ref="B16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641" s="2">
        <f t="shared" ca="1" si="172"/>
        <v>3.0168898779470785</v>
      </c>
      <c r="D1641" s="4" t="str" cm="1">
        <f t="array" aca="1" ref="D16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41" s="2">
        <f t="shared" ca="1" si="173"/>
        <v>30.022459549874259</v>
      </c>
      <c r="F1641" s="4" t="str" cm="1">
        <f t="array" aca="1" ref="F16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41" s="2">
        <f t="shared" ca="1" si="174"/>
        <v>40.022779158564845</v>
      </c>
      <c r="H1641" s="47" t="str" cm="1">
        <f t="array" aca="1" ref="H16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42" spans="1:8" x14ac:dyDescent="0.25">
      <c r="A1642" s="2">
        <f t="shared" ca="1" si="171"/>
        <v>3.0086362394352797</v>
      </c>
      <c r="B1642" s="4" cm="1">
        <f t="array" aca="1" ref="B16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642" s="2">
        <f t="shared" ca="1" si="172"/>
        <v>3.018820468263979</v>
      </c>
      <c r="D1642" s="4" t="str" cm="1">
        <f t="array" aca="1" ref="D16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42" s="2">
        <f t="shared" ca="1" si="173"/>
        <v>30.028265155441545</v>
      </c>
      <c r="F1642" s="4" t="str" cm="1">
        <f t="array" aca="1" ref="F16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42" s="2">
        <f t="shared" ca="1" si="174"/>
        <v>40.011035158748818</v>
      </c>
      <c r="H1642" s="47" t="str" cm="1">
        <f t="array" aca="1" ref="H16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43" spans="1:8" x14ac:dyDescent="0.25">
      <c r="A1643" s="2">
        <f t="shared" ca="1" si="171"/>
        <v>3.000034840409247</v>
      </c>
      <c r="B1643" s="4" cm="1">
        <f t="array" aca="1" ref="B16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643" s="2">
        <f t="shared" ca="1" si="172"/>
        <v>3.0177554174740284</v>
      </c>
      <c r="D1643" s="4" t="str" cm="1">
        <f t="array" aca="1" ref="D16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43" s="2">
        <f t="shared" ca="1" si="173"/>
        <v>30.002109469688765</v>
      </c>
      <c r="F1643" s="4" t="str" cm="1">
        <f t="array" aca="1" ref="F16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43" s="2">
        <f t="shared" ca="1" si="174"/>
        <v>40.004012869459636</v>
      </c>
      <c r="H1643" s="47" t="str" cm="1">
        <f t="array" aca="1" ref="H16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44" spans="1:8" x14ac:dyDescent="0.25">
      <c r="A1644" s="2">
        <f t="shared" ca="1" si="171"/>
        <v>3.0015767525275239</v>
      </c>
      <c r="B1644" s="4" cm="1">
        <f t="array" aca="1" ref="B16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644" s="2">
        <f t="shared" ca="1" si="172"/>
        <v>3.0083598466540913</v>
      </c>
      <c r="D1644" s="4" t="str" cm="1">
        <f t="array" aca="1" ref="D16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44" s="2">
        <f t="shared" ca="1" si="173"/>
        <v>30.014243858528189</v>
      </c>
      <c r="F1644" s="4" t="str" cm="1">
        <f t="array" aca="1" ref="F16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44" s="2">
        <f t="shared" ca="1" si="174"/>
        <v>40.007116875787773</v>
      </c>
      <c r="H1644" s="47" t="str" cm="1">
        <f t="array" aca="1" ref="H16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45" spans="1:8" x14ac:dyDescent="0.25">
      <c r="A1645" s="2">
        <f t="shared" ca="1" si="171"/>
        <v>3.0070601576575009</v>
      </c>
      <c r="B1645" s="4" cm="1">
        <f t="array" aca="1" ref="B16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645" s="2">
        <f t="shared" ca="1" si="172"/>
        <v>3.0053401076368744</v>
      </c>
      <c r="D1645" s="4" t="str" cm="1">
        <f t="array" aca="1" ref="D16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45" s="2">
        <f t="shared" ca="1" si="173"/>
        <v>30.003636926300914</v>
      </c>
      <c r="F1645" s="4" t="str" cm="1">
        <f t="array" aca="1" ref="F16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45" s="2">
        <f t="shared" ca="1" si="174"/>
        <v>40.020479704847141</v>
      </c>
      <c r="H1645" s="47" t="str" cm="1">
        <f t="array" aca="1" ref="H16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46" spans="1:8" x14ac:dyDescent="0.25">
      <c r="A1646" s="2">
        <f t="shared" ca="1" si="171"/>
        <v>3.0087363582181252</v>
      </c>
      <c r="B1646" s="4" cm="1">
        <f t="array" aca="1" ref="B16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646" s="2">
        <f t="shared" ca="1" si="172"/>
        <v>3.0012195118171232</v>
      </c>
      <c r="D1646" s="4" t="str" cm="1">
        <f t="array" aca="1" ref="D16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46" s="2">
        <f t="shared" ca="1" si="173"/>
        <v>30.012899182215051</v>
      </c>
      <c r="F1646" s="4" t="str" cm="1">
        <f t="array" aca="1" ref="F16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46" s="2">
        <f t="shared" ca="1" si="174"/>
        <v>40.013277800444534</v>
      </c>
      <c r="H1646" s="47" t="str" cm="1">
        <f t="array" aca="1" ref="H16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47" spans="1:8" x14ac:dyDescent="0.25">
      <c r="A1647" s="2">
        <f t="shared" ca="1" si="171"/>
        <v>3.004668685806489</v>
      </c>
      <c r="B1647" s="4" cm="1">
        <f t="array" aca="1" ref="B16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647" s="2">
        <f t="shared" ca="1" si="172"/>
        <v>3.0071231231691242</v>
      </c>
      <c r="D1647" s="4" t="str" cm="1">
        <f t="array" aca="1" ref="D16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47" s="2">
        <f t="shared" ca="1" si="173"/>
        <v>30.004059496544102</v>
      </c>
      <c r="F1647" s="4" t="str" cm="1">
        <f t="array" aca="1" ref="F16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47" s="2">
        <f t="shared" ca="1" si="174"/>
        <v>40.018120892911291</v>
      </c>
      <c r="H1647" s="47" t="str" cm="1">
        <f t="array" aca="1" ref="H16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48" spans="1:8" x14ac:dyDescent="0.25">
      <c r="A1648" s="2">
        <f t="shared" ca="1" si="171"/>
        <v>3.0096916247605874</v>
      </c>
      <c r="B1648" s="4" cm="1">
        <f t="array" aca="1" ref="B16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648" s="2">
        <f t="shared" ca="1" si="172"/>
        <v>3.0066536490612599</v>
      </c>
      <c r="D1648" s="4" t="str" cm="1">
        <f t="array" aca="1" ref="D16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48" s="2">
        <f t="shared" ca="1" si="173"/>
        <v>30.027580088163713</v>
      </c>
      <c r="F1648" s="4" t="str" cm="1">
        <f t="array" aca="1" ref="F16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48" s="2">
        <f t="shared" ca="1" si="174"/>
        <v>40.005611416509183</v>
      </c>
      <c r="H1648" s="47" t="str" cm="1">
        <f t="array" aca="1" ref="H16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49" spans="1:8" x14ac:dyDescent="0.25">
      <c r="A1649" s="2">
        <f t="shared" ca="1" si="171"/>
        <v>3.0063483053003668</v>
      </c>
      <c r="B1649" s="4" cm="1">
        <f t="array" aca="1" ref="B16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649" s="2">
        <f t="shared" ca="1" si="172"/>
        <v>3.0266945462463308</v>
      </c>
      <c r="D1649" s="4" t="str" cm="1">
        <f t="array" aca="1" ref="D16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49" s="2">
        <f t="shared" ca="1" si="173"/>
        <v>30.01118910604972</v>
      </c>
      <c r="F1649" s="4" t="str" cm="1">
        <f t="array" aca="1" ref="F16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49" s="2">
        <f t="shared" ca="1" si="174"/>
        <v>40.008520676738812</v>
      </c>
      <c r="H1649" s="47" t="str" cm="1">
        <f t="array" aca="1" ref="H16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50" spans="1:8" x14ac:dyDescent="0.25">
      <c r="A1650" s="2">
        <f t="shared" ca="1" si="171"/>
        <v>3.0019699693301685</v>
      </c>
      <c r="B1650" s="4" cm="1">
        <f t="array" aca="1" ref="B16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650" s="2">
        <f t="shared" ca="1" si="172"/>
        <v>3.0013227157584845</v>
      </c>
      <c r="D1650" s="4" t="str" cm="1">
        <f t="array" aca="1" ref="D16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50" s="2">
        <f t="shared" ca="1" si="173"/>
        <v>30.021762684381734</v>
      </c>
      <c r="F1650" s="4" t="str" cm="1">
        <f t="array" aca="1" ref="F16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50" s="2">
        <f t="shared" ca="1" si="174"/>
        <v>40.012535904348823</v>
      </c>
      <c r="H1650" s="47" t="str" cm="1">
        <f t="array" aca="1" ref="H16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51" spans="1:8" x14ac:dyDescent="0.25">
      <c r="A1651" s="2">
        <f t="shared" ca="1" si="171"/>
        <v>3.0080864650106647</v>
      </c>
      <c r="B1651" s="4" cm="1">
        <f t="array" aca="1" ref="B16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651" s="2">
        <f t="shared" ca="1" si="172"/>
        <v>3.0040175664962536</v>
      </c>
      <c r="D1651" s="4" t="str" cm="1">
        <f t="array" aca="1" ref="D16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51" s="2">
        <f t="shared" ca="1" si="173"/>
        <v>30.001962095364661</v>
      </c>
      <c r="F1651" s="4" t="str" cm="1">
        <f t="array" aca="1" ref="F16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51" s="2">
        <f t="shared" ca="1" si="174"/>
        <v>40.006412150171116</v>
      </c>
      <c r="H1651" s="47" t="str" cm="1">
        <f t="array" aca="1" ref="H16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52" spans="1:8" x14ac:dyDescent="0.25">
      <c r="A1652" s="2">
        <f t="shared" ca="1" si="171"/>
        <v>3.0015908931121578</v>
      </c>
      <c r="B1652" s="4" cm="1">
        <f t="array" aca="1" ref="B16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652" s="2">
        <f t="shared" ca="1" si="172"/>
        <v>3.0003232730860994</v>
      </c>
      <c r="D1652" s="4" t="str" cm="1">
        <f t="array" aca="1" ref="D16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52" s="2">
        <f t="shared" ca="1" si="173"/>
        <v>30.005480240811984</v>
      </c>
      <c r="F1652" s="4" t="str" cm="1">
        <f t="array" aca="1" ref="F16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52" s="2">
        <f t="shared" ca="1" si="174"/>
        <v>40.000187078779753</v>
      </c>
      <c r="H1652" s="47" t="str" cm="1">
        <f t="array" aca="1" ref="H16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53" spans="1:8" x14ac:dyDescent="0.25">
      <c r="A1653" s="2">
        <f t="shared" ca="1" si="171"/>
        <v>3.0003963223074774</v>
      </c>
      <c r="B1653" s="4" cm="1">
        <f t="array" aca="1" ref="B16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653" s="2">
        <f t="shared" ca="1" si="172"/>
        <v>3.0253600926666402</v>
      </c>
      <c r="D1653" s="4" t="str" cm="1">
        <f t="array" aca="1" ref="D16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53" s="2">
        <f t="shared" ca="1" si="173"/>
        <v>30.000154722578515</v>
      </c>
      <c r="F1653" s="4" t="str" cm="1">
        <f t="array" aca="1" ref="F16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53" s="2">
        <f t="shared" ca="1" si="174"/>
        <v>40.024399137574981</v>
      </c>
      <c r="H1653" s="47" t="str" cm="1">
        <f t="array" aca="1" ref="H16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54" spans="1:8" x14ac:dyDescent="0.25">
      <c r="A1654" s="2">
        <f t="shared" ca="1" si="171"/>
        <v>3.0051394034620413</v>
      </c>
      <c r="B1654" s="4" cm="1">
        <f t="array" aca="1" ref="B16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654" s="2">
        <f t="shared" ca="1" si="172"/>
        <v>3.0204138205407558</v>
      </c>
      <c r="D1654" s="4" t="str" cm="1">
        <f t="array" aca="1" ref="D16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54" s="2">
        <f t="shared" ca="1" si="173"/>
        <v>30.016623703705712</v>
      </c>
      <c r="F1654" s="4" t="str" cm="1">
        <f t="array" aca="1" ref="F16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54" s="2">
        <f t="shared" ca="1" si="174"/>
        <v>40.006959047066864</v>
      </c>
      <c r="H1654" s="47" t="str" cm="1">
        <f t="array" aca="1" ref="H16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55" spans="1:8" x14ac:dyDescent="0.25">
      <c r="A1655" s="2">
        <f t="shared" ca="1" si="171"/>
        <v>3.0015447954546421</v>
      </c>
      <c r="B1655" s="4" cm="1">
        <f t="array" aca="1" ref="B16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655" s="2">
        <f t="shared" ca="1" si="172"/>
        <v>3.0296318405525233</v>
      </c>
      <c r="D1655" s="4" t="str" cm="1">
        <f t="array" aca="1" ref="D16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55" s="2">
        <f t="shared" ca="1" si="173"/>
        <v>30.028117487334015</v>
      </c>
      <c r="F1655" s="4" t="str" cm="1">
        <f t="array" aca="1" ref="F16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55" s="2">
        <f t="shared" ca="1" si="174"/>
        <v>40.018103904850683</v>
      </c>
      <c r="H1655" s="47" t="str" cm="1">
        <f t="array" aca="1" ref="H16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56" spans="1:8" x14ac:dyDescent="0.25">
      <c r="A1656" s="2">
        <f t="shared" ca="1" si="171"/>
        <v>3.0046193636729908</v>
      </c>
      <c r="B1656" s="4" cm="1">
        <f t="array" aca="1" ref="B16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656" s="2">
        <f t="shared" ca="1" si="172"/>
        <v>3.0019619728866744</v>
      </c>
      <c r="D1656" s="4" t="str" cm="1">
        <f t="array" aca="1" ref="D16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56" s="2">
        <f t="shared" ca="1" si="173"/>
        <v>30.015611425500907</v>
      </c>
      <c r="F1656" s="4" t="str" cm="1">
        <f t="array" aca="1" ref="F16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56" s="2">
        <f t="shared" ca="1" si="174"/>
        <v>40.007341166051816</v>
      </c>
      <c r="H1656" s="47" t="str" cm="1">
        <f t="array" aca="1" ref="H16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57" spans="1:8" x14ac:dyDescent="0.25">
      <c r="A1657" s="2">
        <f t="shared" ca="1" si="171"/>
        <v>3.0051455879559601</v>
      </c>
      <c r="B1657" s="4" cm="1">
        <f t="array" aca="1" ref="B16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657" s="2">
        <f t="shared" ca="1" si="172"/>
        <v>3.0204568953976909</v>
      </c>
      <c r="D1657" s="4" t="str" cm="1">
        <f t="array" aca="1" ref="D16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57" s="2">
        <f t="shared" ca="1" si="173"/>
        <v>30.001686916311424</v>
      </c>
      <c r="F1657" s="4" t="str" cm="1">
        <f t="array" aca="1" ref="F16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57" s="2">
        <f t="shared" ca="1" si="174"/>
        <v>40.018692400242557</v>
      </c>
      <c r="H1657" s="47" t="str" cm="1">
        <f t="array" aca="1" ref="H16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58" spans="1:8" x14ac:dyDescent="0.25">
      <c r="A1658" s="2">
        <f t="shared" ca="1" si="171"/>
        <v>3.0001300174915957</v>
      </c>
      <c r="B1658" s="4" cm="1">
        <f t="array" aca="1" ref="B16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658" s="2">
        <f t="shared" ca="1" si="172"/>
        <v>3.0090936268508202</v>
      </c>
      <c r="D1658" s="4" t="str" cm="1">
        <f t="array" aca="1" ref="D16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58" s="2">
        <f t="shared" ca="1" si="173"/>
        <v>30.02999751079604</v>
      </c>
      <c r="F1658" s="4" t="str" cm="1">
        <f t="array" aca="1" ref="F16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58" s="2">
        <f t="shared" ca="1" si="174"/>
        <v>40.0028105233255</v>
      </c>
      <c r="H1658" s="47" t="str" cm="1">
        <f t="array" aca="1" ref="H16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59" spans="1:8" x14ac:dyDescent="0.25">
      <c r="A1659" s="2">
        <f t="shared" ca="1" si="171"/>
        <v>3.0060009017239855</v>
      </c>
      <c r="B1659" s="4" cm="1">
        <f t="array" aca="1" ref="B16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659" s="2">
        <f t="shared" ca="1" si="172"/>
        <v>3.0200071004777329</v>
      </c>
      <c r="D1659" s="4" t="str" cm="1">
        <f t="array" aca="1" ref="D16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59" s="2">
        <f t="shared" ca="1" si="173"/>
        <v>30.020656727599217</v>
      </c>
      <c r="F1659" s="4" t="str" cm="1">
        <f t="array" aca="1" ref="F16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59" s="2">
        <f t="shared" ca="1" si="174"/>
        <v>40.024941323289703</v>
      </c>
      <c r="H1659" s="47" t="str" cm="1">
        <f t="array" aca="1" ref="H16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60" spans="1:8" x14ac:dyDescent="0.25">
      <c r="A1660" s="2">
        <f t="shared" ca="1" si="171"/>
        <v>3.0086567040088905</v>
      </c>
      <c r="B1660" s="4" cm="1">
        <f t="array" aca="1" ref="B16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660" s="2">
        <f t="shared" ca="1" si="172"/>
        <v>3.018170627192303</v>
      </c>
      <c r="D1660" s="4" t="str" cm="1">
        <f t="array" aca="1" ref="D16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60" s="2">
        <f t="shared" ca="1" si="173"/>
        <v>30.012537722336649</v>
      </c>
      <c r="F1660" s="4" t="str" cm="1">
        <f t="array" aca="1" ref="F16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60" s="2">
        <f t="shared" ca="1" si="174"/>
        <v>40.027218750235008</v>
      </c>
      <c r="H1660" s="47" t="str" cm="1">
        <f t="array" aca="1" ref="H16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61" spans="1:8" x14ac:dyDescent="0.25">
      <c r="A1661" s="2">
        <f t="shared" ca="1" si="171"/>
        <v>3.00856143640799</v>
      </c>
      <c r="B1661" s="4" cm="1">
        <f t="array" aca="1" ref="B16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661" s="2">
        <f t="shared" ca="1" si="172"/>
        <v>3.0266644798229634</v>
      </c>
      <c r="D1661" s="4" t="str" cm="1">
        <f t="array" aca="1" ref="D16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61" s="2">
        <f t="shared" ca="1" si="173"/>
        <v>30.011752864774714</v>
      </c>
      <c r="F1661" s="4" t="str" cm="1">
        <f t="array" aca="1" ref="F16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61" s="2">
        <f t="shared" ca="1" si="174"/>
        <v>40.019861344869035</v>
      </c>
      <c r="H1661" s="47" t="str" cm="1">
        <f t="array" aca="1" ref="H16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62" spans="1:8" x14ac:dyDescent="0.25">
      <c r="A1662" s="2">
        <f t="shared" ca="1" si="171"/>
        <v>3.0010933137538998</v>
      </c>
      <c r="B1662" s="4" cm="1">
        <f t="array" aca="1" ref="B16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662" s="2">
        <f t="shared" ca="1" si="172"/>
        <v>3.0155324579306599</v>
      </c>
      <c r="D1662" s="4" t="str" cm="1">
        <f t="array" aca="1" ref="D16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62" s="2">
        <f t="shared" ca="1" si="173"/>
        <v>30.013808174393279</v>
      </c>
      <c r="F1662" s="4" t="str" cm="1">
        <f t="array" aca="1" ref="F16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62" s="2">
        <f t="shared" ca="1" si="174"/>
        <v>40.006074984518271</v>
      </c>
      <c r="H1662" s="47" t="str" cm="1">
        <f t="array" aca="1" ref="H16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63" spans="1:8" x14ac:dyDescent="0.25">
      <c r="A1663" s="2">
        <f t="shared" ca="1" si="171"/>
        <v>3.003347790473307</v>
      </c>
      <c r="B1663" s="4" cm="1">
        <f t="array" aca="1" ref="B16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663" s="2">
        <f t="shared" ca="1" si="172"/>
        <v>3.0088522524892616</v>
      </c>
      <c r="D1663" s="4" t="str" cm="1">
        <f t="array" aca="1" ref="D16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63" s="2">
        <f t="shared" ca="1" si="173"/>
        <v>30.025912274322121</v>
      </c>
      <c r="F1663" s="4" t="str" cm="1">
        <f t="array" aca="1" ref="F16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63" s="2">
        <f t="shared" ca="1" si="174"/>
        <v>40.016881391543102</v>
      </c>
      <c r="H1663" s="47" t="str" cm="1">
        <f t="array" aca="1" ref="H16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64" spans="1:8" x14ac:dyDescent="0.25">
      <c r="A1664" s="2">
        <f t="shared" ca="1" si="171"/>
        <v>3.0001896314107377</v>
      </c>
      <c r="B1664" s="4" cm="1">
        <f t="array" aca="1" ref="B16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664" s="2">
        <f t="shared" ca="1" si="172"/>
        <v>3.0188226281372472</v>
      </c>
      <c r="D1664" s="4" t="str" cm="1">
        <f t="array" aca="1" ref="D16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64" s="2">
        <f t="shared" ca="1" si="173"/>
        <v>30.021887856298235</v>
      </c>
      <c r="F1664" s="4" t="str" cm="1">
        <f t="array" aca="1" ref="F16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64" s="2">
        <f t="shared" ca="1" si="174"/>
        <v>40.022814580476428</v>
      </c>
      <c r="H1664" s="47" t="str" cm="1">
        <f t="array" aca="1" ref="H16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65" spans="1:8" x14ac:dyDescent="0.25">
      <c r="A1665" s="2">
        <f t="shared" ca="1" si="171"/>
        <v>3.0076995037541305</v>
      </c>
      <c r="B1665" s="4" cm="1">
        <f t="array" aca="1" ref="B16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665" s="2">
        <f t="shared" ca="1" si="172"/>
        <v>3.000429388139608</v>
      </c>
      <c r="D1665" s="4" t="str" cm="1">
        <f t="array" aca="1" ref="D16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65" s="2">
        <f t="shared" ca="1" si="173"/>
        <v>30.027758969240651</v>
      </c>
      <c r="F1665" s="4" t="str" cm="1">
        <f t="array" aca="1" ref="F16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65" s="2">
        <f t="shared" ca="1" si="174"/>
        <v>40.006653870096471</v>
      </c>
      <c r="H1665" s="47" t="str" cm="1">
        <f t="array" aca="1" ref="H16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66" spans="1:8" x14ac:dyDescent="0.25">
      <c r="A1666" s="2">
        <f t="shared" ref="A1666:A1729" ca="1" si="175">3+RAND()*0.01</f>
        <v>3.0054637598029341</v>
      </c>
      <c r="B1666" s="4" cm="1">
        <f t="array" aca="1" ref="B16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666" s="2">
        <f t="shared" ref="C1666:C1729" ca="1" si="176">3+RAND()*0.03</f>
        <v>3.0097993666783025</v>
      </c>
      <c r="D1666" s="4" t="str" cm="1">
        <f t="array" aca="1" ref="D16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66" s="2">
        <f t="shared" ref="E1666:E1729" ca="1" si="177">30+RAND()*0.03</f>
        <v>30.024464326619015</v>
      </c>
      <c r="F1666" s="4" t="str" cm="1">
        <f t="array" aca="1" ref="F16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66" s="2">
        <f t="shared" ref="G1666:G1729" ca="1" si="178">40+RAND()*0.03</f>
        <v>40.0233562243899</v>
      </c>
      <c r="H1666" s="47" t="str" cm="1">
        <f t="array" aca="1" ref="H16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67" spans="1:8" x14ac:dyDescent="0.25">
      <c r="A1667" s="2">
        <f t="shared" ca="1" si="175"/>
        <v>3.0083610036608142</v>
      </c>
      <c r="B1667" s="4" cm="1">
        <f t="array" aca="1" ref="B16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667" s="2">
        <f t="shared" ca="1" si="176"/>
        <v>3.0287837271794191</v>
      </c>
      <c r="D1667" s="4" t="str" cm="1">
        <f t="array" aca="1" ref="D16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67" s="2">
        <f t="shared" ca="1" si="177"/>
        <v>30.001166185213535</v>
      </c>
      <c r="F1667" s="4" t="str" cm="1">
        <f t="array" aca="1" ref="F16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67" s="2">
        <f t="shared" ca="1" si="178"/>
        <v>40.023003217310716</v>
      </c>
      <c r="H1667" s="47" t="str" cm="1">
        <f t="array" aca="1" ref="H16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68" spans="1:8" x14ac:dyDescent="0.25">
      <c r="A1668" s="2">
        <f t="shared" ca="1" si="175"/>
        <v>3.0034517424132363</v>
      </c>
      <c r="B1668" s="4" cm="1">
        <f t="array" aca="1" ref="B16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668" s="2">
        <f t="shared" ca="1" si="176"/>
        <v>3.0043725510864885</v>
      </c>
      <c r="D1668" s="4" t="str" cm="1">
        <f t="array" aca="1" ref="D16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68" s="2">
        <f t="shared" ca="1" si="177"/>
        <v>30.011966574388715</v>
      </c>
      <c r="F1668" s="4" t="str" cm="1">
        <f t="array" aca="1" ref="F16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68" s="2">
        <f t="shared" ca="1" si="178"/>
        <v>40.017353785373153</v>
      </c>
      <c r="H1668" s="47" t="str" cm="1">
        <f t="array" aca="1" ref="H16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69" spans="1:8" x14ac:dyDescent="0.25">
      <c r="A1669" s="2">
        <f t="shared" ca="1" si="175"/>
        <v>3.0027342231719025</v>
      </c>
      <c r="B1669" s="4" cm="1">
        <f t="array" aca="1" ref="B16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669" s="2">
        <f t="shared" ca="1" si="176"/>
        <v>3.0001183667277203</v>
      </c>
      <c r="D1669" s="4" t="str" cm="1">
        <f t="array" aca="1" ref="D16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69" s="2">
        <f t="shared" ca="1" si="177"/>
        <v>30.019770339990568</v>
      </c>
      <c r="F1669" s="4" t="str" cm="1">
        <f t="array" aca="1" ref="F16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69" s="2">
        <f t="shared" ca="1" si="178"/>
        <v>40.007640211076847</v>
      </c>
      <c r="H1669" s="47" t="str" cm="1">
        <f t="array" aca="1" ref="H16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70" spans="1:8" x14ac:dyDescent="0.25">
      <c r="A1670" s="2">
        <f t="shared" ca="1" si="175"/>
        <v>3.004749703296155</v>
      </c>
      <c r="B1670" s="4" cm="1">
        <f t="array" aca="1" ref="B16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670" s="2">
        <f t="shared" ca="1" si="176"/>
        <v>3.0147445326516413</v>
      </c>
      <c r="D1670" s="4" t="str" cm="1">
        <f t="array" aca="1" ref="D16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70" s="2">
        <f t="shared" ca="1" si="177"/>
        <v>30.020425935512328</v>
      </c>
      <c r="F1670" s="4" t="str" cm="1">
        <f t="array" aca="1" ref="F16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70" s="2">
        <f t="shared" ca="1" si="178"/>
        <v>40.004393489350477</v>
      </c>
      <c r="H1670" s="47" t="str" cm="1">
        <f t="array" aca="1" ref="H16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71" spans="1:8" x14ac:dyDescent="0.25">
      <c r="A1671" s="2">
        <f t="shared" ca="1" si="175"/>
        <v>3.0065893792572354</v>
      </c>
      <c r="B1671" s="4" cm="1">
        <f t="array" aca="1" ref="B16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671" s="2">
        <f t="shared" ca="1" si="176"/>
        <v>3.0247953661482199</v>
      </c>
      <c r="D1671" s="4" t="str" cm="1">
        <f t="array" aca="1" ref="D16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71" s="2">
        <f t="shared" ca="1" si="177"/>
        <v>30.016440799611733</v>
      </c>
      <c r="F1671" s="4" t="str" cm="1">
        <f t="array" aca="1" ref="F16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71" s="2">
        <f t="shared" ca="1" si="178"/>
        <v>40.009615466729954</v>
      </c>
      <c r="H1671" s="47" t="str" cm="1">
        <f t="array" aca="1" ref="H16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72" spans="1:8" x14ac:dyDescent="0.25">
      <c r="A1672" s="2">
        <f t="shared" ca="1" si="175"/>
        <v>3.0040060768088916</v>
      </c>
      <c r="B1672" s="4" cm="1">
        <f t="array" aca="1" ref="B16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672" s="2">
        <f t="shared" ca="1" si="176"/>
        <v>3.0182339127709925</v>
      </c>
      <c r="D1672" s="4" t="str" cm="1">
        <f t="array" aca="1" ref="D16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72" s="2">
        <f t="shared" ca="1" si="177"/>
        <v>30.000278429735559</v>
      </c>
      <c r="F1672" s="4" t="str" cm="1">
        <f t="array" aca="1" ref="F16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72" s="2">
        <f t="shared" ca="1" si="178"/>
        <v>40.02494926111504</v>
      </c>
      <c r="H1672" s="47" t="str" cm="1">
        <f t="array" aca="1" ref="H16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73" spans="1:8" x14ac:dyDescent="0.25">
      <c r="A1673" s="2">
        <f t="shared" ca="1" si="175"/>
        <v>3.0049818697637236</v>
      </c>
      <c r="B1673" s="4" cm="1">
        <f t="array" aca="1" ref="B16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673" s="2">
        <f t="shared" ca="1" si="176"/>
        <v>3.0138327715825834</v>
      </c>
      <c r="D1673" s="4" t="str" cm="1">
        <f t="array" aca="1" ref="D16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73" s="2">
        <f t="shared" ca="1" si="177"/>
        <v>30.016977313135119</v>
      </c>
      <c r="F1673" s="4" t="str" cm="1">
        <f t="array" aca="1" ref="F16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73" s="2">
        <f t="shared" ca="1" si="178"/>
        <v>40.019239557131499</v>
      </c>
      <c r="H1673" s="47" t="str" cm="1">
        <f t="array" aca="1" ref="H16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74" spans="1:8" x14ac:dyDescent="0.25">
      <c r="A1674" s="2">
        <f t="shared" ca="1" si="175"/>
        <v>3.0069728175763286</v>
      </c>
      <c r="B1674" s="4" cm="1">
        <f t="array" aca="1" ref="B16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674" s="2">
        <f t="shared" ca="1" si="176"/>
        <v>3.0240120255434615</v>
      </c>
      <c r="D1674" s="4" t="str" cm="1">
        <f t="array" aca="1" ref="D16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74" s="2">
        <f t="shared" ca="1" si="177"/>
        <v>30.026680918780023</v>
      </c>
      <c r="F1674" s="4" t="str" cm="1">
        <f t="array" aca="1" ref="F16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74" s="2">
        <f t="shared" ca="1" si="178"/>
        <v>40.010780140259548</v>
      </c>
      <c r="H1674" s="47" t="str" cm="1">
        <f t="array" aca="1" ref="H16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75" spans="1:8" x14ac:dyDescent="0.25">
      <c r="A1675" s="2">
        <f t="shared" ca="1" si="175"/>
        <v>3.0016799163886541</v>
      </c>
      <c r="B1675" s="4" cm="1">
        <f t="array" aca="1" ref="B16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675" s="2">
        <f t="shared" ca="1" si="176"/>
        <v>3.0079938196078024</v>
      </c>
      <c r="D1675" s="4" t="str" cm="1">
        <f t="array" aca="1" ref="D16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75" s="2">
        <f t="shared" ca="1" si="177"/>
        <v>30.029435322547904</v>
      </c>
      <c r="F1675" s="4" t="str" cm="1">
        <f t="array" aca="1" ref="F16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75" s="2">
        <f t="shared" ca="1" si="178"/>
        <v>40.029365221571695</v>
      </c>
      <c r="H1675" s="47" t="str" cm="1">
        <f t="array" aca="1" ref="H16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76" spans="1:8" x14ac:dyDescent="0.25">
      <c r="A1676" s="2">
        <f t="shared" ca="1" si="175"/>
        <v>3.0044342446696435</v>
      </c>
      <c r="B1676" s="4" cm="1">
        <f t="array" aca="1" ref="B16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676" s="2">
        <f t="shared" ca="1" si="176"/>
        <v>3.0094211123434755</v>
      </c>
      <c r="D1676" s="4" t="str" cm="1">
        <f t="array" aca="1" ref="D16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76" s="2">
        <f t="shared" ca="1" si="177"/>
        <v>30.022977463777348</v>
      </c>
      <c r="F1676" s="4" t="str" cm="1">
        <f t="array" aca="1" ref="F16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76" s="2">
        <f t="shared" ca="1" si="178"/>
        <v>40.010401796984667</v>
      </c>
      <c r="H1676" s="47" t="str" cm="1">
        <f t="array" aca="1" ref="H16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77" spans="1:8" x14ac:dyDescent="0.25">
      <c r="A1677" s="2">
        <f t="shared" ca="1" si="175"/>
        <v>3.0067399904145073</v>
      </c>
      <c r="B1677" s="4" cm="1">
        <f t="array" aca="1" ref="B16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677" s="2">
        <f t="shared" ca="1" si="176"/>
        <v>3.001337623682407</v>
      </c>
      <c r="D1677" s="4" t="str" cm="1">
        <f t="array" aca="1" ref="D16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77" s="2">
        <f t="shared" ca="1" si="177"/>
        <v>30.003303655911481</v>
      </c>
      <c r="F1677" s="4" t="str" cm="1">
        <f t="array" aca="1" ref="F16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77" s="2">
        <f t="shared" ca="1" si="178"/>
        <v>40.006745673119717</v>
      </c>
      <c r="H1677" s="47" t="str" cm="1">
        <f t="array" aca="1" ref="H16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78" spans="1:8" x14ac:dyDescent="0.25">
      <c r="A1678" s="2">
        <f t="shared" ca="1" si="175"/>
        <v>3.0009664503425957</v>
      </c>
      <c r="B1678" s="4" cm="1">
        <f t="array" aca="1" ref="B16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678" s="2">
        <f t="shared" ca="1" si="176"/>
        <v>3.0190142985554123</v>
      </c>
      <c r="D1678" s="4" t="str" cm="1">
        <f t="array" aca="1" ref="D16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78" s="2">
        <f t="shared" ca="1" si="177"/>
        <v>30.012979720618652</v>
      </c>
      <c r="F1678" s="4" t="str" cm="1">
        <f t="array" aca="1" ref="F16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78" s="2">
        <f t="shared" ca="1" si="178"/>
        <v>40.023459749899345</v>
      </c>
      <c r="H1678" s="47" t="str" cm="1">
        <f t="array" aca="1" ref="H16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79" spans="1:8" x14ac:dyDescent="0.25">
      <c r="A1679" s="2">
        <f t="shared" ca="1" si="175"/>
        <v>3.0003996343303432</v>
      </c>
      <c r="B1679" s="4" cm="1">
        <f t="array" aca="1" ref="B16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679" s="2">
        <f t="shared" ca="1" si="176"/>
        <v>3.0249068812497732</v>
      </c>
      <c r="D1679" s="4" t="str" cm="1">
        <f t="array" aca="1" ref="D16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79" s="2">
        <f t="shared" ca="1" si="177"/>
        <v>30.021332370529009</v>
      </c>
      <c r="F1679" s="4" t="str" cm="1">
        <f t="array" aca="1" ref="F16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79" s="2">
        <f t="shared" ca="1" si="178"/>
        <v>40.00477693182301</v>
      </c>
      <c r="H1679" s="47" t="str" cm="1">
        <f t="array" aca="1" ref="H16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80" spans="1:8" x14ac:dyDescent="0.25">
      <c r="A1680" s="2">
        <f t="shared" ca="1" si="175"/>
        <v>3.0007475447434526</v>
      </c>
      <c r="B1680" s="4" cm="1">
        <f t="array" aca="1" ref="B16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680" s="2">
        <f t="shared" ca="1" si="176"/>
        <v>3.0138861636584444</v>
      </c>
      <c r="D1680" s="4" t="str" cm="1">
        <f t="array" aca="1" ref="D16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80" s="2">
        <f t="shared" ca="1" si="177"/>
        <v>30.023408231123287</v>
      </c>
      <c r="F1680" s="4" t="str" cm="1">
        <f t="array" aca="1" ref="F16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80" s="2">
        <f t="shared" ca="1" si="178"/>
        <v>40.02986081064757</v>
      </c>
      <c r="H1680" s="47" t="str" cm="1">
        <f t="array" aca="1" ref="H16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81" spans="1:8" x14ac:dyDescent="0.25">
      <c r="A1681" s="2">
        <f t="shared" ca="1" si="175"/>
        <v>3.0021730066643042</v>
      </c>
      <c r="B1681" s="4" cm="1">
        <f t="array" aca="1" ref="B16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681" s="2">
        <f t="shared" ca="1" si="176"/>
        <v>3.0162511556891389</v>
      </c>
      <c r="D1681" s="4" t="str" cm="1">
        <f t="array" aca="1" ref="D16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81" s="2">
        <f t="shared" ca="1" si="177"/>
        <v>30.00588231695793</v>
      </c>
      <c r="F1681" s="4" t="str" cm="1">
        <f t="array" aca="1" ref="F16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81" s="2">
        <f t="shared" ca="1" si="178"/>
        <v>40.019820286103602</v>
      </c>
      <c r="H1681" s="47" t="str" cm="1">
        <f t="array" aca="1" ref="H16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82" spans="1:8" x14ac:dyDescent="0.25">
      <c r="A1682" s="2">
        <f t="shared" ca="1" si="175"/>
        <v>3.0032215095973016</v>
      </c>
      <c r="B1682" s="4" cm="1">
        <f t="array" aca="1" ref="B16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682" s="2">
        <f t="shared" ca="1" si="176"/>
        <v>3.0132621805106763</v>
      </c>
      <c r="D1682" s="4" t="str" cm="1">
        <f t="array" aca="1" ref="D16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82" s="2">
        <f t="shared" ca="1" si="177"/>
        <v>30.024506199002996</v>
      </c>
      <c r="F1682" s="4" t="str" cm="1">
        <f t="array" aca="1" ref="F16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82" s="2">
        <f t="shared" ca="1" si="178"/>
        <v>40.001644174516358</v>
      </c>
      <c r="H1682" s="47" t="str" cm="1">
        <f t="array" aca="1" ref="H16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83" spans="1:8" x14ac:dyDescent="0.25">
      <c r="A1683" s="2">
        <f t="shared" ca="1" si="175"/>
        <v>3.0013629152808807</v>
      </c>
      <c r="B1683" s="4" cm="1">
        <f t="array" aca="1" ref="B16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683" s="2">
        <f t="shared" ca="1" si="176"/>
        <v>3.0196991100896784</v>
      </c>
      <c r="D1683" s="4" t="str" cm="1">
        <f t="array" aca="1" ref="D16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83" s="2">
        <f t="shared" ca="1" si="177"/>
        <v>30.015455305785306</v>
      </c>
      <c r="F1683" s="4" t="str" cm="1">
        <f t="array" aca="1" ref="F16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83" s="2">
        <f t="shared" ca="1" si="178"/>
        <v>40.021354622239848</v>
      </c>
      <c r="H1683" s="47" t="str" cm="1">
        <f t="array" aca="1" ref="H16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84" spans="1:8" x14ac:dyDescent="0.25">
      <c r="A1684" s="2">
        <f t="shared" ca="1" si="175"/>
        <v>3.0016894526808922</v>
      </c>
      <c r="B1684" s="4" cm="1">
        <f t="array" aca="1" ref="B16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684" s="2">
        <f t="shared" ca="1" si="176"/>
        <v>3.0107998447774995</v>
      </c>
      <c r="D1684" s="4" t="str" cm="1">
        <f t="array" aca="1" ref="D16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84" s="2">
        <f t="shared" ca="1" si="177"/>
        <v>30.004188292952218</v>
      </c>
      <c r="F1684" s="4" t="str" cm="1">
        <f t="array" aca="1" ref="F16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84" s="2">
        <f t="shared" ca="1" si="178"/>
        <v>40.011028545352794</v>
      </c>
      <c r="H1684" s="47" t="str" cm="1">
        <f t="array" aca="1" ref="H16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85" spans="1:8" x14ac:dyDescent="0.25">
      <c r="A1685" s="2">
        <f t="shared" ca="1" si="175"/>
        <v>3.0030508214232898</v>
      </c>
      <c r="B1685" s="4" cm="1">
        <f t="array" aca="1" ref="B16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685" s="2">
        <f t="shared" ca="1" si="176"/>
        <v>3.0138173273525326</v>
      </c>
      <c r="D1685" s="4" t="str" cm="1">
        <f t="array" aca="1" ref="D16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85" s="2">
        <f t="shared" ca="1" si="177"/>
        <v>30.001065614266739</v>
      </c>
      <c r="F1685" s="4" t="str" cm="1">
        <f t="array" aca="1" ref="F16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85" s="2">
        <f t="shared" ca="1" si="178"/>
        <v>40.024820442125396</v>
      </c>
      <c r="H1685" s="47" t="str" cm="1">
        <f t="array" aca="1" ref="H16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86" spans="1:8" x14ac:dyDescent="0.25">
      <c r="A1686" s="2">
        <f t="shared" ca="1" si="175"/>
        <v>3.006695206227227</v>
      </c>
      <c r="B1686" s="4" cm="1">
        <f t="array" aca="1" ref="B16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686" s="2">
        <f t="shared" ca="1" si="176"/>
        <v>3.0284930816941071</v>
      </c>
      <c r="D1686" s="4" t="str" cm="1">
        <f t="array" aca="1" ref="D16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86" s="2">
        <f t="shared" ca="1" si="177"/>
        <v>30.00454798077191</v>
      </c>
      <c r="F1686" s="4" t="str" cm="1">
        <f t="array" aca="1" ref="F16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86" s="2">
        <f t="shared" ca="1" si="178"/>
        <v>40.014028064473564</v>
      </c>
      <c r="H1686" s="47" t="str" cm="1">
        <f t="array" aca="1" ref="H16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87" spans="1:8" x14ac:dyDescent="0.25">
      <c r="A1687" s="2">
        <f t="shared" ca="1" si="175"/>
        <v>3.0084873541785102</v>
      </c>
      <c r="B1687" s="4" cm="1">
        <f t="array" aca="1" ref="B16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687" s="2">
        <f t="shared" ca="1" si="176"/>
        <v>3.0157070176559806</v>
      </c>
      <c r="D1687" s="4" t="str" cm="1">
        <f t="array" aca="1" ref="D16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87" s="2">
        <f t="shared" ca="1" si="177"/>
        <v>30.005559701729013</v>
      </c>
      <c r="F1687" s="4" t="str" cm="1">
        <f t="array" aca="1" ref="F16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87" s="2">
        <f t="shared" ca="1" si="178"/>
        <v>40.013733094377621</v>
      </c>
      <c r="H1687" s="47" t="str" cm="1">
        <f t="array" aca="1" ref="H16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88" spans="1:8" x14ac:dyDescent="0.25">
      <c r="A1688" s="2">
        <f t="shared" ca="1" si="175"/>
        <v>3.0059007488390459</v>
      </c>
      <c r="B1688" s="4" cm="1">
        <f t="array" aca="1" ref="B16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688" s="2">
        <f t="shared" ca="1" si="176"/>
        <v>3.0198074653518492</v>
      </c>
      <c r="D1688" s="4" t="str" cm="1">
        <f t="array" aca="1" ref="D16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88" s="2">
        <f t="shared" ca="1" si="177"/>
        <v>30.011032660301744</v>
      </c>
      <c r="F1688" s="4" t="str" cm="1">
        <f t="array" aca="1" ref="F16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88" s="2">
        <f t="shared" ca="1" si="178"/>
        <v>40.009148391148067</v>
      </c>
      <c r="H1688" s="47" t="str" cm="1">
        <f t="array" aca="1" ref="H16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89" spans="1:8" x14ac:dyDescent="0.25">
      <c r="A1689" s="2">
        <f t="shared" ca="1" si="175"/>
        <v>3.0095135189829736</v>
      </c>
      <c r="B1689" s="4" cm="1">
        <f t="array" aca="1" ref="B16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689" s="2">
        <f t="shared" ca="1" si="176"/>
        <v>3.0082239083791431</v>
      </c>
      <c r="D1689" s="4" t="str" cm="1">
        <f t="array" aca="1" ref="D16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89" s="2">
        <f t="shared" ca="1" si="177"/>
        <v>30.028019226547787</v>
      </c>
      <c r="F1689" s="4" t="str" cm="1">
        <f t="array" aca="1" ref="F16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89" s="2">
        <f t="shared" ca="1" si="178"/>
        <v>40.011291316461595</v>
      </c>
      <c r="H1689" s="47" t="str" cm="1">
        <f t="array" aca="1" ref="H16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90" spans="1:8" x14ac:dyDescent="0.25">
      <c r="A1690" s="2">
        <f t="shared" ca="1" si="175"/>
        <v>3.0082366130959151</v>
      </c>
      <c r="B1690" s="4" cm="1">
        <f t="array" aca="1" ref="B16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690" s="2">
        <f t="shared" ca="1" si="176"/>
        <v>3.0188235636112872</v>
      </c>
      <c r="D1690" s="4" t="str" cm="1">
        <f t="array" aca="1" ref="D16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90" s="2">
        <f t="shared" ca="1" si="177"/>
        <v>30.017618032870889</v>
      </c>
      <c r="F1690" s="4" t="str" cm="1">
        <f t="array" aca="1" ref="F16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90" s="2">
        <f t="shared" ca="1" si="178"/>
        <v>40.014828887401748</v>
      </c>
      <c r="H1690" s="47" t="str" cm="1">
        <f t="array" aca="1" ref="H16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91" spans="1:8" x14ac:dyDescent="0.25">
      <c r="A1691" s="2">
        <f t="shared" ca="1" si="175"/>
        <v>3.0099294027691759</v>
      </c>
      <c r="B1691" s="4" cm="1">
        <f t="array" aca="1" ref="B16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691" s="2">
        <f t="shared" ca="1" si="176"/>
        <v>3.0089860353681614</v>
      </c>
      <c r="D1691" s="4" t="str" cm="1">
        <f t="array" aca="1" ref="D16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91" s="2">
        <f t="shared" ca="1" si="177"/>
        <v>30.026813361142214</v>
      </c>
      <c r="F1691" s="4" t="str" cm="1">
        <f t="array" aca="1" ref="F16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91" s="2">
        <f t="shared" ca="1" si="178"/>
        <v>40.010002686724128</v>
      </c>
      <c r="H1691" s="47" t="str" cm="1">
        <f t="array" aca="1" ref="H16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92" spans="1:8" x14ac:dyDescent="0.25">
      <c r="A1692" s="2">
        <f t="shared" ca="1" si="175"/>
        <v>3.0081248919406902</v>
      </c>
      <c r="B1692" s="4" cm="1">
        <f t="array" aca="1" ref="B16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692" s="2">
        <f t="shared" ca="1" si="176"/>
        <v>3.0181970856843297</v>
      </c>
      <c r="D1692" s="4" t="str" cm="1">
        <f t="array" aca="1" ref="D16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92" s="2">
        <f t="shared" ca="1" si="177"/>
        <v>30.022562852441212</v>
      </c>
      <c r="F1692" s="4" t="str" cm="1">
        <f t="array" aca="1" ref="F16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92" s="2">
        <f t="shared" ca="1" si="178"/>
        <v>40.001164607902616</v>
      </c>
      <c r="H1692" s="47" t="str" cm="1">
        <f t="array" aca="1" ref="H16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93" spans="1:8" x14ac:dyDescent="0.25">
      <c r="A1693" s="2">
        <f t="shared" ca="1" si="175"/>
        <v>3.0032692546298252</v>
      </c>
      <c r="B1693" s="4" cm="1">
        <f t="array" aca="1" ref="B16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693" s="2">
        <f t="shared" ca="1" si="176"/>
        <v>3.0107242573978121</v>
      </c>
      <c r="D1693" s="4" t="str" cm="1">
        <f t="array" aca="1" ref="D16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693" s="2">
        <f t="shared" ca="1" si="177"/>
        <v>30.002522147993538</v>
      </c>
      <c r="F1693" s="4" t="str" cm="1">
        <f t="array" aca="1" ref="F16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93" s="2">
        <f t="shared" ca="1" si="178"/>
        <v>40.027331651670423</v>
      </c>
      <c r="H1693" s="47" t="str" cm="1">
        <f t="array" aca="1" ref="H16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94" spans="1:8" x14ac:dyDescent="0.25">
      <c r="A1694" s="2">
        <f t="shared" ca="1" si="175"/>
        <v>3.0050087282791944</v>
      </c>
      <c r="B1694" s="4" cm="1">
        <f t="array" aca="1" ref="B16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694" s="2">
        <f t="shared" ca="1" si="176"/>
        <v>3.0047995823887645</v>
      </c>
      <c r="D1694" s="4" t="str" cm="1">
        <f t="array" aca="1" ref="D16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94" s="2">
        <f t="shared" ca="1" si="177"/>
        <v>30.004988289908454</v>
      </c>
      <c r="F1694" s="4" t="str" cm="1">
        <f t="array" aca="1" ref="F16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94" s="2">
        <f t="shared" ca="1" si="178"/>
        <v>40.000644499449514</v>
      </c>
      <c r="H1694" s="47" t="str" cm="1">
        <f t="array" aca="1" ref="H16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695" spans="1:8" x14ac:dyDescent="0.25">
      <c r="A1695" s="2">
        <f t="shared" ca="1" si="175"/>
        <v>3.0074464938545349</v>
      </c>
      <c r="B1695" s="4" cm="1">
        <f t="array" aca="1" ref="B16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695" s="2">
        <f t="shared" ca="1" si="176"/>
        <v>3.0239082508834714</v>
      </c>
      <c r="D1695" s="4" t="str" cm="1">
        <f t="array" aca="1" ref="D16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95" s="2">
        <f t="shared" ca="1" si="177"/>
        <v>30.025813160588648</v>
      </c>
      <c r="F1695" s="4" t="str" cm="1">
        <f t="array" aca="1" ref="F16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695" s="2">
        <f t="shared" ca="1" si="178"/>
        <v>40.026655492267594</v>
      </c>
      <c r="H1695" s="47" t="str" cm="1">
        <f t="array" aca="1" ref="H16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96" spans="1:8" x14ac:dyDescent="0.25">
      <c r="A1696" s="2">
        <f t="shared" ca="1" si="175"/>
        <v>3.0090592003648093</v>
      </c>
      <c r="B1696" s="4" cm="1">
        <f t="array" aca="1" ref="B16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696" s="2">
        <f t="shared" ca="1" si="176"/>
        <v>3.0258010643871343</v>
      </c>
      <c r="D1696" s="4" t="str" cm="1">
        <f t="array" aca="1" ref="D16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696" s="2">
        <f t="shared" ca="1" si="177"/>
        <v>30.002325070356914</v>
      </c>
      <c r="F1696" s="4" t="str" cm="1">
        <f t="array" aca="1" ref="F16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696" s="2">
        <f t="shared" ca="1" si="178"/>
        <v>40.01563867614523</v>
      </c>
      <c r="H1696" s="47" t="str" cm="1">
        <f t="array" aca="1" ref="H16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97" spans="1:8" x14ac:dyDescent="0.25">
      <c r="A1697" s="2">
        <f t="shared" ca="1" si="175"/>
        <v>3.0002953935589578</v>
      </c>
      <c r="B1697" s="4" cm="1">
        <f t="array" aca="1" ref="B16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697" s="2">
        <f t="shared" ca="1" si="176"/>
        <v>3.0040387809091782</v>
      </c>
      <c r="D1697" s="4" t="str" cm="1">
        <f t="array" aca="1" ref="D16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97" s="2">
        <f t="shared" ca="1" si="177"/>
        <v>30.01051135119992</v>
      </c>
      <c r="F1697" s="4" t="str" cm="1">
        <f t="array" aca="1" ref="F16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97" s="2">
        <f t="shared" ca="1" si="178"/>
        <v>40.014357259310792</v>
      </c>
      <c r="H1697" s="47" t="str" cm="1">
        <f t="array" aca="1" ref="H16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698" spans="1:8" x14ac:dyDescent="0.25">
      <c r="A1698" s="2">
        <f t="shared" ca="1" si="175"/>
        <v>3.0085803777331321</v>
      </c>
      <c r="B1698" s="4" cm="1">
        <f t="array" aca="1" ref="B16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698" s="2">
        <f t="shared" ca="1" si="176"/>
        <v>3.0002063496520552</v>
      </c>
      <c r="D1698" s="4" t="str" cm="1">
        <f t="array" aca="1" ref="D16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98" s="2">
        <f t="shared" ca="1" si="177"/>
        <v>30.013336050304648</v>
      </c>
      <c r="F1698" s="4" t="str" cm="1">
        <f t="array" aca="1" ref="F16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98" s="2">
        <f t="shared" ca="1" si="178"/>
        <v>40.022359103916891</v>
      </c>
      <c r="H1698" s="47" t="str" cm="1">
        <f t="array" aca="1" ref="H16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699" spans="1:8" x14ac:dyDescent="0.25">
      <c r="A1699" s="2">
        <f t="shared" ca="1" si="175"/>
        <v>3.0065494498109353</v>
      </c>
      <c r="B1699" s="4" cm="1">
        <f t="array" aca="1" ref="B16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699" s="2">
        <f t="shared" ca="1" si="176"/>
        <v>3.0056924054895009</v>
      </c>
      <c r="D1699" s="4" t="str" cm="1">
        <f t="array" aca="1" ref="D16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699" s="2">
        <f t="shared" ca="1" si="177"/>
        <v>30.013845559765496</v>
      </c>
      <c r="F1699" s="4" t="str" cm="1">
        <f t="array" aca="1" ref="F16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699" s="2">
        <f t="shared" ca="1" si="178"/>
        <v>40.009534891661119</v>
      </c>
      <c r="H1699" s="47" t="str" cm="1">
        <f t="array" aca="1" ref="H16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00" spans="1:8" x14ac:dyDescent="0.25">
      <c r="A1700" s="2">
        <f t="shared" ca="1" si="175"/>
        <v>3.0037731393972829</v>
      </c>
      <c r="B1700" s="4" cm="1">
        <f t="array" aca="1" ref="B17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700" s="2">
        <f t="shared" ca="1" si="176"/>
        <v>3.0111590171883855</v>
      </c>
      <c r="D1700" s="4" t="str" cm="1">
        <f t="array" aca="1" ref="D17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00" s="2">
        <f t="shared" ca="1" si="177"/>
        <v>30.010988713444398</v>
      </c>
      <c r="F1700" s="4" t="str" cm="1">
        <f t="array" aca="1" ref="F17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00" s="2">
        <f t="shared" ca="1" si="178"/>
        <v>40.003067322807205</v>
      </c>
      <c r="H1700" s="47" t="str" cm="1">
        <f t="array" aca="1" ref="H17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01" spans="1:8" x14ac:dyDescent="0.25">
      <c r="A1701" s="2">
        <f t="shared" ca="1" si="175"/>
        <v>3.0036646385895307</v>
      </c>
      <c r="B1701" s="4" cm="1">
        <f t="array" aca="1" ref="B17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701" s="2">
        <f t="shared" ca="1" si="176"/>
        <v>3.0228695769782146</v>
      </c>
      <c r="D1701" s="4" t="str" cm="1">
        <f t="array" aca="1" ref="D17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01" s="2">
        <f t="shared" ca="1" si="177"/>
        <v>30.002514637098223</v>
      </c>
      <c r="F1701" s="4" t="str" cm="1">
        <f t="array" aca="1" ref="F17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01" s="2">
        <f t="shared" ca="1" si="178"/>
        <v>40.025449995058025</v>
      </c>
      <c r="H1701" s="47" t="str" cm="1">
        <f t="array" aca="1" ref="H17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02" spans="1:8" x14ac:dyDescent="0.25">
      <c r="A1702" s="2">
        <f t="shared" ca="1" si="175"/>
        <v>3.0033502670789942</v>
      </c>
      <c r="B1702" s="4" cm="1">
        <f t="array" aca="1" ref="B17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702" s="2">
        <f t="shared" ca="1" si="176"/>
        <v>3.0233969718735785</v>
      </c>
      <c r="D1702" s="4" t="str" cm="1">
        <f t="array" aca="1" ref="D17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02" s="2">
        <f t="shared" ca="1" si="177"/>
        <v>30.023049105920503</v>
      </c>
      <c r="F1702" s="4" t="str" cm="1">
        <f t="array" aca="1" ref="F17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02" s="2">
        <f t="shared" ca="1" si="178"/>
        <v>40.001842955798445</v>
      </c>
      <c r="H1702" s="47" t="str" cm="1">
        <f t="array" aca="1" ref="H17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03" spans="1:8" x14ac:dyDescent="0.25">
      <c r="A1703" s="2">
        <f t="shared" ca="1" si="175"/>
        <v>3.0078785965327386</v>
      </c>
      <c r="B1703" s="4" cm="1">
        <f t="array" aca="1" ref="B17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703" s="2">
        <f t="shared" ca="1" si="176"/>
        <v>3.0105499538209526</v>
      </c>
      <c r="D1703" s="4" t="str" cm="1">
        <f t="array" aca="1" ref="D17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03" s="2">
        <f t="shared" ca="1" si="177"/>
        <v>30.019899250653069</v>
      </c>
      <c r="F1703" s="4" t="str" cm="1">
        <f t="array" aca="1" ref="F17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03" s="2">
        <f t="shared" ca="1" si="178"/>
        <v>40.023637418733962</v>
      </c>
      <c r="H1703" s="47" t="str" cm="1">
        <f t="array" aca="1" ref="H17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04" spans="1:8" x14ac:dyDescent="0.25">
      <c r="A1704" s="2">
        <f t="shared" ca="1" si="175"/>
        <v>3.0087643519577574</v>
      </c>
      <c r="B1704" s="4" cm="1">
        <f t="array" aca="1" ref="B17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704" s="2">
        <f t="shared" ca="1" si="176"/>
        <v>3.003449677080769</v>
      </c>
      <c r="D1704" s="4" t="str" cm="1">
        <f t="array" aca="1" ref="D17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04" s="2">
        <f t="shared" ca="1" si="177"/>
        <v>30.028102254624351</v>
      </c>
      <c r="F1704" s="4" t="str" cm="1">
        <f t="array" aca="1" ref="F17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04" s="2">
        <f t="shared" ca="1" si="178"/>
        <v>40.007350755470767</v>
      </c>
      <c r="H1704" s="47" t="str" cm="1">
        <f t="array" aca="1" ref="H17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05" spans="1:8" x14ac:dyDescent="0.25">
      <c r="A1705" s="2">
        <f t="shared" ca="1" si="175"/>
        <v>3.0039680209615134</v>
      </c>
      <c r="B1705" s="4" cm="1">
        <f t="array" aca="1" ref="B17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705" s="2">
        <f t="shared" ca="1" si="176"/>
        <v>3.0231008360072407</v>
      </c>
      <c r="D1705" s="4" t="str" cm="1">
        <f t="array" aca="1" ref="D17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05" s="2">
        <f t="shared" ca="1" si="177"/>
        <v>30.004055733445274</v>
      </c>
      <c r="F1705" s="4" t="str" cm="1">
        <f t="array" aca="1" ref="F17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05" s="2">
        <f t="shared" ca="1" si="178"/>
        <v>40.0188780983136</v>
      </c>
      <c r="H1705" s="47" t="str" cm="1">
        <f t="array" aca="1" ref="H17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06" spans="1:8" x14ac:dyDescent="0.25">
      <c r="A1706" s="2">
        <f t="shared" ca="1" si="175"/>
        <v>3.0092051628720902</v>
      </c>
      <c r="B1706" s="4" cm="1">
        <f t="array" aca="1" ref="B17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706" s="2">
        <f t="shared" ca="1" si="176"/>
        <v>3.02181761799197</v>
      </c>
      <c r="D1706" s="4" t="str" cm="1">
        <f t="array" aca="1" ref="D17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06" s="2">
        <f t="shared" ca="1" si="177"/>
        <v>30.00261626386132</v>
      </c>
      <c r="F1706" s="4" t="str" cm="1">
        <f t="array" aca="1" ref="F17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06" s="2">
        <f t="shared" ca="1" si="178"/>
        <v>40.023693171817008</v>
      </c>
      <c r="H1706" s="47" t="str" cm="1">
        <f t="array" aca="1" ref="H17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07" spans="1:8" x14ac:dyDescent="0.25">
      <c r="A1707" s="2">
        <f t="shared" ca="1" si="175"/>
        <v>3.003701397951378</v>
      </c>
      <c r="B1707" s="4" cm="1">
        <f t="array" aca="1" ref="B17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707" s="2">
        <f t="shared" ca="1" si="176"/>
        <v>3.0276179022868672</v>
      </c>
      <c r="D1707" s="4" t="str" cm="1">
        <f t="array" aca="1" ref="D17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07" s="2">
        <f t="shared" ca="1" si="177"/>
        <v>30.00608604934299</v>
      </c>
      <c r="F1707" s="4" t="str" cm="1">
        <f t="array" aca="1" ref="F17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07" s="2">
        <f t="shared" ca="1" si="178"/>
        <v>40.000441370430636</v>
      </c>
      <c r="H1707" s="47" t="str" cm="1">
        <f t="array" aca="1" ref="H17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08" spans="1:8" x14ac:dyDescent="0.25">
      <c r="A1708" s="2">
        <f t="shared" ca="1" si="175"/>
        <v>3.0015389286117546</v>
      </c>
      <c r="B1708" s="4" cm="1">
        <f t="array" aca="1" ref="B17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708" s="2">
        <f t="shared" ca="1" si="176"/>
        <v>3.0067351711824921</v>
      </c>
      <c r="D1708" s="4" t="str" cm="1">
        <f t="array" aca="1" ref="D17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08" s="2">
        <f t="shared" ca="1" si="177"/>
        <v>30.015101344208841</v>
      </c>
      <c r="F1708" s="4" t="str" cm="1">
        <f t="array" aca="1" ref="F17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08" s="2">
        <f t="shared" ca="1" si="178"/>
        <v>40.009809217041649</v>
      </c>
      <c r="H1708" s="47" t="str" cm="1">
        <f t="array" aca="1" ref="H17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09" spans="1:8" x14ac:dyDescent="0.25">
      <c r="A1709" s="2">
        <f t="shared" ca="1" si="175"/>
        <v>3.0085647612098856</v>
      </c>
      <c r="B1709" s="4" cm="1">
        <f t="array" aca="1" ref="B17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709" s="2">
        <f t="shared" ca="1" si="176"/>
        <v>3.0094975555299044</v>
      </c>
      <c r="D1709" s="4" t="str" cm="1">
        <f t="array" aca="1" ref="D17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09" s="2">
        <f t="shared" ca="1" si="177"/>
        <v>30.000591536230765</v>
      </c>
      <c r="F1709" s="4" t="str" cm="1">
        <f t="array" aca="1" ref="F17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09" s="2">
        <f t="shared" ca="1" si="178"/>
        <v>40.012593665837301</v>
      </c>
      <c r="H1709" s="47" t="str" cm="1">
        <f t="array" aca="1" ref="H17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10" spans="1:8" x14ac:dyDescent="0.25">
      <c r="A1710" s="2">
        <f t="shared" ca="1" si="175"/>
        <v>3.0099382622959481</v>
      </c>
      <c r="B1710" s="4" cm="1">
        <f t="array" aca="1" ref="B17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710" s="2">
        <f t="shared" ca="1" si="176"/>
        <v>3.0237927050830709</v>
      </c>
      <c r="D1710" s="4" t="str" cm="1">
        <f t="array" aca="1" ref="D17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10" s="2">
        <f t="shared" ca="1" si="177"/>
        <v>30.018792289239965</v>
      </c>
      <c r="F1710" s="4" t="str" cm="1">
        <f t="array" aca="1" ref="F17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10" s="2">
        <f t="shared" ca="1" si="178"/>
        <v>40.026733932180889</v>
      </c>
      <c r="H1710" s="47" t="str" cm="1">
        <f t="array" aca="1" ref="H17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11" spans="1:8" x14ac:dyDescent="0.25">
      <c r="A1711" s="2">
        <f t="shared" ca="1" si="175"/>
        <v>3.0018778043967882</v>
      </c>
      <c r="B1711" s="4" cm="1">
        <f t="array" aca="1" ref="B17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711" s="2">
        <f t="shared" ca="1" si="176"/>
        <v>3.0141443932998944</v>
      </c>
      <c r="D1711" s="4" t="str" cm="1">
        <f t="array" aca="1" ref="D17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11" s="2">
        <f t="shared" ca="1" si="177"/>
        <v>30.008948952544323</v>
      </c>
      <c r="F1711" s="4" t="str" cm="1">
        <f t="array" aca="1" ref="F17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11" s="2">
        <f t="shared" ca="1" si="178"/>
        <v>40.019764119319518</v>
      </c>
      <c r="H1711" s="47" t="str" cm="1">
        <f t="array" aca="1" ref="H17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12" spans="1:8" x14ac:dyDescent="0.25">
      <c r="A1712" s="2">
        <f t="shared" ca="1" si="175"/>
        <v>3.0086668283378684</v>
      </c>
      <c r="B1712" s="4" cm="1">
        <f t="array" aca="1" ref="B17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712" s="2">
        <f t="shared" ca="1" si="176"/>
        <v>3.0115762657007328</v>
      </c>
      <c r="D1712" s="4" t="str" cm="1">
        <f t="array" aca="1" ref="D17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12" s="2">
        <f t="shared" ca="1" si="177"/>
        <v>30.013919155523269</v>
      </c>
      <c r="F1712" s="4" t="str" cm="1">
        <f t="array" aca="1" ref="F17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12" s="2">
        <f t="shared" ca="1" si="178"/>
        <v>40.026603615712439</v>
      </c>
      <c r="H1712" s="47" t="str" cm="1">
        <f t="array" aca="1" ref="H17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13" spans="1:8" x14ac:dyDescent="0.25">
      <c r="A1713" s="2">
        <f t="shared" ca="1" si="175"/>
        <v>3.0085773264507742</v>
      </c>
      <c r="B1713" s="4" cm="1">
        <f t="array" aca="1" ref="B17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713" s="2">
        <f t="shared" ca="1" si="176"/>
        <v>3.029095736782629</v>
      </c>
      <c r="D1713" s="4" t="str" cm="1">
        <f t="array" aca="1" ref="D17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13" s="2">
        <f t="shared" ca="1" si="177"/>
        <v>30.009222622081527</v>
      </c>
      <c r="F1713" s="4" t="str" cm="1">
        <f t="array" aca="1" ref="F17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13" s="2">
        <f t="shared" ca="1" si="178"/>
        <v>40.013279223794868</v>
      </c>
      <c r="H1713" s="47" t="str" cm="1">
        <f t="array" aca="1" ref="H17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14" spans="1:8" x14ac:dyDescent="0.25">
      <c r="A1714" s="2">
        <f t="shared" ca="1" si="175"/>
        <v>3.0072447864211589</v>
      </c>
      <c r="B1714" s="4" cm="1">
        <f t="array" aca="1" ref="B17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714" s="2">
        <f t="shared" ca="1" si="176"/>
        <v>3.0111234847494672</v>
      </c>
      <c r="D1714" s="4" t="str" cm="1">
        <f t="array" aca="1" ref="D17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14" s="2">
        <f t="shared" ca="1" si="177"/>
        <v>30.004282474213273</v>
      </c>
      <c r="F1714" s="4" t="str" cm="1">
        <f t="array" aca="1" ref="F17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14" s="2">
        <f t="shared" ca="1" si="178"/>
        <v>40.027664446963016</v>
      </c>
      <c r="H1714" s="47" t="str" cm="1">
        <f t="array" aca="1" ref="H17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15" spans="1:8" x14ac:dyDescent="0.25">
      <c r="A1715" s="2">
        <f t="shared" ca="1" si="175"/>
        <v>3.0002287971139197</v>
      </c>
      <c r="B1715" s="4" cm="1">
        <f t="array" aca="1" ref="B17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715" s="2">
        <f t="shared" ca="1" si="176"/>
        <v>3.0261045537439211</v>
      </c>
      <c r="D1715" s="4" t="str" cm="1">
        <f t="array" aca="1" ref="D17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15" s="2">
        <f t="shared" ca="1" si="177"/>
        <v>30.004968611187596</v>
      </c>
      <c r="F1715" s="4" t="str" cm="1">
        <f t="array" aca="1" ref="F17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15" s="2">
        <f t="shared" ca="1" si="178"/>
        <v>40.003768907761625</v>
      </c>
      <c r="H1715" s="47" t="str" cm="1">
        <f t="array" aca="1" ref="H17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16" spans="1:8" x14ac:dyDescent="0.25">
      <c r="A1716" s="2">
        <f t="shared" ca="1" si="175"/>
        <v>3.0078062681969935</v>
      </c>
      <c r="B1716" s="4" cm="1">
        <f t="array" aca="1" ref="B17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716" s="2">
        <f t="shared" ca="1" si="176"/>
        <v>3.0046733055622141</v>
      </c>
      <c r="D1716" s="4" t="str" cm="1">
        <f t="array" aca="1" ref="D17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16" s="2">
        <f t="shared" ca="1" si="177"/>
        <v>30.002595135174349</v>
      </c>
      <c r="F1716" s="4" t="str" cm="1">
        <f t="array" aca="1" ref="F17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16" s="2">
        <f t="shared" ca="1" si="178"/>
        <v>40.009975394564876</v>
      </c>
      <c r="H1716" s="47" t="str" cm="1">
        <f t="array" aca="1" ref="H17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17" spans="1:8" x14ac:dyDescent="0.25">
      <c r="A1717" s="2">
        <f t="shared" ca="1" si="175"/>
        <v>3.0044593350430486</v>
      </c>
      <c r="B1717" s="4" cm="1">
        <f t="array" aca="1" ref="B17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717" s="2">
        <f t="shared" ca="1" si="176"/>
        <v>3.0055458378810442</v>
      </c>
      <c r="D1717" s="4" t="str" cm="1">
        <f t="array" aca="1" ref="D17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17" s="2">
        <f t="shared" ca="1" si="177"/>
        <v>30.022989027757056</v>
      </c>
      <c r="F1717" s="4" t="str" cm="1">
        <f t="array" aca="1" ref="F17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17" s="2">
        <f t="shared" ca="1" si="178"/>
        <v>40.003306600315703</v>
      </c>
      <c r="H1717" s="47" t="str" cm="1">
        <f t="array" aca="1" ref="H17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18" spans="1:8" x14ac:dyDescent="0.25">
      <c r="A1718" s="2">
        <f t="shared" ca="1" si="175"/>
        <v>3.0083699096933327</v>
      </c>
      <c r="B1718" s="4" cm="1">
        <f t="array" aca="1" ref="B17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718" s="2">
        <f t="shared" ca="1" si="176"/>
        <v>3.0226439593226591</v>
      </c>
      <c r="D1718" s="4" t="str" cm="1">
        <f t="array" aca="1" ref="D17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18" s="2">
        <f t="shared" ca="1" si="177"/>
        <v>30.015516004058313</v>
      </c>
      <c r="F1718" s="4" t="str" cm="1">
        <f t="array" aca="1" ref="F17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18" s="2">
        <f t="shared" ca="1" si="178"/>
        <v>40.005728139061446</v>
      </c>
      <c r="H1718" s="47" t="str" cm="1">
        <f t="array" aca="1" ref="H17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19" spans="1:8" x14ac:dyDescent="0.25">
      <c r="A1719" s="2">
        <f t="shared" ca="1" si="175"/>
        <v>3.0058422069149628</v>
      </c>
      <c r="B1719" s="4" cm="1">
        <f t="array" aca="1" ref="B17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719" s="2">
        <f t="shared" ca="1" si="176"/>
        <v>3.0244803565445033</v>
      </c>
      <c r="D1719" s="4" t="str" cm="1">
        <f t="array" aca="1" ref="D17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19" s="2">
        <f t="shared" ca="1" si="177"/>
        <v>30.010214724928055</v>
      </c>
      <c r="F1719" s="4" t="str" cm="1">
        <f t="array" aca="1" ref="F17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19" s="2">
        <f t="shared" ca="1" si="178"/>
        <v>40.019101150639962</v>
      </c>
      <c r="H1719" s="47" t="str" cm="1">
        <f t="array" aca="1" ref="H17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20" spans="1:8" x14ac:dyDescent="0.25">
      <c r="A1720" s="2">
        <f t="shared" ca="1" si="175"/>
        <v>3.0051305921503983</v>
      </c>
      <c r="B1720" s="4" cm="1">
        <f t="array" aca="1" ref="B17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720" s="2">
        <f t="shared" ca="1" si="176"/>
        <v>3.0041461647293395</v>
      </c>
      <c r="D1720" s="4" t="str" cm="1">
        <f t="array" aca="1" ref="D17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20" s="2">
        <f t="shared" ca="1" si="177"/>
        <v>30.021324439481351</v>
      </c>
      <c r="F1720" s="4" t="str" cm="1">
        <f t="array" aca="1" ref="F17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20" s="2">
        <f t="shared" ca="1" si="178"/>
        <v>40.026301651383818</v>
      </c>
      <c r="H1720" s="47" t="str" cm="1">
        <f t="array" aca="1" ref="H17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21" spans="1:8" x14ac:dyDescent="0.25">
      <c r="A1721" s="2">
        <f t="shared" ca="1" si="175"/>
        <v>3.0059344920086835</v>
      </c>
      <c r="B1721" s="4" cm="1">
        <f t="array" aca="1" ref="B17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721" s="2">
        <f t="shared" ca="1" si="176"/>
        <v>3.0212795444936065</v>
      </c>
      <c r="D1721" s="4" t="str" cm="1">
        <f t="array" aca="1" ref="D17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21" s="2">
        <f t="shared" ca="1" si="177"/>
        <v>30.006479107486989</v>
      </c>
      <c r="F1721" s="4" t="str" cm="1">
        <f t="array" aca="1" ref="F17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21" s="2">
        <f t="shared" ca="1" si="178"/>
        <v>40.014871783779732</v>
      </c>
      <c r="H1721" s="47" t="str" cm="1">
        <f t="array" aca="1" ref="H17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22" spans="1:8" x14ac:dyDescent="0.25">
      <c r="A1722" s="2">
        <f t="shared" ca="1" si="175"/>
        <v>3.0098940757668333</v>
      </c>
      <c r="B1722" s="4" cm="1">
        <f t="array" aca="1" ref="B17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722" s="2">
        <f t="shared" ca="1" si="176"/>
        <v>3.0012536294884855</v>
      </c>
      <c r="D1722" s="4" t="str" cm="1">
        <f t="array" aca="1" ref="D17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22" s="2">
        <f t="shared" ca="1" si="177"/>
        <v>30.013451763934647</v>
      </c>
      <c r="F1722" s="4" t="str" cm="1">
        <f t="array" aca="1" ref="F17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22" s="2">
        <f t="shared" ca="1" si="178"/>
        <v>40.002429085555505</v>
      </c>
      <c r="H1722" s="47" t="str" cm="1">
        <f t="array" aca="1" ref="H17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23" spans="1:8" x14ac:dyDescent="0.25">
      <c r="A1723" s="2">
        <f t="shared" ca="1" si="175"/>
        <v>3.0006090723887477</v>
      </c>
      <c r="B1723" s="4" cm="1">
        <f t="array" aca="1" ref="B17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723" s="2">
        <f t="shared" ca="1" si="176"/>
        <v>3.0122044506834649</v>
      </c>
      <c r="D1723" s="4" t="str" cm="1">
        <f t="array" aca="1" ref="D17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23" s="2">
        <f t="shared" ca="1" si="177"/>
        <v>30.01265828427368</v>
      </c>
      <c r="F1723" s="4" t="str" cm="1">
        <f t="array" aca="1" ref="F17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23" s="2">
        <f t="shared" ca="1" si="178"/>
        <v>40.004029178178577</v>
      </c>
      <c r="H1723" s="47" t="str" cm="1">
        <f t="array" aca="1" ref="H17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24" spans="1:8" x14ac:dyDescent="0.25">
      <c r="A1724" s="2">
        <f t="shared" ca="1" si="175"/>
        <v>3.000357941322735</v>
      </c>
      <c r="B1724" s="4" cm="1">
        <f t="array" aca="1" ref="B17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724" s="2">
        <f t="shared" ca="1" si="176"/>
        <v>3.0239593001333347</v>
      </c>
      <c r="D1724" s="4" t="str" cm="1">
        <f t="array" aca="1" ref="D17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24" s="2">
        <f t="shared" ca="1" si="177"/>
        <v>30.029233503377032</v>
      </c>
      <c r="F1724" s="4" t="str" cm="1">
        <f t="array" aca="1" ref="F17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24" s="2">
        <f t="shared" ca="1" si="178"/>
        <v>40.00776236897164</v>
      </c>
      <c r="H1724" s="47" t="str" cm="1">
        <f t="array" aca="1" ref="H17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25" spans="1:8" x14ac:dyDescent="0.25">
      <c r="A1725" s="2">
        <f t="shared" ca="1" si="175"/>
        <v>3.0077253446861349</v>
      </c>
      <c r="B1725" s="4" cm="1">
        <f t="array" aca="1" ref="B17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725" s="2">
        <f t="shared" ca="1" si="176"/>
        <v>3.0264189064930243</v>
      </c>
      <c r="D1725" s="4" t="str" cm="1">
        <f t="array" aca="1" ref="D17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25" s="2">
        <f t="shared" ca="1" si="177"/>
        <v>30.013553383151052</v>
      </c>
      <c r="F1725" s="4" t="str" cm="1">
        <f t="array" aca="1" ref="F17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25" s="2">
        <f t="shared" ca="1" si="178"/>
        <v>40.00991005142189</v>
      </c>
      <c r="H1725" s="47" t="str" cm="1">
        <f t="array" aca="1" ref="H17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26" spans="1:8" x14ac:dyDescent="0.25">
      <c r="A1726" s="2">
        <f t="shared" ca="1" si="175"/>
        <v>3.0022939146416761</v>
      </c>
      <c r="B1726" s="4" cm="1">
        <f t="array" aca="1" ref="B17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726" s="2">
        <f t="shared" ca="1" si="176"/>
        <v>3.0192250798596958</v>
      </c>
      <c r="D1726" s="4" t="str" cm="1">
        <f t="array" aca="1" ref="D17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26" s="2">
        <f t="shared" ca="1" si="177"/>
        <v>30.008122066743596</v>
      </c>
      <c r="F1726" s="4" t="str" cm="1">
        <f t="array" aca="1" ref="F17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26" s="2">
        <f t="shared" ca="1" si="178"/>
        <v>40.006288021800621</v>
      </c>
      <c r="H1726" s="47" t="str" cm="1">
        <f t="array" aca="1" ref="H17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27" spans="1:8" x14ac:dyDescent="0.25">
      <c r="A1727" s="2">
        <f t="shared" ca="1" si="175"/>
        <v>3.0053243034928121</v>
      </c>
      <c r="B1727" s="4" cm="1">
        <f t="array" aca="1" ref="B17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727" s="2">
        <f t="shared" ca="1" si="176"/>
        <v>3.0024152561036956</v>
      </c>
      <c r="D1727" s="4" t="str" cm="1">
        <f t="array" aca="1" ref="D17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27" s="2">
        <f t="shared" ca="1" si="177"/>
        <v>30.011215298201275</v>
      </c>
      <c r="F1727" s="4" t="str" cm="1">
        <f t="array" aca="1" ref="F17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27" s="2">
        <f t="shared" ca="1" si="178"/>
        <v>40.013372416862431</v>
      </c>
      <c r="H1727" s="47" t="str" cm="1">
        <f t="array" aca="1" ref="H17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28" spans="1:8" x14ac:dyDescent="0.25">
      <c r="A1728" s="2">
        <f t="shared" ca="1" si="175"/>
        <v>3.0061814797121147</v>
      </c>
      <c r="B1728" s="4" cm="1">
        <f t="array" aca="1" ref="B17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728" s="2">
        <f t="shared" ca="1" si="176"/>
        <v>3.0057249949999378</v>
      </c>
      <c r="D1728" s="4" t="str" cm="1">
        <f t="array" aca="1" ref="D17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28" s="2">
        <f t="shared" ca="1" si="177"/>
        <v>30.019057363193475</v>
      </c>
      <c r="F1728" s="4" t="str" cm="1">
        <f t="array" aca="1" ref="F17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28" s="2">
        <f t="shared" ca="1" si="178"/>
        <v>40.027516262936764</v>
      </c>
      <c r="H1728" s="47" t="str" cm="1">
        <f t="array" aca="1" ref="H17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29" spans="1:8" x14ac:dyDescent="0.25">
      <c r="A1729" s="2">
        <f t="shared" ca="1" si="175"/>
        <v>3.008938048736101</v>
      </c>
      <c r="B1729" s="4" cm="1">
        <f t="array" aca="1" ref="B17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729" s="2">
        <f t="shared" ca="1" si="176"/>
        <v>3.0077523315781969</v>
      </c>
      <c r="D1729" s="4" t="str" cm="1">
        <f t="array" aca="1" ref="D17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29" s="2">
        <f t="shared" ca="1" si="177"/>
        <v>30.019528536906492</v>
      </c>
      <c r="F1729" s="4" t="str" cm="1">
        <f t="array" aca="1" ref="F17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29" s="2">
        <f t="shared" ca="1" si="178"/>
        <v>40.006038155734451</v>
      </c>
      <c r="H1729" s="47" t="str" cm="1">
        <f t="array" aca="1" ref="H17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30" spans="1:8" x14ac:dyDescent="0.25">
      <c r="A1730" s="2">
        <f t="shared" ref="A1730:A1793" ca="1" si="179">3+RAND()*0.01</f>
        <v>3.0095305922496864</v>
      </c>
      <c r="B1730" s="4" cm="1">
        <f t="array" aca="1" ref="B17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730" s="2">
        <f t="shared" ref="C1730:C1793" ca="1" si="180">3+RAND()*0.03</f>
        <v>3.0107321453918505</v>
      </c>
      <c r="D1730" s="4" t="str" cm="1">
        <f t="array" aca="1" ref="D17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30" s="2">
        <f t="shared" ref="E1730:E1793" ca="1" si="181">30+RAND()*0.03</f>
        <v>30.01352585058784</v>
      </c>
      <c r="F1730" s="4" t="str" cm="1">
        <f t="array" aca="1" ref="F17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30" s="2">
        <f t="shared" ref="G1730:G1793" ca="1" si="182">40+RAND()*0.03</f>
        <v>40.019234650056731</v>
      </c>
      <c r="H1730" s="47" t="str" cm="1">
        <f t="array" aca="1" ref="H17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31" spans="1:8" x14ac:dyDescent="0.25">
      <c r="A1731" s="2">
        <f t="shared" ca="1" si="179"/>
        <v>3.0093417368929467</v>
      </c>
      <c r="B1731" s="4" cm="1">
        <f t="array" aca="1" ref="B17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731" s="2">
        <f t="shared" ca="1" si="180"/>
        <v>3.0062185898248766</v>
      </c>
      <c r="D1731" s="4" t="str" cm="1">
        <f t="array" aca="1" ref="D17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31" s="2">
        <f t="shared" ca="1" si="181"/>
        <v>30.024995191859098</v>
      </c>
      <c r="F1731" s="4" t="str" cm="1">
        <f t="array" aca="1" ref="F17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31" s="2">
        <f t="shared" ca="1" si="182"/>
        <v>40.008909756565366</v>
      </c>
      <c r="H1731" s="47" t="str" cm="1">
        <f t="array" aca="1" ref="H17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32" spans="1:8" x14ac:dyDescent="0.25">
      <c r="A1732" s="2">
        <f t="shared" ca="1" si="179"/>
        <v>3.0062797137975208</v>
      </c>
      <c r="B1732" s="4" cm="1">
        <f t="array" aca="1" ref="B17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732" s="2">
        <f t="shared" ca="1" si="180"/>
        <v>3.0209282107541386</v>
      </c>
      <c r="D1732" s="4" t="str" cm="1">
        <f t="array" aca="1" ref="D17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32" s="2">
        <f t="shared" ca="1" si="181"/>
        <v>30.026854807972001</v>
      </c>
      <c r="F1732" s="4" t="str" cm="1">
        <f t="array" aca="1" ref="F17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32" s="2">
        <f t="shared" ca="1" si="182"/>
        <v>40.016498191014563</v>
      </c>
      <c r="H1732" s="47" t="str" cm="1">
        <f t="array" aca="1" ref="H17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33" spans="1:8" x14ac:dyDescent="0.25">
      <c r="A1733" s="2">
        <f t="shared" ca="1" si="179"/>
        <v>3.0099379031170281</v>
      </c>
      <c r="B1733" s="4" cm="1">
        <f t="array" aca="1" ref="B17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733" s="2">
        <f t="shared" ca="1" si="180"/>
        <v>3.0006569323496333</v>
      </c>
      <c r="D1733" s="4" t="str" cm="1">
        <f t="array" aca="1" ref="D17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33" s="2">
        <f t="shared" ca="1" si="181"/>
        <v>30.010007977762886</v>
      </c>
      <c r="F1733" s="4" t="str" cm="1">
        <f t="array" aca="1" ref="F17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33" s="2">
        <f t="shared" ca="1" si="182"/>
        <v>40.02099718252056</v>
      </c>
      <c r="H1733" s="47" t="str" cm="1">
        <f t="array" aca="1" ref="H17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34" spans="1:8" x14ac:dyDescent="0.25">
      <c r="A1734" s="2">
        <f t="shared" ca="1" si="179"/>
        <v>3.005814512161201</v>
      </c>
      <c r="B1734" s="4" cm="1">
        <f t="array" aca="1" ref="B17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734" s="2">
        <f t="shared" ca="1" si="180"/>
        <v>3.0085770550230126</v>
      </c>
      <c r="D1734" s="4" t="str" cm="1">
        <f t="array" aca="1" ref="D17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34" s="2">
        <f t="shared" ca="1" si="181"/>
        <v>30.005646003902662</v>
      </c>
      <c r="F1734" s="4" t="str" cm="1">
        <f t="array" aca="1" ref="F17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34" s="2">
        <f t="shared" ca="1" si="182"/>
        <v>40.012020104156079</v>
      </c>
      <c r="H1734" s="47" t="str" cm="1">
        <f t="array" aca="1" ref="H17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35" spans="1:8" x14ac:dyDescent="0.25">
      <c r="A1735" s="2">
        <f t="shared" ca="1" si="179"/>
        <v>3.0074294221466698</v>
      </c>
      <c r="B1735" s="4" cm="1">
        <f t="array" aca="1" ref="B17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735" s="2">
        <f t="shared" ca="1" si="180"/>
        <v>3.0268710626389264</v>
      </c>
      <c r="D1735" s="4" t="str" cm="1">
        <f t="array" aca="1" ref="D17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35" s="2">
        <f t="shared" ca="1" si="181"/>
        <v>30.0003030229228</v>
      </c>
      <c r="F1735" s="4" t="str" cm="1">
        <f t="array" aca="1" ref="F17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35" s="2">
        <f t="shared" ca="1" si="182"/>
        <v>40.007519636457971</v>
      </c>
      <c r="H1735" s="47" t="str" cm="1">
        <f t="array" aca="1" ref="H17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36" spans="1:8" x14ac:dyDescent="0.25">
      <c r="A1736" s="2">
        <f t="shared" ca="1" si="179"/>
        <v>3.0087302492458039</v>
      </c>
      <c r="B1736" s="4" cm="1">
        <f t="array" aca="1" ref="B17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736" s="2">
        <f t="shared" ca="1" si="180"/>
        <v>3.0117095144791617</v>
      </c>
      <c r="D1736" s="4" t="str" cm="1">
        <f t="array" aca="1" ref="D17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36" s="2">
        <f t="shared" ca="1" si="181"/>
        <v>30.015187239112532</v>
      </c>
      <c r="F1736" s="4" t="str" cm="1">
        <f t="array" aca="1" ref="F17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36" s="2">
        <f t="shared" ca="1" si="182"/>
        <v>40.010069271688018</v>
      </c>
      <c r="H1736" s="47" t="str" cm="1">
        <f t="array" aca="1" ref="H17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37" spans="1:8" x14ac:dyDescent="0.25">
      <c r="A1737" s="2">
        <f t="shared" ca="1" si="179"/>
        <v>3.0086416382656558</v>
      </c>
      <c r="B1737" s="4" cm="1">
        <f t="array" aca="1" ref="B17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737" s="2">
        <f t="shared" ca="1" si="180"/>
        <v>3.006859556353187</v>
      </c>
      <c r="D1737" s="4" t="str" cm="1">
        <f t="array" aca="1" ref="D17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37" s="2">
        <f t="shared" ca="1" si="181"/>
        <v>30.020992781827392</v>
      </c>
      <c r="F1737" s="4" t="str" cm="1">
        <f t="array" aca="1" ref="F17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37" s="2">
        <f t="shared" ca="1" si="182"/>
        <v>40.029633874764158</v>
      </c>
      <c r="H1737" s="47" t="str" cm="1">
        <f t="array" aca="1" ref="H17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38" spans="1:8" x14ac:dyDescent="0.25">
      <c r="A1738" s="2">
        <f t="shared" ca="1" si="179"/>
        <v>3.0027846393572055</v>
      </c>
      <c r="B1738" s="4" cm="1">
        <f t="array" aca="1" ref="B17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738" s="2">
        <f t="shared" ca="1" si="180"/>
        <v>3.0021093651620601</v>
      </c>
      <c r="D1738" s="4" t="str" cm="1">
        <f t="array" aca="1" ref="D17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38" s="2">
        <f t="shared" ca="1" si="181"/>
        <v>30.001507782370226</v>
      </c>
      <c r="F1738" s="4" t="str" cm="1">
        <f t="array" aca="1" ref="F17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38" s="2">
        <f t="shared" ca="1" si="182"/>
        <v>40.024119252243928</v>
      </c>
      <c r="H1738" s="47" t="str" cm="1">
        <f t="array" aca="1" ref="H17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39" spans="1:8" x14ac:dyDescent="0.25">
      <c r="A1739" s="2">
        <f t="shared" ca="1" si="179"/>
        <v>3.0010628814925493</v>
      </c>
      <c r="B1739" s="4" cm="1">
        <f t="array" aca="1" ref="B17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739" s="2">
        <f t="shared" ca="1" si="180"/>
        <v>3.0072043295201523</v>
      </c>
      <c r="D1739" s="4" t="str" cm="1">
        <f t="array" aca="1" ref="D17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39" s="2">
        <f t="shared" ca="1" si="181"/>
        <v>30.016403553186628</v>
      </c>
      <c r="F1739" s="4" t="str" cm="1">
        <f t="array" aca="1" ref="F17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39" s="2">
        <f t="shared" ca="1" si="182"/>
        <v>40.02957191195452</v>
      </c>
      <c r="H1739" s="47" t="str" cm="1">
        <f t="array" aca="1" ref="H17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40" spans="1:8" x14ac:dyDescent="0.25">
      <c r="A1740" s="2">
        <f t="shared" ca="1" si="179"/>
        <v>3.0008704633352203</v>
      </c>
      <c r="B1740" s="4" cm="1">
        <f t="array" aca="1" ref="B17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740" s="2">
        <f t="shared" ca="1" si="180"/>
        <v>3.0228587537490976</v>
      </c>
      <c r="D1740" s="4" t="str" cm="1">
        <f t="array" aca="1" ref="D17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40" s="2">
        <f t="shared" ca="1" si="181"/>
        <v>30.018172288533915</v>
      </c>
      <c r="F1740" s="4" t="str" cm="1">
        <f t="array" aca="1" ref="F17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40" s="2">
        <f t="shared" ca="1" si="182"/>
        <v>40.013543431410625</v>
      </c>
      <c r="H1740" s="47" t="str" cm="1">
        <f t="array" aca="1" ref="H17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41" spans="1:8" x14ac:dyDescent="0.25">
      <c r="A1741" s="2">
        <f t="shared" ca="1" si="179"/>
        <v>3.0068042475886516</v>
      </c>
      <c r="B1741" s="4" cm="1">
        <f t="array" aca="1" ref="B17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741" s="2">
        <f t="shared" ca="1" si="180"/>
        <v>3.0279406017035027</v>
      </c>
      <c r="D1741" s="4" t="str" cm="1">
        <f t="array" aca="1" ref="D17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41" s="2">
        <f t="shared" ca="1" si="181"/>
        <v>30.010380147658203</v>
      </c>
      <c r="F1741" s="4" t="str" cm="1">
        <f t="array" aca="1" ref="F17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41" s="2">
        <f t="shared" ca="1" si="182"/>
        <v>40.026168634192238</v>
      </c>
      <c r="H1741" s="47" t="str" cm="1">
        <f t="array" aca="1" ref="H17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42" spans="1:8" x14ac:dyDescent="0.25">
      <c r="A1742" s="2">
        <f t="shared" ca="1" si="179"/>
        <v>3.0007924766261502</v>
      </c>
      <c r="B1742" s="4" cm="1">
        <f t="array" aca="1" ref="B17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742" s="2">
        <f t="shared" ca="1" si="180"/>
        <v>3.0133399694386918</v>
      </c>
      <c r="D1742" s="4" t="str" cm="1">
        <f t="array" aca="1" ref="D17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42" s="2">
        <f t="shared" ca="1" si="181"/>
        <v>30.008239461040802</v>
      </c>
      <c r="F1742" s="4" t="str" cm="1">
        <f t="array" aca="1" ref="F17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42" s="2">
        <f t="shared" ca="1" si="182"/>
        <v>40.019297971788248</v>
      </c>
      <c r="H1742" s="47" t="str" cm="1">
        <f t="array" aca="1" ref="H17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43" spans="1:8" x14ac:dyDescent="0.25">
      <c r="A1743" s="2">
        <f t="shared" ca="1" si="179"/>
        <v>3.0047413685664788</v>
      </c>
      <c r="B1743" s="4" cm="1">
        <f t="array" aca="1" ref="B17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743" s="2">
        <f t="shared" ca="1" si="180"/>
        <v>3.0007452943599526</v>
      </c>
      <c r="D1743" s="4" t="str" cm="1">
        <f t="array" aca="1" ref="D17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43" s="2">
        <f t="shared" ca="1" si="181"/>
        <v>30.02758438000604</v>
      </c>
      <c r="F1743" s="4" t="str" cm="1">
        <f t="array" aca="1" ref="F17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43" s="2">
        <f t="shared" ca="1" si="182"/>
        <v>40.028566998074886</v>
      </c>
      <c r="H1743" s="47" t="str" cm="1">
        <f t="array" aca="1" ref="H17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44" spans="1:8" x14ac:dyDescent="0.25">
      <c r="A1744" s="2">
        <f t="shared" ca="1" si="179"/>
        <v>3.0081108620210677</v>
      </c>
      <c r="B1744" s="4" cm="1">
        <f t="array" aca="1" ref="B17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744" s="2">
        <f t="shared" ca="1" si="180"/>
        <v>3.000740302953198</v>
      </c>
      <c r="D1744" s="4" t="str" cm="1">
        <f t="array" aca="1" ref="D17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44" s="2">
        <f t="shared" ca="1" si="181"/>
        <v>30.021313060745069</v>
      </c>
      <c r="F1744" s="4" t="str" cm="1">
        <f t="array" aca="1" ref="F17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44" s="2">
        <f t="shared" ca="1" si="182"/>
        <v>40.023947455128273</v>
      </c>
      <c r="H1744" s="47" t="str" cm="1">
        <f t="array" aca="1" ref="H17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45" spans="1:8" x14ac:dyDescent="0.25">
      <c r="A1745" s="2">
        <f t="shared" ca="1" si="179"/>
        <v>3.0008728260565167</v>
      </c>
      <c r="B1745" s="4" cm="1">
        <f t="array" aca="1" ref="B17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745" s="2">
        <f t="shared" ca="1" si="180"/>
        <v>3.0047446814561978</v>
      </c>
      <c r="D1745" s="4" t="str" cm="1">
        <f t="array" aca="1" ref="D17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45" s="2">
        <f t="shared" ca="1" si="181"/>
        <v>30.012018144607303</v>
      </c>
      <c r="F1745" s="4" t="str" cm="1">
        <f t="array" aca="1" ref="F17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45" s="2">
        <f t="shared" ca="1" si="182"/>
        <v>40.018232027669718</v>
      </c>
      <c r="H1745" s="47" t="str" cm="1">
        <f t="array" aca="1" ref="H17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46" spans="1:8" x14ac:dyDescent="0.25">
      <c r="A1746" s="2">
        <f t="shared" ca="1" si="179"/>
        <v>3.0074356580182413</v>
      </c>
      <c r="B1746" s="4" cm="1">
        <f t="array" aca="1" ref="B17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746" s="2">
        <f t="shared" ca="1" si="180"/>
        <v>3.0236370079737847</v>
      </c>
      <c r="D1746" s="4" t="str" cm="1">
        <f t="array" aca="1" ref="D17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46" s="2">
        <f t="shared" ca="1" si="181"/>
        <v>30.027591024669928</v>
      </c>
      <c r="F1746" s="4" t="str" cm="1">
        <f t="array" aca="1" ref="F17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46" s="2">
        <f t="shared" ca="1" si="182"/>
        <v>40.01252372028457</v>
      </c>
      <c r="H1746" s="47" t="str" cm="1">
        <f t="array" aca="1" ref="H17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47" spans="1:8" x14ac:dyDescent="0.25">
      <c r="A1747" s="2">
        <f t="shared" ca="1" si="179"/>
        <v>3.0028582786692795</v>
      </c>
      <c r="B1747" s="4" cm="1">
        <f t="array" aca="1" ref="B17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747" s="2">
        <f t="shared" ca="1" si="180"/>
        <v>3.0244118135865827</v>
      </c>
      <c r="D1747" s="4" t="str" cm="1">
        <f t="array" aca="1" ref="D17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47" s="2">
        <f t="shared" ca="1" si="181"/>
        <v>30.015016023264121</v>
      </c>
      <c r="F1747" s="4" t="str" cm="1">
        <f t="array" aca="1" ref="F17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47" s="2">
        <f t="shared" ca="1" si="182"/>
        <v>40.015444274107935</v>
      </c>
      <c r="H1747" s="47" t="str" cm="1">
        <f t="array" aca="1" ref="H17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48" spans="1:8" x14ac:dyDescent="0.25">
      <c r="A1748" s="2">
        <f t="shared" ca="1" si="179"/>
        <v>3.0002280229646958</v>
      </c>
      <c r="B1748" s="4" cm="1">
        <f t="array" aca="1" ref="B17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748" s="2">
        <f t="shared" ca="1" si="180"/>
        <v>3.0095717229877819</v>
      </c>
      <c r="D1748" s="4" t="str" cm="1">
        <f t="array" aca="1" ref="D17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48" s="2">
        <f t="shared" ca="1" si="181"/>
        <v>30.003258542070665</v>
      </c>
      <c r="F1748" s="4" t="str" cm="1">
        <f t="array" aca="1" ref="F17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48" s="2">
        <f t="shared" ca="1" si="182"/>
        <v>40.019334117616694</v>
      </c>
      <c r="H1748" s="47" t="str" cm="1">
        <f t="array" aca="1" ref="H17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49" spans="1:8" x14ac:dyDescent="0.25">
      <c r="A1749" s="2">
        <f t="shared" ca="1" si="179"/>
        <v>3.0071365457745056</v>
      </c>
      <c r="B1749" s="4" cm="1">
        <f t="array" aca="1" ref="B17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749" s="2">
        <f t="shared" ca="1" si="180"/>
        <v>3.0178466666303421</v>
      </c>
      <c r="D1749" s="4" t="str" cm="1">
        <f t="array" aca="1" ref="D17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49" s="2">
        <f t="shared" ca="1" si="181"/>
        <v>30.004123897629274</v>
      </c>
      <c r="F1749" s="4" t="str" cm="1">
        <f t="array" aca="1" ref="F17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49" s="2">
        <f t="shared" ca="1" si="182"/>
        <v>40.01273544047563</v>
      </c>
      <c r="H1749" s="47" t="str" cm="1">
        <f t="array" aca="1" ref="H17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50" spans="1:8" x14ac:dyDescent="0.25">
      <c r="A1750" s="2">
        <f t="shared" ca="1" si="179"/>
        <v>3.0071698924055821</v>
      </c>
      <c r="B1750" s="4" cm="1">
        <f t="array" aca="1" ref="B17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750" s="2">
        <f t="shared" ca="1" si="180"/>
        <v>3.0189235416886691</v>
      </c>
      <c r="D1750" s="4" t="str" cm="1">
        <f t="array" aca="1" ref="D17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50" s="2">
        <f t="shared" ca="1" si="181"/>
        <v>30.027577372773468</v>
      </c>
      <c r="F1750" s="4" t="str" cm="1">
        <f t="array" aca="1" ref="F17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50" s="2">
        <f t="shared" ca="1" si="182"/>
        <v>40.022863197954187</v>
      </c>
      <c r="H1750" s="47" t="str" cm="1">
        <f t="array" aca="1" ref="H17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51" spans="1:8" x14ac:dyDescent="0.25">
      <c r="A1751" s="2">
        <f t="shared" ca="1" si="179"/>
        <v>3.0021446420570244</v>
      </c>
      <c r="B1751" s="4" cm="1">
        <f t="array" aca="1" ref="B17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751" s="2">
        <f t="shared" ca="1" si="180"/>
        <v>3.0202934190376696</v>
      </c>
      <c r="D1751" s="4" t="str" cm="1">
        <f t="array" aca="1" ref="D17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51" s="2">
        <f t="shared" ca="1" si="181"/>
        <v>30.024914980227834</v>
      </c>
      <c r="F1751" s="4" t="str" cm="1">
        <f t="array" aca="1" ref="F17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51" s="2">
        <f t="shared" ca="1" si="182"/>
        <v>40.018662449195162</v>
      </c>
      <c r="H1751" s="47" t="str" cm="1">
        <f t="array" aca="1" ref="H17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52" spans="1:8" x14ac:dyDescent="0.25">
      <c r="A1752" s="2">
        <f t="shared" ca="1" si="179"/>
        <v>3.009756588693508</v>
      </c>
      <c r="B1752" s="4" cm="1">
        <f t="array" aca="1" ref="B17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752" s="2">
        <f t="shared" ca="1" si="180"/>
        <v>3.0141170476634223</v>
      </c>
      <c r="D1752" s="4" t="str" cm="1">
        <f t="array" aca="1" ref="D17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52" s="2">
        <f t="shared" ca="1" si="181"/>
        <v>30.02254681001229</v>
      </c>
      <c r="F1752" s="4" t="str" cm="1">
        <f t="array" aca="1" ref="F17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52" s="2">
        <f t="shared" ca="1" si="182"/>
        <v>40.005529506976679</v>
      </c>
      <c r="H1752" s="47" t="str" cm="1">
        <f t="array" aca="1" ref="H17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53" spans="1:8" x14ac:dyDescent="0.25">
      <c r="A1753" s="2">
        <f t="shared" ca="1" si="179"/>
        <v>3.0017604335731907</v>
      </c>
      <c r="B1753" s="4" cm="1">
        <f t="array" aca="1" ref="B17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753" s="2">
        <f t="shared" ca="1" si="180"/>
        <v>3.0275366239134258</v>
      </c>
      <c r="D1753" s="4" t="str" cm="1">
        <f t="array" aca="1" ref="D17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53" s="2">
        <f t="shared" ca="1" si="181"/>
        <v>30.017382894694425</v>
      </c>
      <c r="F1753" s="4" t="str" cm="1">
        <f t="array" aca="1" ref="F17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53" s="2">
        <f t="shared" ca="1" si="182"/>
        <v>40.009653185912804</v>
      </c>
      <c r="H1753" s="47" t="str" cm="1">
        <f t="array" aca="1" ref="H17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54" spans="1:8" x14ac:dyDescent="0.25">
      <c r="A1754" s="2">
        <f t="shared" ca="1" si="179"/>
        <v>3.005805633120894</v>
      </c>
      <c r="B1754" s="4" cm="1">
        <f t="array" aca="1" ref="B17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754" s="2">
        <f t="shared" ca="1" si="180"/>
        <v>3.0109733586328025</v>
      </c>
      <c r="D1754" s="4" t="str" cm="1">
        <f t="array" aca="1" ref="D17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54" s="2">
        <f t="shared" ca="1" si="181"/>
        <v>30.003341902790297</v>
      </c>
      <c r="F1754" s="4" t="str" cm="1">
        <f t="array" aca="1" ref="F17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54" s="2">
        <f t="shared" ca="1" si="182"/>
        <v>40.018913662020552</v>
      </c>
      <c r="H1754" s="47" t="str" cm="1">
        <f t="array" aca="1" ref="H17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55" spans="1:8" x14ac:dyDescent="0.25">
      <c r="A1755" s="2">
        <f t="shared" ca="1" si="179"/>
        <v>3.0027865560437985</v>
      </c>
      <c r="B1755" s="4" cm="1">
        <f t="array" aca="1" ref="B17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755" s="2">
        <f t="shared" ca="1" si="180"/>
        <v>3.02481812837833</v>
      </c>
      <c r="D1755" s="4" t="str" cm="1">
        <f t="array" aca="1" ref="D17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55" s="2">
        <f t="shared" ca="1" si="181"/>
        <v>30.023278728185414</v>
      </c>
      <c r="F1755" s="4" t="str" cm="1">
        <f t="array" aca="1" ref="F17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55" s="2">
        <f t="shared" ca="1" si="182"/>
        <v>40.019015236100415</v>
      </c>
      <c r="H1755" s="47" t="str" cm="1">
        <f t="array" aca="1" ref="H17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56" spans="1:8" x14ac:dyDescent="0.25">
      <c r="A1756" s="2">
        <f t="shared" ca="1" si="179"/>
        <v>3.0094972600366354</v>
      </c>
      <c r="B1756" s="4" cm="1">
        <f t="array" aca="1" ref="B17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756" s="2">
        <f t="shared" ca="1" si="180"/>
        <v>3.0173522343769719</v>
      </c>
      <c r="D1756" s="4" t="str" cm="1">
        <f t="array" aca="1" ref="D17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56" s="2">
        <f t="shared" ca="1" si="181"/>
        <v>30.026564576019094</v>
      </c>
      <c r="F1756" s="4" t="str" cm="1">
        <f t="array" aca="1" ref="F17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56" s="2">
        <f t="shared" ca="1" si="182"/>
        <v>40.002611865002201</v>
      </c>
      <c r="H1756" s="47" t="str" cm="1">
        <f t="array" aca="1" ref="H17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57" spans="1:8" x14ac:dyDescent="0.25">
      <c r="A1757" s="2">
        <f t="shared" ca="1" si="179"/>
        <v>3.0073396875031553</v>
      </c>
      <c r="B1757" s="4" cm="1">
        <f t="array" aca="1" ref="B17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757" s="2">
        <f t="shared" ca="1" si="180"/>
        <v>3.008672716389285</v>
      </c>
      <c r="D1757" s="4" t="str" cm="1">
        <f t="array" aca="1" ref="D17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57" s="2">
        <f t="shared" ca="1" si="181"/>
        <v>30.009247054944399</v>
      </c>
      <c r="F1757" s="4" t="str" cm="1">
        <f t="array" aca="1" ref="F17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57" s="2">
        <f t="shared" ca="1" si="182"/>
        <v>40.017113018581654</v>
      </c>
      <c r="H1757" s="47" t="str" cm="1">
        <f t="array" aca="1" ref="H17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58" spans="1:8" x14ac:dyDescent="0.25">
      <c r="A1758" s="2">
        <f t="shared" ca="1" si="179"/>
        <v>3.0089705456646185</v>
      </c>
      <c r="B1758" s="4" cm="1">
        <f t="array" aca="1" ref="B17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758" s="2">
        <f t="shared" ca="1" si="180"/>
        <v>3.0166512648993691</v>
      </c>
      <c r="D1758" s="4" t="str" cm="1">
        <f t="array" aca="1" ref="D17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58" s="2">
        <f t="shared" ca="1" si="181"/>
        <v>30.012424943295851</v>
      </c>
      <c r="F1758" s="4" t="str" cm="1">
        <f t="array" aca="1" ref="F17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58" s="2">
        <f t="shared" ca="1" si="182"/>
        <v>40.005953252770617</v>
      </c>
      <c r="H1758" s="47" t="str" cm="1">
        <f t="array" aca="1" ref="H17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59" spans="1:8" x14ac:dyDescent="0.25">
      <c r="A1759" s="2">
        <f t="shared" ca="1" si="179"/>
        <v>3.0067362413673409</v>
      </c>
      <c r="B1759" s="4" cm="1">
        <f t="array" aca="1" ref="B17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759" s="2">
        <f t="shared" ca="1" si="180"/>
        <v>3.0067543098737821</v>
      </c>
      <c r="D1759" s="4" t="str" cm="1">
        <f t="array" aca="1" ref="D17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59" s="2">
        <f t="shared" ca="1" si="181"/>
        <v>30.004320438016226</v>
      </c>
      <c r="F1759" s="4" t="str" cm="1">
        <f t="array" aca="1" ref="F17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59" s="2">
        <f t="shared" ca="1" si="182"/>
        <v>40.015423925756181</v>
      </c>
      <c r="H1759" s="47" t="str" cm="1">
        <f t="array" aca="1" ref="H17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60" spans="1:8" x14ac:dyDescent="0.25">
      <c r="A1760" s="2">
        <f t="shared" ca="1" si="179"/>
        <v>3.0032280020427113</v>
      </c>
      <c r="B1760" s="4" cm="1">
        <f t="array" aca="1" ref="B17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760" s="2">
        <f t="shared" ca="1" si="180"/>
        <v>3.0195550608700503</v>
      </c>
      <c r="D1760" s="4" t="str" cm="1">
        <f t="array" aca="1" ref="D17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60" s="2">
        <f t="shared" ca="1" si="181"/>
        <v>30.014457563285891</v>
      </c>
      <c r="F1760" s="4" t="str" cm="1">
        <f t="array" aca="1" ref="F17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60" s="2">
        <f t="shared" ca="1" si="182"/>
        <v>40.020602768987786</v>
      </c>
      <c r="H1760" s="47" t="str" cm="1">
        <f t="array" aca="1" ref="H17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61" spans="1:8" x14ac:dyDescent="0.25">
      <c r="A1761" s="2">
        <f t="shared" ca="1" si="179"/>
        <v>3.0007184511587726</v>
      </c>
      <c r="B1761" s="4" cm="1">
        <f t="array" aca="1" ref="B17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761" s="2">
        <f t="shared" ca="1" si="180"/>
        <v>3.0088950025771024</v>
      </c>
      <c r="D1761" s="4" t="str" cm="1">
        <f t="array" aca="1" ref="D17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61" s="2">
        <f t="shared" ca="1" si="181"/>
        <v>30.003477937544904</v>
      </c>
      <c r="F1761" s="4" t="str" cm="1">
        <f t="array" aca="1" ref="F17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61" s="2">
        <f t="shared" ca="1" si="182"/>
        <v>40.01133685575352</v>
      </c>
      <c r="H1761" s="47" t="str" cm="1">
        <f t="array" aca="1" ref="H17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62" spans="1:8" x14ac:dyDescent="0.25">
      <c r="A1762" s="2">
        <f t="shared" ca="1" si="179"/>
        <v>3.0047724256291093</v>
      </c>
      <c r="B1762" s="4" cm="1">
        <f t="array" aca="1" ref="B17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762" s="2">
        <f t="shared" ca="1" si="180"/>
        <v>3.0124130740552575</v>
      </c>
      <c r="D1762" s="4" t="str" cm="1">
        <f t="array" aca="1" ref="D17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62" s="2">
        <f t="shared" ca="1" si="181"/>
        <v>30.000183622116193</v>
      </c>
      <c r="F1762" s="4" t="str" cm="1">
        <f t="array" aca="1" ref="F17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62" s="2">
        <f t="shared" ca="1" si="182"/>
        <v>40.023996381486278</v>
      </c>
      <c r="H1762" s="47" t="str" cm="1">
        <f t="array" aca="1" ref="H17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63" spans="1:8" x14ac:dyDescent="0.25">
      <c r="A1763" s="2">
        <f t="shared" ca="1" si="179"/>
        <v>3.0083200298799317</v>
      </c>
      <c r="B1763" s="4" cm="1">
        <f t="array" aca="1" ref="B17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763" s="2">
        <f t="shared" ca="1" si="180"/>
        <v>3.0053397832913893</v>
      </c>
      <c r="D1763" s="4" t="str" cm="1">
        <f t="array" aca="1" ref="D17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63" s="2">
        <f t="shared" ca="1" si="181"/>
        <v>30.01205317564855</v>
      </c>
      <c r="F1763" s="4" t="str" cm="1">
        <f t="array" aca="1" ref="F17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63" s="2">
        <f t="shared" ca="1" si="182"/>
        <v>40.002285997758555</v>
      </c>
      <c r="H1763" s="47" t="str" cm="1">
        <f t="array" aca="1" ref="H17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64" spans="1:8" x14ac:dyDescent="0.25">
      <c r="A1764" s="2">
        <f t="shared" ca="1" si="179"/>
        <v>3.0086171897008636</v>
      </c>
      <c r="B1764" s="4" cm="1">
        <f t="array" aca="1" ref="B17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764" s="2">
        <f t="shared" ca="1" si="180"/>
        <v>3.0265512178533243</v>
      </c>
      <c r="D1764" s="4" t="str" cm="1">
        <f t="array" aca="1" ref="D17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64" s="2">
        <f t="shared" ca="1" si="181"/>
        <v>30.013324840350535</v>
      </c>
      <c r="F1764" s="4" t="str" cm="1">
        <f t="array" aca="1" ref="F17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64" s="2">
        <f t="shared" ca="1" si="182"/>
        <v>40.007035593950008</v>
      </c>
      <c r="H1764" s="47" t="str" cm="1">
        <f t="array" aca="1" ref="H17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65" spans="1:8" x14ac:dyDescent="0.25">
      <c r="A1765" s="2">
        <f t="shared" ca="1" si="179"/>
        <v>3.0021751397008116</v>
      </c>
      <c r="B1765" s="4" cm="1">
        <f t="array" aca="1" ref="B17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765" s="2">
        <f t="shared" ca="1" si="180"/>
        <v>3.0056210650092292</v>
      </c>
      <c r="D1765" s="4" t="str" cm="1">
        <f t="array" aca="1" ref="D17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65" s="2">
        <f t="shared" ca="1" si="181"/>
        <v>30.029512291641701</v>
      </c>
      <c r="F1765" s="4" t="str" cm="1">
        <f t="array" aca="1" ref="F17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65" s="2">
        <f t="shared" ca="1" si="182"/>
        <v>40.028524914743656</v>
      </c>
      <c r="H1765" s="47" t="str" cm="1">
        <f t="array" aca="1" ref="H17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66" spans="1:8" x14ac:dyDescent="0.25">
      <c r="A1766" s="2">
        <f t="shared" ca="1" si="179"/>
        <v>3.0018812898637997</v>
      </c>
      <c r="B1766" s="4" cm="1">
        <f t="array" aca="1" ref="B17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766" s="2">
        <f t="shared" ca="1" si="180"/>
        <v>3.0286951803924742</v>
      </c>
      <c r="D1766" s="4" t="str" cm="1">
        <f t="array" aca="1" ref="D17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66" s="2">
        <f t="shared" ca="1" si="181"/>
        <v>30.005649169254532</v>
      </c>
      <c r="F1766" s="4" t="str" cm="1">
        <f t="array" aca="1" ref="F17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66" s="2">
        <f t="shared" ca="1" si="182"/>
        <v>40.006884506523868</v>
      </c>
      <c r="H1766" s="47" t="str" cm="1">
        <f t="array" aca="1" ref="H17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67" spans="1:8" x14ac:dyDescent="0.25">
      <c r="A1767" s="2">
        <f t="shared" ca="1" si="179"/>
        <v>3.0002244927766686</v>
      </c>
      <c r="B1767" s="4" cm="1">
        <f t="array" aca="1" ref="B17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767" s="2">
        <f t="shared" ca="1" si="180"/>
        <v>3.0113986622842432</v>
      </c>
      <c r="D1767" s="4" t="str" cm="1">
        <f t="array" aca="1" ref="D17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67" s="2">
        <f t="shared" ca="1" si="181"/>
        <v>30.020660435775227</v>
      </c>
      <c r="F1767" s="4" t="str" cm="1">
        <f t="array" aca="1" ref="F17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67" s="2">
        <f t="shared" ca="1" si="182"/>
        <v>40.021514379327201</v>
      </c>
      <c r="H1767" s="47" t="str" cm="1">
        <f t="array" aca="1" ref="H17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68" spans="1:8" x14ac:dyDescent="0.25">
      <c r="A1768" s="2">
        <f t="shared" ca="1" si="179"/>
        <v>3.0060141993870251</v>
      </c>
      <c r="B1768" s="4" cm="1">
        <f t="array" aca="1" ref="B17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768" s="2">
        <f t="shared" ca="1" si="180"/>
        <v>3.0290618161258855</v>
      </c>
      <c r="D1768" s="4" t="str" cm="1">
        <f t="array" aca="1" ref="D17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68" s="2">
        <f t="shared" ca="1" si="181"/>
        <v>30.020408696712192</v>
      </c>
      <c r="F1768" s="4" t="str" cm="1">
        <f t="array" aca="1" ref="F17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68" s="2">
        <f t="shared" ca="1" si="182"/>
        <v>40.020154941298259</v>
      </c>
      <c r="H1768" s="47" t="str" cm="1">
        <f t="array" aca="1" ref="H17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69" spans="1:8" x14ac:dyDescent="0.25">
      <c r="A1769" s="2">
        <f t="shared" ca="1" si="179"/>
        <v>3.0085010874220721</v>
      </c>
      <c r="B1769" s="4" cm="1">
        <f t="array" aca="1" ref="B17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769" s="2">
        <f t="shared" ca="1" si="180"/>
        <v>3.0233027151984215</v>
      </c>
      <c r="D1769" s="4" t="str" cm="1">
        <f t="array" aca="1" ref="D17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69" s="2">
        <f t="shared" ca="1" si="181"/>
        <v>30.01989137642056</v>
      </c>
      <c r="F1769" s="4" t="str" cm="1">
        <f t="array" aca="1" ref="F17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69" s="2">
        <f t="shared" ca="1" si="182"/>
        <v>40.001997762919679</v>
      </c>
      <c r="H1769" s="47" t="str" cm="1">
        <f t="array" aca="1" ref="H17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70" spans="1:8" x14ac:dyDescent="0.25">
      <c r="A1770" s="2">
        <f t="shared" ca="1" si="179"/>
        <v>3.0082646650147353</v>
      </c>
      <c r="B1770" s="4" cm="1">
        <f t="array" aca="1" ref="B17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770" s="2">
        <f t="shared" ca="1" si="180"/>
        <v>3.0011105714762567</v>
      </c>
      <c r="D1770" s="4" t="str" cm="1">
        <f t="array" aca="1" ref="D17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70" s="2">
        <f t="shared" ca="1" si="181"/>
        <v>30.001513206400357</v>
      </c>
      <c r="F1770" s="4" t="str" cm="1">
        <f t="array" aca="1" ref="F17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70" s="2">
        <f t="shared" ca="1" si="182"/>
        <v>40.026302539119371</v>
      </c>
      <c r="H1770" s="47" t="str" cm="1">
        <f t="array" aca="1" ref="H17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71" spans="1:8" x14ac:dyDescent="0.25">
      <c r="A1771" s="2">
        <f t="shared" ca="1" si="179"/>
        <v>3.0055817808630776</v>
      </c>
      <c r="B1771" s="4" cm="1">
        <f t="array" aca="1" ref="B17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771" s="2">
        <f t="shared" ca="1" si="180"/>
        <v>3.0254251404473012</v>
      </c>
      <c r="D1771" s="4" t="str" cm="1">
        <f t="array" aca="1" ref="D17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71" s="2">
        <f t="shared" ca="1" si="181"/>
        <v>30.016828268353301</v>
      </c>
      <c r="F1771" s="4" t="str" cm="1">
        <f t="array" aca="1" ref="F17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71" s="2">
        <f t="shared" ca="1" si="182"/>
        <v>40.024184422485419</v>
      </c>
      <c r="H1771" s="47" t="str" cm="1">
        <f t="array" aca="1" ref="H17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72" spans="1:8" x14ac:dyDescent="0.25">
      <c r="A1772" s="2">
        <f t="shared" ca="1" si="179"/>
        <v>3.0032090793481845</v>
      </c>
      <c r="B1772" s="4" cm="1">
        <f t="array" aca="1" ref="B17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772" s="2">
        <f t="shared" ca="1" si="180"/>
        <v>3.0220533201087236</v>
      </c>
      <c r="D1772" s="4" t="str" cm="1">
        <f t="array" aca="1" ref="D17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72" s="2">
        <f t="shared" ca="1" si="181"/>
        <v>30.029358227712343</v>
      </c>
      <c r="F1772" s="4" t="str" cm="1">
        <f t="array" aca="1" ref="F17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72" s="2">
        <f t="shared" ca="1" si="182"/>
        <v>40.011749209327988</v>
      </c>
      <c r="H1772" s="47" t="str" cm="1">
        <f t="array" aca="1" ref="H17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73" spans="1:8" x14ac:dyDescent="0.25">
      <c r="A1773" s="2">
        <f t="shared" ca="1" si="179"/>
        <v>3.0073530724863526</v>
      </c>
      <c r="B1773" s="4" cm="1">
        <f t="array" aca="1" ref="B17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773" s="2">
        <f t="shared" ca="1" si="180"/>
        <v>3.0028228203225065</v>
      </c>
      <c r="D1773" s="4" t="str" cm="1">
        <f t="array" aca="1" ref="D17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73" s="2">
        <f t="shared" ca="1" si="181"/>
        <v>30.012727842243443</v>
      </c>
      <c r="F1773" s="4" t="str" cm="1">
        <f t="array" aca="1" ref="F17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73" s="2">
        <f t="shared" ca="1" si="182"/>
        <v>40.025451038446512</v>
      </c>
      <c r="H1773" s="47" t="str" cm="1">
        <f t="array" aca="1" ref="H17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74" spans="1:8" x14ac:dyDescent="0.25">
      <c r="A1774" s="2">
        <f t="shared" ca="1" si="179"/>
        <v>3.0045834666452595</v>
      </c>
      <c r="B1774" s="4" cm="1">
        <f t="array" aca="1" ref="B17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774" s="2">
        <f t="shared" ca="1" si="180"/>
        <v>3.0041351749005005</v>
      </c>
      <c r="D1774" s="4" t="str" cm="1">
        <f t="array" aca="1" ref="D17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74" s="2">
        <f t="shared" ca="1" si="181"/>
        <v>30.006941148032062</v>
      </c>
      <c r="F1774" s="4" t="str" cm="1">
        <f t="array" aca="1" ref="F17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74" s="2">
        <f t="shared" ca="1" si="182"/>
        <v>40.021236121172556</v>
      </c>
      <c r="H1774" s="47" t="str" cm="1">
        <f t="array" aca="1" ref="H17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75" spans="1:8" x14ac:dyDescent="0.25">
      <c r="A1775" s="2">
        <f t="shared" ca="1" si="179"/>
        <v>3.0015588573476464</v>
      </c>
      <c r="B1775" s="4" cm="1">
        <f t="array" aca="1" ref="B17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775" s="2">
        <f t="shared" ca="1" si="180"/>
        <v>3.0234924755130943</v>
      </c>
      <c r="D1775" s="4" t="str" cm="1">
        <f t="array" aca="1" ref="D17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75" s="2">
        <f t="shared" ca="1" si="181"/>
        <v>30.010269021054988</v>
      </c>
      <c r="F1775" s="4" t="str" cm="1">
        <f t="array" aca="1" ref="F17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75" s="2">
        <f t="shared" ca="1" si="182"/>
        <v>40.002914011427585</v>
      </c>
      <c r="H1775" s="47" t="str" cm="1">
        <f t="array" aca="1" ref="H17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76" spans="1:8" x14ac:dyDescent="0.25">
      <c r="A1776" s="2">
        <f t="shared" ca="1" si="179"/>
        <v>3.0030105469797963</v>
      </c>
      <c r="B1776" s="4" cm="1">
        <f t="array" aca="1" ref="B17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776" s="2">
        <f t="shared" ca="1" si="180"/>
        <v>3.0229599453579796</v>
      </c>
      <c r="D1776" s="4" t="str" cm="1">
        <f t="array" aca="1" ref="D17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76" s="2">
        <f t="shared" ca="1" si="181"/>
        <v>30.019683155527165</v>
      </c>
      <c r="F1776" s="4" t="str" cm="1">
        <f t="array" aca="1" ref="F17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76" s="2">
        <f t="shared" ca="1" si="182"/>
        <v>40.016777238973873</v>
      </c>
      <c r="H1776" s="47" t="str" cm="1">
        <f t="array" aca="1" ref="H17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77" spans="1:8" x14ac:dyDescent="0.25">
      <c r="A1777" s="2">
        <f t="shared" ca="1" si="179"/>
        <v>3.0075528089287085</v>
      </c>
      <c r="B1777" s="4" cm="1">
        <f t="array" aca="1" ref="B17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777" s="2">
        <f t="shared" ca="1" si="180"/>
        <v>3.0273287114322827</v>
      </c>
      <c r="D1777" s="4" t="str" cm="1">
        <f t="array" aca="1" ref="D17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77" s="2">
        <f t="shared" ca="1" si="181"/>
        <v>30.024103662827507</v>
      </c>
      <c r="F1777" s="4" t="str" cm="1">
        <f t="array" aca="1" ref="F17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77" s="2">
        <f t="shared" ca="1" si="182"/>
        <v>40.01813406435749</v>
      </c>
      <c r="H1777" s="47" t="str" cm="1">
        <f t="array" aca="1" ref="H17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78" spans="1:8" x14ac:dyDescent="0.25">
      <c r="A1778" s="2">
        <f t="shared" ca="1" si="179"/>
        <v>3.0075352755037144</v>
      </c>
      <c r="B1778" s="4" cm="1">
        <f t="array" aca="1" ref="B17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778" s="2">
        <f t="shared" ca="1" si="180"/>
        <v>3.0289477068387831</v>
      </c>
      <c r="D1778" s="4" t="str" cm="1">
        <f t="array" aca="1" ref="D17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78" s="2">
        <f t="shared" ca="1" si="181"/>
        <v>30.01814918241914</v>
      </c>
      <c r="F1778" s="4" t="str" cm="1">
        <f t="array" aca="1" ref="F17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78" s="2">
        <f t="shared" ca="1" si="182"/>
        <v>40.005850574317442</v>
      </c>
      <c r="H1778" s="47" t="str" cm="1">
        <f t="array" aca="1" ref="H17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79" spans="1:8" x14ac:dyDescent="0.25">
      <c r="A1779" s="2">
        <f t="shared" ca="1" si="179"/>
        <v>3.0059323335509096</v>
      </c>
      <c r="B1779" s="4" cm="1">
        <f t="array" aca="1" ref="B17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779" s="2">
        <f t="shared" ca="1" si="180"/>
        <v>3.0054020437490157</v>
      </c>
      <c r="D1779" s="4" t="str" cm="1">
        <f t="array" aca="1" ref="D17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79" s="2">
        <f t="shared" ca="1" si="181"/>
        <v>30.01790810150483</v>
      </c>
      <c r="F1779" s="4" t="str" cm="1">
        <f t="array" aca="1" ref="F17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79" s="2">
        <f t="shared" ca="1" si="182"/>
        <v>40.028307419140134</v>
      </c>
      <c r="H1779" s="47" t="str" cm="1">
        <f t="array" aca="1" ref="H17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80" spans="1:8" x14ac:dyDescent="0.25">
      <c r="A1780" s="2">
        <f t="shared" ca="1" si="179"/>
        <v>3.0099342231396129</v>
      </c>
      <c r="B1780" s="4" cm="1">
        <f t="array" aca="1" ref="B17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780" s="2">
        <f t="shared" ca="1" si="180"/>
        <v>3.007519907645126</v>
      </c>
      <c r="D1780" s="4" t="str" cm="1">
        <f t="array" aca="1" ref="D17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80" s="2">
        <f t="shared" ca="1" si="181"/>
        <v>30.027402026161109</v>
      </c>
      <c r="F1780" s="4" t="str" cm="1">
        <f t="array" aca="1" ref="F17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80" s="2">
        <f t="shared" ca="1" si="182"/>
        <v>40.004345637216865</v>
      </c>
      <c r="H1780" s="47" t="str" cm="1">
        <f t="array" aca="1" ref="H17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81" spans="1:8" x14ac:dyDescent="0.25">
      <c r="A1781" s="2">
        <f t="shared" ca="1" si="179"/>
        <v>3.0077723991059817</v>
      </c>
      <c r="B1781" s="4" cm="1">
        <f t="array" aca="1" ref="B17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781" s="2">
        <f t="shared" ca="1" si="180"/>
        <v>3.0070942817100903</v>
      </c>
      <c r="D1781" s="4" t="str" cm="1">
        <f t="array" aca="1" ref="D17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81" s="2">
        <f t="shared" ca="1" si="181"/>
        <v>30.017267456748645</v>
      </c>
      <c r="F1781" s="4" t="str" cm="1">
        <f t="array" aca="1" ref="F17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81" s="2">
        <f t="shared" ca="1" si="182"/>
        <v>40.01302876830178</v>
      </c>
      <c r="H1781" s="47" t="str" cm="1">
        <f t="array" aca="1" ref="H17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82" spans="1:8" x14ac:dyDescent="0.25">
      <c r="A1782" s="2">
        <f t="shared" ca="1" si="179"/>
        <v>3.0082118413371655</v>
      </c>
      <c r="B1782" s="4" cm="1">
        <f t="array" aca="1" ref="B17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782" s="2">
        <f t="shared" ca="1" si="180"/>
        <v>3.0187185925042912</v>
      </c>
      <c r="D1782" s="4" t="str" cm="1">
        <f t="array" aca="1" ref="D17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82" s="2">
        <f t="shared" ca="1" si="181"/>
        <v>30.009193505244575</v>
      </c>
      <c r="F1782" s="4" t="str" cm="1">
        <f t="array" aca="1" ref="F17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82" s="2">
        <f t="shared" ca="1" si="182"/>
        <v>40.010387490166103</v>
      </c>
      <c r="H1782" s="47" t="str" cm="1">
        <f t="array" aca="1" ref="H17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83" spans="1:8" x14ac:dyDescent="0.25">
      <c r="A1783" s="2">
        <f t="shared" ca="1" si="179"/>
        <v>3.0027218927959169</v>
      </c>
      <c r="B1783" s="4" cm="1">
        <f t="array" aca="1" ref="B17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783" s="2">
        <f t="shared" ca="1" si="180"/>
        <v>3.0245628268025393</v>
      </c>
      <c r="D1783" s="4" t="str" cm="1">
        <f t="array" aca="1" ref="D17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83" s="2">
        <f t="shared" ca="1" si="181"/>
        <v>30.023067984867037</v>
      </c>
      <c r="F1783" s="4" t="str" cm="1">
        <f t="array" aca="1" ref="F17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83" s="2">
        <f t="shared" ca="1" si="182"/>
        <v>40.005125457158563</v>
      </c>
      <c r="H1783" s="47" t="str" cm="1">
        <f t="array" aca="1" ref="H17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84" spans="1:8" x14ac:dyDescent="0.25">
      <c r="A1784" s="2">
        <f t="shared" ca="1" si="179"/>
        <v>3.0059748593097226</v>
      </c>
      <c r="B1784" s="4" cm="1">
        <f t="array" aca="1" ref="B17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784" s="2">
        <f t="shared" ca="1" si="180"/>
        <v>3.0297386627730511</v>
      </c>
      <c r="D1784" s="4" t="str" cm="1">
        <f t="array" aca="1" ref="D17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84" s="2">
        <f t="shared" ca="1" si="181"/>
        <v>30.019155848416169</v>
      </c>
      <c r="F1784" s="4" t="str" cm="1">
        <f t="array" aca="1" ref="F17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84" s="2">
        <f t="shared" ca="1" si="182"/>
        <v>40.026572143534189</v>
      </c>
      <c r="H1784" s="47" t="str" cm="1">
        <f t="array" aca="1" ref="H17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85" spans="1:8" x14ac:dyDescent="0.25">
      <c r="A1785" s="2">
        <f t="shared" ca="1" si="179"/>
        <v>3.0062302919546502</v>
      </c>
      <c r="B1785" s="4" cm="1">
        <f t="array" aca="1" ref="B17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785" s="2">
        <f t="shared" ca="1" si="180"/>
        <v>3.0217870118270338</v>
      </c>
      <c r="D1785" s="4" t="str" cm="1">
        <f t="array" aca="1" ref="D17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85" s="2">
        <f t="shared" ca="1" si="181"/>
        <v>30.017346483926655</v>
      </c>
      <c r="F1785" s="4" t="str" cm="1">
        <f t="array" aca="1" ref="F17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85" s="2">
        <f t="shared" ca="1" si="182"/>
        <v>40.017926545792157</v>
      </c>
      <c r="H1785" s="47" t="str" cm="1">
        <f t="array" aca="1" ref="H17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86" spans="1:8" x14ac:dyDescent="0.25">
      <c r="A1786" s="2">
        <f t="shared" ca="1" si="179"/>
        <v>3.0085139324477774</v>
      </c>
      <c r="B1786" s="4" cm="1">
        <f t="array" aca="1" ref="B17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786" s="2">
        <f t="shared" ca="1" si="180"/>
        <v>3.0008938396732709</v>
      </c>
      <c r="D1786" s="4" t="str" cm="1">
        <f t="array" aca="1" ref="D17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86" s="2">
        <f t="shared" ca="1" si="181"/>
        <v>30.029810149463692</v>
      </c>
      <c r="F1786" s="4" t="str" cm="1">
        <f t="array" aca="1" ref="F17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86" s="2">
        <f t="shared" ca="1" si="182"/>
        <v>40.003973825065458</v>
      </c>
      <c r="H1786" s="47" t="str" cm="1">
        <f t="array" aca="1" ref="H17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87" spans="1:8" x14ac:dyDescent="0.25">
      <c r="A1787" s="2">
        <f t="shared" ca="1" si="179"/>
        <v>3.007217031733882</v>
      </c>
      <c r="B1787" s="4" cm="1">
        <f t="array" aca="1" ref="B17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787" s="2">
        <f t="shared" ca="1" si="180"/>
        <v>3.0125078685364546</v>
      </c>
      <c r="D1787" s="4" t="str" cm="1">
        <f t="array" aca="1" ref="D17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87" s="2">
        <f t="shared" ca="1" si="181"/>
        <v>30.008943924923912</v>
      </c>
      <c r="F1787" s="4" t="str" cm="1">
        <f t="array" aca="1" ref="F17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87" s="2">
        <f t="shared" ca="1" si="182"/>
        <v>40.012628678666324</v>
      </c>
      <c r="H1787" s="47" t="str" cm="1">
        <f t="array" aca="1" ref="H17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88" spans="1:8" x14ac:dyDescent="0.25">
      <c r="A1788" s="2">
        <f t="shared" ca="1" si="179"/>
        <v>3.0036852526028617</v>
      </c>
      <c r="B1788" s="4" cm="1">
        <f t="array" aca="1" ref="B17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788" s="2">
        <f t="shared" ca="1" si="180"/>
        <v>3.005369000948177</v>
      </c>
      <c r="D1788" s="4" t="str" cm="1">
        <f t="array" aca="1" ref="D17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88" s="2">
        <f t="shared" ca="1" si="181"/>
        <v>30.009130347706304</v>
      </c>
      <c r="F1788" s="4" t="str" cm="1">
        <f t="array" aca="1" ref="F17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88" s="2">
        <f t="shared" ca="1" si="182"/>
        <v>40.024039140352741</v>
      </c>
      <c r="H1788" s="47" t="str" cm="1">
        <f t="array" aca="1" ref="H17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89" spans="1:8" x14ac:dyDescent="0.25">
      <c r="A1789" s="2">
        <f t="shared" ca="1" si="179"/>
        <v>3.0072591937370334</v>
      </c>
      <c r="B1789" s="4" cm="1">
        <f t="array" aca="1" ref="B17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789" s="2">
        <f t="shared" ca="1" si="180"/>
        <v>3.0229118851903558</v>
      </c>
      <c r="D1789" s="4" t="str" cm="1">
        <f t="array" aca="1" ref="D17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89" s="2">
        <f t="shared" ca="1" si="181"/>
        <v>30.025538591357343</v>
      </c>
      <c r="F1789" s="4" t="str" cm="1">
        <f t="array" aca="1" ref="F17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89" s="2">
        <f t="shared" ca="1" si="182"/>
        <v>40.003717073660255</v>
      </c>
      <c r="H1789" s="47" t="str" cm="1">
        <f t="array" aca="1" ref="H17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90" spans="1:8" x14ac:dyDescent="0.25">
      <c r="A1790" s="2">
        <f t="shared" ca="1" si="179"/>
        <v>3.0042428280293278</v>
      </c>
      <c r="B1790" s="4" cm="1">
        <f t="array" aca="1" ref="B17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790" s="2">
        <f t="shared" ca="1" si="180"/>
        <v>3.0001680933953376</v>
      </c>
      <c r="D1790" s="4" t="str" cm="1">
        <f t="array" aca="1" ref="D17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90" s="2">
        <f t="shared" ca="1" si="181"/>
        <v>30.021426634280228</v>
      </c>
      <c r="F1790" s="4" t="str" cm="1">
        <f t="array" aca="1" ref="F17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90" s="2">
        <f t="shared" ca="1" si="182"/>
        <v>40.02196742056951</v>
      </c>
      <c r="H1790" s="47" t="str" cm="1">
        <f t="array" aca="1" ref="H17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791" spans="1:8" x14ac:dyDescent="0.25">
      <c r="A1791" s="2">
        <f t="shared" ca="1" si="179"/>
        <v>3.0082010279166216</v>
      </c>
      <c r="B1791" s="4" cm="1">
        <f t="array" aca="1" ref="B17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791" s="2">
        <f t="shared" ca="1" si="180"/>
        <v>3.0193359708485596</v>
      </c>
      <c r="D1791" s="4" t="str" cm="1">
        <f t="array" aca="1" ref="D17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91" s="2">
        <f t="shared" ca="1" si="181"/>
        <v>30.001921936908001</v>
      </c>
      <c r="F1791" s="4" t="str" cm="1">
        <f t="array" aca="1" ref="F17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91" s="2">
        <f t="shared" ca="1" si="182"/>
        <v>40.013333343209084</v>
      </c>
      <c r="H1791" s="47" t="str" cm="1">
        <f t="array" aca="1" ref="H17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92" spans="1:8" x14ac:dyDescent="0.25">
      <c r="A1792" s="2">
        <f t="shared" ca="1" si="179"/>
        <v>3.0027340773113842</v>
      </c>
      <c r="B1792" s="4" cm="1">
        <f t="array" aca="1" ref="B17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792" s="2">
        <f t="shared" ca="1" si="180"/>
        <v>3.001621564985181</v>
      </c>
      <c r="D1792" s="4" t="str" cm="1">
        <f t="array" aca="1" ref="D17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792" s="2">
        <f t="shared" ca="1" si="181"/>
        <v>30.021786548559312</v>
      </c>
      <c r="F1792" s="4" t="str" cm="1">
        <f t="array" aca="1" ref="F17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92" s="2">
        <f t="shared" ca="1" si="182"/>
        <v>40.004825810874188</v>
      </c>
      <c r="H1792" s="47" t="str" cm="1">
        <f t="array" aca="1" ref="H17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93" spans="1:8" x14ac:dyDescent="0.25">
      <c r="A1793" s="2">
        <f t="shared" ca="1" si="179"/>
        <v>3.004563624844943</v>
      </c>
      <c r="B1793" s="4" cm="1">
        <f t="array" aca="1" ref="B17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793" s="2">
        <f t="shared" ca="1" si="180"/>
        <v>3.0129088475582728</v>
      </c>
      <c r="D1793" s="4" t="str" cm="1">
        <f t="array" aca="1" ref="D17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93" s="2">
        <f t="shared" ca="1" si="181"/>
        <v>30.016681990820139</v>
      </c>
      <c r="F1793" s="4" t="str" cm="1">
        <f t="array" aca="1" ref="F17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93" s="2">
        <f t="shared" ca="1" si="182"/>
        <v>40.008791859266566</v>
      </c>
      <c r="H1793" s="47" t="str" cm="1">
        <f t="array" aca="1" ref="H17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94" spans="1:8" x14ac:dyDescent="0.25">
      <c r="A1794" s="2">
        <f t="shared" ref="A1794:A1857" ca="1" si="183">3+RAND()*0.01</f>
        <v>3.0054286431215673</v>
      </c>
      <c r="B1794" s="4" cm="1">
        <f t="array" aca="1" ref="B17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794" s="2">
        <f t="shared" ref="C1794:C1857" ca="1" si="184">3+RAND()*0.03</f>
        <v>3.0219045623608118</v>
      </c>
      <c r="D1794" s="4" t="str" cm="1">
        <f t="array" aca="1" ref="D17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94" s="2">
        <f t="shared" ref="E1794:E1857" ca="1" si="185">30+RAND()*0.03</f>
        <v>30.006684571846897</v>
      </c>
      <c r="F1794" s="4" t="str" cm="1">
        <f t="array" aca="1" ref="F17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94" s="2">
        <f t="shared" ref="G1794:G1857" ca="1" si="186">40+RAND()*0.03</f>
        <v>40.012337908907064</v>
      </c>
      <c r="H1794" s="47" t="str" cm="1">
        <f t="array" aca="1" ref="H17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95" spans="1:8" x14ac:dyDescent="0.25">
      <c r="A1795" s="2">
        <f t="shared" ca="1" si="183"/>
        <v>3.0034370224613567</v>
      </c>
      <c r="B1795" s="4" cm="1">
        <f t="array" aca="1" ref="B17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795" s="2">
        <f t="shared" ca="1" si="184"/>
        <v>3.0173830881551686</v>
      </c>
      <c r="D1795" s="4" t="str" cm="1">
        <f t="array" aca="1" ref="D17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95" s="2">
        <f t="shared" ca="1" si="185"/>
        <v>30.008305763082344</v>
      </c>
      <c r="F1795" s="4" t="str" cm="1">
        <f t="array" aca="1" ref="F17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95" s="2">
        <f t="shared" ca="1" si="186"/>
        <v>40.016535495877825</v>
      </c>
      <c r="H1795" s="47" t="str" cm="1">
        <f t="array" aca="1" ref="H17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96" spans="1:8" x14ac:dyDescent="0.25">
      <c r="A1796" s="2">
        <f t="shared" ca="1" si="183"/>
        <v>3.0046901919275117</v>
      </c>
      <c r="B1796" s="4" cm="1">
        <f t="array" aca="1" ref="B17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796" s="2">
        <f t="shared" ca="1" si="184"/>
        <v>3.0246906337556339</v>
      </c>
      <c r="D1796" s="4" t="str" cm="1">
        <f t="array" aca="1" ref="D17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96" s="2">
        <f t="shared" ca="1" si="185"/>
        <v>30.012776055578865</v>
      </c>
      <c r="F1796" s="4" t="str" cm="1">
        <f t="array" aca="1" ref="F17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96" s="2">
        <f t="shared" ca="1" si="186"/>
        <v>40.014570189390788</v>
      </c>
      <c r="H1796" s="47" t="str" cm="1">
        <f t="array" aca="1" ref="H17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97" spans="1:8" x14ac:dyDescent="0.25">
      <c r="A1797" s="2">
        <f t="shared" ca="1" si="183"/>
        <v>3.0090371671431053</v>
      </c>
      <c r="B1797" s="4" cm="1">
        <f t="array" aca="1" ref="B17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797" s="2">
        <f t="shared" ca="1" si="184"/>
        <v>3.029347859284532</v>
      </c>
      <c r="D1797" s="4" t="str" cm="1">
        <f t="array" aca="1" ref="D17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97" s="2">
        <f t="shared" ca="1" si="185"/>
        <v>30.016665870287287</v>
      </c>
      <c r="F1797" s="4" t="str" cm="1">
        <f t="array" aca="1" ref="F17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797" s="2">
        <f t="shared" ca="1" si="186"/>
        <v>40.019448210826582</v>
      </c>
      <c r="H1797" s="47" t="str" cm="1">
        <f t="array" aca="1" ref="H17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798" spans="1:8" x14ac:dyDescent="0.25">
      <c r="A1798" s="2">
        <f t="shared" ca="1" si="183"/>
        <v>3.0016164281937989</v>
      </c>
      <c r="B1798" s="4" cm="1">
        <f t="array" aca="1" ref="B17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798" s="2">
        <f t="shared" ca="1" si="184"/>
        <v>3.0144450084331598</v>
      </c>
      <c r="D1798" s="4" t="str" cm="1">
        <f t="array" aca="1" ref="D17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798" s="2">
        <f t="shared" ca="1" si="185"/>
        <v>30.023410789522824</v>
      </c>
      <c r="F1798" s="4" t="str" cm="1">
        <f t="array" aca="1" ref="F17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798" s="2">
        <f t="shared" ca="1" si="186"/>
        <v>40.002333476348909</v>
      </c>
      <c r="H1798" s="47" t="str" cm="1">
        <f t="array" aca="1" ref="H17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799" spans="1:8" x14ac:dyDescent="0.25">
      <c r="A1799" s="2">
        <f t="shared" ca="1" si="183"/>
        <v>3.0008180580236532</v>
      </c>
      <c r="B1799" s="4" cm="1">
        <f t="array" aca="1" ref="B17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799" s="2">
        <f t="shared" ca="1" si="184"/>
        <v>3.0243980872761282</v>
      </c>
      <c r="D1799" s="4" t="str" cm="1">
        <f t="array" aca="1" ref="D17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799" s="2">
        <f t="shared" ca="1" si="185"/>
        <v>30.002639906314766</v>
      </c>
      <c r="F1799" s="4" t="str" cm="1">
        <f t="array" aca="1" ref="F17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799" s="2">
        <f t="shared" ca="1" si="186"/>
        <v>40.026976783193334</v>
      </c>
      <c r="H1799" s="47" t="str" cm="1">
        <f t="array" aca="1" ref="H17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00" spans="1:8" x14ac:dyDescent="0.25">
      <c r="A1800" s="2">
        <f t="shared" ca="1" si="183"/>
        <v>3.0083027993078759</v>
      </c>
      <c r="B1800" s="4" cm="1">
        <f t="array" aca="1" ref="B18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800" s="2">
        <f t="shared" ca="1" si="184"/>
        <v>3.0239612916828671</v>
      </c>
      <c r="D1800" s="4" t="str" cm="1">
        <f t="array" aca="1" ref="D18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00" s="2">
        <f t="shared" ca="1" si="185"/>
        <v>30.026865360315515</v>
      </c>
      <c r="F1800" s="4" t="str" cm="1">
        <f t="array" aca="1" ref="F18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00" s="2">
        <f t="shared" ca="1" si="186"/>
        <v>40.027610055105299</v>
      </c>
      <c r="H1800" s="47" t="str" cm="1">
        <f t="array" aca="1" ref="H18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01" spans="1:8" x14ac:dyDescent="0.25">
      <c r="A1801" s="2">
        <f t="shared" ca="1" si="183"/>
        <v>3.0084144352347959</v>
      </c>
      <c r="B1801" s="4" cm="1">
        <f t="array" aca="1" ref="B18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801" s="2">
        <f t="shared" ca="1" si="184"/>
        <v>3.0252747684739933</v>
      </c>
      <c r="D1801" s="4" t="str" cm="1">
        <f t="array" aca="1" ref="D18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01" s="2">
        <f t="shared" ca="1" si="185"/>
        <v>30.008407043119654</v>
      </c>
      <c r="F1801" s="4" t="str" cm="1">
        <f t="array" aca="1" ref="F18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01" s="2">
        <f t="shared" ca="1" si="186"/>
        <v>40.00359983319823</v>
      </c>
      <c r="H1801" s="47" t="str" cm="1">
        <f t="array" aca="1" ref="H18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02" spans="1:8" x14ac:dyDescent="0.25">
      <c r="A1802" s="2">
        <f t="shared" ca="1" si="183"/>
        <v>3.005527656783721</v>
      </c>
      <c r="B1802" s="4" cm="1">
        <f t="array" aca="1" ref="B18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802" s="2">
        <f t="shared" ca="1" si="184"/>
        <v>3.0220813679347067</v>
      </c>
      <c r="D1802" s="4" t="str" cm="1">
        <f t="array" aca="1" ref="D18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02" s="2">
        <f t="shared" ca="1" si="185"/>
        <v>30.003461536937611</v>
      </c>
      <c r="F1802" s="4" t="str" cm="1">
        <f t="array" aca="1" ref="F18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02" s="2">
        <f t="shared" ca="1" si="186"/>
        <v>40.015871499286426</v>
      </c>
      <c r="H1802" s="47" t="str" cm="1">
        <f t="array" aca="1" ref="H18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03" spans="1:8" x14ac:dyDescent="0.25">
      <c r="A1803" s="2">
        <f t="shared" ca="1" si="183"/>
        <v>3.0017257909865682</v>
      </c>
      <c r="B1803" s="4" cm="1">
        <f t="array" aca="1" ref="B18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803" s="2">
        <f t="shared" ca="1" si="184"/>
        <v>3.0126618311162936</v>
      </c>
      <c r="D1803" s="4" t="str" cm="1">
        <f t="array" aca="1" ref="D18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03" s="2">
        <f t="shared" ca="1" si="185"/>
        <v>30.009002638958698</v>
      </c>
      <c r="F1803" s="4" t="str" cm="1">
        <f t="array" aca="1" ref="F18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03" s="2">
        <f t="shared" ca="1" si="186"/>
        <v>40.017935547876284</v>
      </c>
      <c r="H1803" s="47" t="str" cm="1">
        <f t="array" aca="1" ref="H18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04" spans="1:8" x14ac:dyDescent="0.25">
      <c r="A1804" s="2">
        <f t="shared" ca="1" si="183"/>
        <v>3.0062903092750077</v>
      </c>
      <c r="B1804" s="4" cm="1">
        <f t="array" aca="1" ref="B18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04" s="2">
        <f t="shared" ca="1" si="184"/>
        <v>3.0087637413778743</v>
      </c>
      <c r="D1804" s="4" t="str" cm="1">
        <f t="array" aca="1" ref="D18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04" s="2">
        <f t="shared" ca="1" si="185"/>
        <v>30.008654044651301</v>
      </c>
      <c r="F1804" s="4" t="str" cm="1">
        <f t="array" aca="1" ref="F18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04" s="2">
        <f t="shared" ca="1" si="186"/>
        <v>40.016824025444372</v>
      </c>
      <c r="H1804" s="47" t="str" cm="1">
        <f t="array" aca="1" ref="H18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05" spans="1:8" x14ac:dyDescent="0.25">
      <c r="A1805" s="2">
        <f t="shared" ca="1" si="183"/>
        <v>3.0080727116927375</v>
      </c>
      <c r="B1805" s="4" cm="1">
        <f t="array" aca="1" ref="B18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805" s="2">
        <f t="shared" ca="1" si="184"/>
        <v>3.0241702694699337</v>
      </c>
      <c r="D1805" s="4" t="str" cm="1">
        <f t="array" aca="1" ref="D18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05" s="2">
        <f t="shared" ca="1" si="185"/>
        <v>30.005805545013153</v>
      </c>
      <c r="F1805" s="4" t="str" cm="1">
        <f t="array" aca="1" ref="F18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05" s="2">
        <f t="shared" ca="1" si="186"/>
        <v>40.007195378088923</v>
      </c>
      <c r="H1805" s="47" t="str" cm="1">
        <f t="array" aca="1" ref="H18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06" spans="1:8" x14ac:dyDescent="0.25">
      <c r="A1806" s="2">
        <f t="shared" ca="1" si="183"/>
        <v>3.0018411463327372</v>
      </c>
      <c r="B1806" s="4" cm="1">
        <f t="array" aca="1" ref="B18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806" s="2">
        <f t="shared" ca="1" si="184"/>
        <v>3.0152387767166182</v>
      </c>
      <c r="D1806" s="4" t="str" cm="1">
        <f t="array" aca="1" ref="D18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06" s="2">
        <f t="shared" ca="1" si="185"/>
        <v>30.024150306590446</v>
      </c>
      <c r="F1806" s="4" t="str" cm="1">
        <f t="array" aca="1" ref="F18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06" s="2">
        <f t="shared" ca="1" si="186"/>
        <v>40.004762346340428</v>
      </c>
      <c r="H1806" s="47" t="str" cm="1">
        <f t="array" aca="1" ref="H18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07" spans="1:8" x14ac:dyDescent="0.25">
      <c r="A1807" s="2">
        <f t="shared" ca="1" si="183"/>
        <v>3.0000775147048668</v>
      </c>
      <c r="B1807" s="4" cm="1">
        <f t="array" aca="1" ref="B18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807" s="2">
        <f t="shared" ca="1" si="184"/>
        <v>3.0185801950731226</v>
      </c>
      <c r="D1807" s="4" t="str" cm="1">
        <f t="array" aca="1" ref="D18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07" s="2">
        <f t="shared" ca="1" si="185"/>
        <v>30.00949292567395</v>
      </c>
      <c r="F1807" s="4" t="str" cm="1">
        <f t="array" aca="1" ref="F18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07" s="2">
        <f t="shared" ca="1" si="186"/>
        <v>40.01981116770343</v>
      </c>
      <c r="H1807" s="47" t="str" cm="1">
        <f t="array" aca="1" ref="H18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08" spans="1:8" x14ac:dyDescent="0.25">
      <c r="A1808" s="2">
        <f t="shared" ca="1" si="183"/>
        <v>3.0076017201778384</v>
      </c>
      <c r="B1808" s="4" cm="1">
        <f t="array" aca="1" ref="B18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808" s="2">
        <f t="shared" ca="1" si="184"/>
        <v>3.0238029660425334</v>
      </c>
      <c r="D1808" s="4" t="str" cm="1">
        <f t="array" aca="1" ref="D18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08" s="2">
        <f t="shared" ca="1" si="185"/>
        <v>30.012422031019867</v>
      </c>
      <c r="F1808" s="4" t="str" cm="1">
        <f t="array" aca="1" ref="F18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08" s="2">
        <f t="shared" ca="1" si="186"/>
        <v>40.027732176818311</v>
      </c>
      <c r="H1808" s="47" t="str" cm="1">
        <f t="array" aca="1" ref="H18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09" spans="1:8" x14ac:dyDescent="0.25">
      <c r="A1809" s="2">
        <f t="shared" ca="1" si="183"/>
        <v>3.0037749564594671</v>
      </c>
      <c r="B1809" s="4" cm="1">
        <f t="array" aca="1" ref="B18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809" s="2">
        <f t="shared" ca="1" si="184"/>
        <v>3.0094807788513882</v>
      </c>
      <c r="D1809" s="4" t="str" cm="1">
        <f t="array" aca="1" ref="D18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09" s="2">
        <f t="shared" ca="1" si="185"/>
        <v>30.018686487910557</v>
      </c>
      <c r="F1809" s="4" t="str" cm="1">
        <f t="array" aca="1" ref="F18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09" s="2">
        <f t="shared" ca="1" si="186"/>
        <v>40.012244659146134</v>
      </c>
      <c r="H1809" s="47" t="str" cm="1">
        <f t="array" aca="1" ref="H18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10" spans="1:8" x14ac:dyDescent="0.25">
      <c r="A1810" s="2">
        <f t="shared" ca="1" si="183"/>
        <v>3.0084569434250463</v>
      </c>
      <c r="B1810" s="4" cm="1">
        <f t="array" aca="1" ref="B18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810" s="2">
        <f t="shared" ca="1" si="184"/>
        <v>3.0103261165632103</v>
      </c>
      <c r="D1810" s="4" t="str" cm="1">
        <f t="array" aca="1" ref="D18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10" s="2">
        <f t="shared" ca="1" si="185"/>
        <v>30.016704731520591</v>
      </c>
      <c r="F1810" s="4" t="str" cm="1">
        <f t="array" aca="1" ref="F18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10" s="2">
        <f t="shared" ca="1" si="186"/>
        <v>40.016496057096411</v>
      </c>
      <c r="H1810" s="47" t="str" cm="1">
        <f t="array" aca="1" ref="H18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11" spans="1:8" x14ac:dyDescent="0.25">
      <c r="A1811" s="2">
        <f t="shared" ca="1" si="183"/>
        <v>3.0089223334525066</v>
      </c>
      <c r="B1811" s="4" cm="1">
        <f t="array" aca="1" ref="B18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811" s="2">
        <f t="shared" ca="1" si="184"/>
        <v>3.0026471751694741</v>
      </c>
      <c r="D1811" s="4" t="str" cm="1">
        <f t="array" aca="1" ref="D18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11" s="2">
        <f t="shared" ca="1" si="185"/>
        <v>30.005905753961336</v>
      </c>
      <c r="F1811" s="4" t="str" cm="1">
        <f t="array" aca="1" ref="F18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11" s="2">
        <f t="shared" ca="1" si="186"/>
        <v>40.008811697184115</v>
      </c>
      <c r="H1811" s="47" t="str" cm="1">
        <f t="array" aca="1" ref="H18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12" spans="1:8" x14ac:dyDescent="0.25">
      <c r="A1812" s="2">
        <f t="shared" ca="1" si="183"/>
        <v>3.005058813922767</v>
      </c>
      <c r="B1812" s="4" cm="1">
        <f t="array" aca="1" ref="B18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812" s="2">
        <f t="shared" ca="1" si="184"/>
        <v>3.0278334533920956</v>
      </c>
      <c r="D1812" s="4" t="str" cm="1">
        <f t="array" aca="1" ref="D18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12" s="2">
        <f t="shared" ca="1" si="185"/>
        <v>30.022641079395683</v>
      </c>
      <c r="F1812" s="4" t="str" cm="1">
        <f t="array" aca="1" ref="F18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12" s="2">
        <f t="shared" ca="1" si="186"/>
        <v>40.012402340418774</v>
      </c>
      <c r="H1812" s="47" t="str" cm="1">
        <f t="array" aca="1" ref="H18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13" spans="1:8" x14ac:dyDescent="0.25">
      <c r="A1813" s="2">
        <f t="shared" ca="1" si="183"/>
        <v>3.0060019061870062</v>
      </c>
      <c r="B1813" s="4" cm="1">
        <f t="array" aca="1" ref="B18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13" s="2">
        <f t="shared" ca="1" si="184"/>
        <v>3.017501570837319</v>
      </c>
      <c r="D1813" s="4" t="str" cm="1">
        <f t="array" aca="1" ref="D18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13" s="2">
        <f t="shared" ca="1" si="185"/>
        <v>30.003504199276094</v>
      </c>
      <c r="F1813" s="4" t="str" cm="1">
        <f t="array" aca="1" ref="F18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13" s="2">
        <f t="shared" ca="1" si="186"/>
        <v>40.025053783535725</v>
      </c>
      <c r="H1813" s="47" t="str" cm="1">
        <f t="array" aca="1" ref="H18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14" spans="1:8" x14ac:dyDescent="0.25">
      <c r="A1814" s="2">
        <f t="shared" ca="1" si="183"/>
        <v>3.0065189800611405</v>
      </c>
      <c r="B1814" s="4" cm="1">
        <f t="array" aca="1" ref="B18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14" s="2">
        <f t="shared" ca="1" si="184"/>
        <v>3.029515175460177</v>
      </c>
      <c r="D1814" s="4" t="str" cm="1">
        <f t="array" aca="1" ref="D18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14" s="2">
        <f t="shared" ca="1" si="185"/>
        <v>30.008473214063567</v>
      </c>
      <c r="F1814" s="4" t="str" cm="1">
        <f t="array" aca="1" ref="F18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14" s="2">
        <f t="shared" ca="1" si="186"/>
        <v>40.025394314118635</v>
      </c>
      <c r="H1814" s="47" t="str" cm="1">
        <f t="array" aca="1" ref="H18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15" spans="1:8" x14ac:dyDescent="0.25">
      <c r="A1815" s="2">
        <f t="shared" ca="1" si="183"/>
        <v>3.0005620173566521</v>
      </c>
      <c r="B1815" s="4" cm="1">
        <f t="array" aca="1" ref="B18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815" s="2">
        <f t="shared" ca="1" si="184"/>
        <v>3.0236075178113357</v>
      </c>
      <c r="D1815" s="4" t="str" cm="1">
        <f t="array" aca="1" ref="D18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15" s="2">
        <f t="shared" ca="1" si="185"/>
        <v>30.021494202805943</v>
      </c>
      <c r="F1815" s="4" t="str" cm="1">
        <f t="array" aca="1" ref="F18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15" s="2">
        <f t="shared" ca="1" si="186"/>
        <v>40.004927021367884</v>
      </c>
      <c r="H1815" s="47" t="str" cm="1">
        <f t="array" aca="1" ref="H18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16" spans="1:8" x14ac:dyDescent="0.25">
      <c r="A1816" s="2">
        <f t="shared" ca="1" si="183"/>
        <v>3.004967367534114</v>
      </c>
      <c r="B1816" s="4" cm="1">
        <f t="array" aca="1" ref="B18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816" s="2">
        <f t="shared" ca="1" si="184"/>
        <v>3.0019366664510025</v>
      </c>
      <c r="D1816" s="4" t="str" cm="1">
        <f t="array" aca="1" ref="D18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16" s="2">
        <f t="shared" ca="1" si="185"/>
        <v>30.019252586909364</v>
      </c>
      <c r="F1816" s="4" t="str" cm="1">
        <f t="array" aca="1" ref="F18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16" s="2">
        <f t="shared" ca="1" si="186"/>
        <v>40.008225518395527</v>
      </c>
      <c r="H1816" s="47" t="str" cm="1">
        <f t="array" aca="1" ref="H18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17" spans="1:8" x14ac:dyDescent="0.25">
      <c r="A1817" s="2">
        <f t="shared" ca="1" si="183"/>
        <v>3.0095891021757422</v>
      </c>
      <c r="B1817" s="4" cm="1">
        <f t="array" aca="1" ref="B18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817" s="2">
        <f t="shared" ca="1" si="184"/>
        <v>3.0258010873389241</v>
      </c>
      <c r="D1817" s="4" t="str" cm="1">
        <f t="array" aca="1" ref="D18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17" s="2">
        <f t="shared" ca="1" si="185"/>
        <v>30.020337796112155</v>
      </c>
      <c r="F1817" s="4" t="str" cm="1">
        <f t="array" aca="1" ref="F18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17" s="2">
        <f t="shared" ca="1" si="186"/>
        <v>40.014296237174726</v>
      </c>
      <c r="H1817" s="47" t="str" cm="1">
        <f t="array" aca="1" ref="H18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18" spans="1:8" x14ac:dyDescent="0.25">
      <c r="A1818" s="2">
        <f t="shared" ca="1" si="183"/>
        <v>3.0033028389730037</v>
      </c>
      <c r="B1818" s="4" cm="1">
        <f t="array" aca="1" ref="B18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818" s="2">
        <f t="shared" ca="1" si="184"/>
        <v>3.0160644576231199</v>
      </c>
      <c r="D1818" s="4" t="str" cm="1">
        <f t="array" aca="1" ref="D18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18" s="2">
        <f t="shared" ca="1" si="185"/>
        <v>30.027049210949578</v>
      </c>
      <c r="F1818" s="4" t="str" cm="1">
        <f t="array" aca="1" ref="F18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18" s="2">
        <f t="shared" ca="1" si="186"/>
        <v>40.027562247138896</v>
      </c>
      <c r="H1818" s="47" t="str" cm="1">
        <f t="array" aca="1" ref="H18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19" spans="1:8" x14ac:dyDescent="0.25">
      <c r="A1819" s="2">
        <f t="shared" ca="1" si="183"/>
        <v>3.0062828099952235</v>
      </c>
      <c r="B1819" s="4" cm="1">
        <f t="array" aca="1" ref="B18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19" s="2">
        <f t="shared" ca="1" si="184"/>
        <v>3.0174904453190172</v>
      </c>
      <c r="D1819" s="4" t="str" cm="1">
        <f t="array" aca="1" ref="D18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19" s="2">
        <f t="shared" ca="1" si="185"/>
        <v>30.013003702310876</v>
      </c>
      <c r="F1819" s="4" t="str" cm="1">
        <f t="array" aca="1" ref="F18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19" s="2">
        <f t="shared" ca="1" si="186"/>
        <v>40.0111085659181</v>
      </c>
      <c r="H1819" s="47" t="str" cm="1">
        <f t="array" aca="1" ref="H18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20" spans="1:8" x14ac:dyDescent="0.25">
      <c r="A1820" s="2">
        <f t="shared" ca="1" si="183"/>
        <v>3.0085262424080383</v>
      </c>
      <c r="B1820" s="4" cm="1">
        <f t="array" aca="1" ref="B18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820" s="2">
        <f t="shared" ca="1" si="184"/>
        <v>3.0201474653731473</v>
      </c>
      <c r="D1820" s="4" t="str" cm="1">
        <f t="array" aca="1" ref="D18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20" s="2">
        <f t="shared" ca="1" si="185"/>
        <v>30.014971213209122</v>
      </c>
      <c r="F1820" s="4" t="str" cm="1">
        <f t="array" aca="1" ref="F18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20" s="2">
        <f t="shared" ca="1" si="186"/>
        <v>40.010927666715538</v>
      </c>
      <c r="H1820" s="47" t="str" cm="1">
        <f t="array" aca="1" ref="H18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21" spans="1:8" x14ac:dyDescent="0.25">
      <c r="A1821" s="2">
        <f t="shared" ca="1" si="183"/>
        <v>3.0036952250009143</v>
      </c>
      <c r="B1821" s="4" cm="1">
        <f t="array" aca="1" ref="B18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821" s="2">
        <f t="shared" ca="1" si="184"/>
        <v>3.0048149017380688</v>
      </c>
      <c r="D1821" s="4" t="str" cm="1">
        <f t="array" aca="1" ref="D18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21" s="2">
        <f t="shared" ca="1" si="185"/>
        <v>30.010312888264551</v>
      </c>
      <c r="F1821" s="4" t="str" cm="1">
        <f t="array" aca="1" ref="F18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21" s="2">
        <f t="shared" ca="1" si="186"/>
        <v>40.006622538310872</v>
      </c>
      <c r="H1821" s="47" t="str" cm="1">
        <f t="array" aca="1" ref="H18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22" spans="1:8" x14ac:dyDescent="0.25">
      <c r="A1822" s="2">
        <f t="shared" ca="1" si="183"/>
        <v>3.001274192789714</v>
      </c>
      <c r="B1822" s="4" cm="1">
        <f t="array" aca="1" ref="B18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822" s="2">
        <f t="shared" ca="1" si="184"/>
        <v>3.027360778823359</v>
      </c>
      <c r="D1822" s="4" t="str" cm="1">
        <f t="array" aca="1" ref="D18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22" s="2">
        <f t="shared" ca="1" si="185"/>
        <v>30.000536175999017</v>
      </c>
      <c r="F1822" s="4" t="str" cm="1">
        <f t="array" aca="1" ref="F18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22" s="2">
        <f t="shared" ca="1" si="186"/>
        <v>40.008048921833371</v>
      </c>
      <c r="H1822" s="47" t="str" cm="1">
        <f t="array" aca="1" ref="H18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23" spans="1:8" x14ac:dyDescent="0.25">
      <c r="A1823" s="2">
        <f t="shared" ca="1" si="183"/>
        <v>3.0037426128903477</v>
      </c>
      <c r="B1823" s="4" cm="1">
        <f t="array" aca="1" ref="B18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823" s="2">
        <f t="shared" ca="1" si="184"/>
        <v>3.0277948512947042</v>
      </c>
      <c r="D1823" s="4" t="str" cm="1">
        <f t="array" aca="1" ref="D18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23" s="2">
        <f t="shared" ca="1" si="185"/>
        <v>30.000752338968983</v>
      </c>
      <c r="F1823" s="4" t="str" cm="1">
        <f t="array" aca="1" ref="F18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23" s="2">
        <f t="shared" ca="1" si="186"/>
        <v>40.001205225302904</v>
      </c>
      <c r="H1823" s="47" t="str" cm="1">
        <f t="array" aca="1" ref="H18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24" spans="1:8" x14ac:dyDescent="0.25">
      <c r="A1824" s="2">
        <f t="shared" ca="1" si="183"/>
        <v>3.0025308034229132</v>
      </c>
      <c r="B1824" s="4" cm="1">
        <f t="array" aca="1" ref="B18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824" s="2">
        <f t="shared" ca="1" si="184"/>
        <v>3.017042523268243</v>
      </c>
      <c r="D1824" s="4" t="str" cm="1">
        <f t="array" aca="1" ref="D18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24" s="2">
        <f t="shared" ca="1" si="185"/>
        <v>30.026597178406917</v>
      </c>
      <c r="F1824" s="4" t="str" cm="1">
        <f t="array" aca="1" ref="F18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24" s="2">
        <f t="shared" ca="1" si="186"/>
        <v>40.011397149419359</v>
      </c>
      <c r="H1824" s="47" t="str" cm="1">
        <f t="array" aca="1" ref="H18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25" spans="1:8" x14ac:dyDescent="0.25">
      <c r="A1825" s="2">
        <f t="shared" ca="1" si="183"/>
        <v>3.006095547777798</v>
      </c>
      <c r="B1825" s="4" cm="1">
        <f t="array" aca="1" ref="B18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25" s="2">
        <f t="shared" ca="1" si="184"/>
        <v>3.0205795002576052</v>
      </c>
      <c r="D1825" s="4" t="str" cm="1">
        <f t="array" aca="1" ref="D18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25" s="2">
        <f t="shared" ca="1" si="185"/>
        <v>30.018573072814068</v>
      </c>
      <c r="F1825" s="4" t="str" cm="1">
        <f t="array" aca="1" ref="F18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25" s="2">
        <f t="shared" ca="1" si="186"/>
        <v>40.021983029222298</v>
      </c>
      <c r="H1825" s="47" t="str" cm="1">
        <f t="array" aca="1" ref="H18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26" spans="1:8" x14ac:dyDescent="0.25">
      <c r="A1826" s="2">
        <f t="shared" ca="1" si="183"/>
        <v>3.0009509951192701</v>
      </c>
      <c r="B1826" s="4" cm="1">
        <f t="array" aca="1" ref="B18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826" s="2">
        <f t="shared" ca="1" si="184"/>
        <v>3.0226239346480424</v>
      </c>
      <c r="D1826" s="4" t="str" cm="1">
        <f t="array" aca="1" ref="D18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26" s="2">
        <f t="shared" ca="1" si="185"/>
        <v>30.013844051460008</v>
      </c>
      <c r="F1826" s="4" t="str" cm="1">
        <f t="array" aca="1" ref="F18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26" s="2">
        <f t="shared" ca="1" si="186"/>
        <v>40.027238043340425</v>
      </c>
      <c r="H1826" s="47" t="str" cm="1">
        <f t="array" aca="1" ref="H18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27" spans="1:8" x14ac:dyDescent="0.25">
      <c r="A1827" s="2">
        <f t="shared" ca="1" si="183"/>
        <v>3.0014251547978699</v>
      </c>
      <c r="B1827" s="4" cm="1">
        <f t="array" aca="1" ref="B18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827" s="2">
        <f t="shared" ca="1" si="184"/>
        <v>3.007851063305095</v>
      </c>
      <c r="D1827" s="4" t="str" cm="1">
        <f t="array" aca="1" ref="D18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27" s="2">
        <f t="shared" ca="1" si="185"/>
        <v>30.001348957783634</v>
      </c>
      <c r="F1827" s="4" t="str" cm="1">
        <f t="array" aca="1" ref="F18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27" s="2">
        <f t="shared" ca="1" si="186"/>
        <v>40.007872503384611</v>
      </c>
      <c r="H1827" s="47" t="str" cm="1">
        <f t="array" aca="1" ref="H18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28" spans="1:8" x14ac:dyDescent="0.25">
      <c r="A1828" s="2">
        <f t="shared" ca="1" si="183"/>
        <v>3.0097090874021801</v>
      </c>
      <c r="B1828" s="4" cm="1">
        <f t="array" aca="1" ref="B18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828" s="2">
        <f t="shared" ca="1" si="184"/>
        <v>3.0205649866441338</v>
      </c>
      <c r="D1828" s="4" t="str" cm="1">
        <f t="array" aca="1" ref="D18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28" s="2">
        <f t="shared" ca="1" si="185"/>
        <v>30.027164557695887</v>
      </c>
      <c r="F1828" s="4" t="str" cm="1">
        <f t="array" aca="1" ref="F18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28" s="2">
        <f t="shared" ca="1" si="186"/>
        <v>40.028454605580293</v>
      </c>
      <c r="H1828" s="47" t="str" cm="1">
        <f t="array" aca="1" ref="H18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29" spans="1:8" x14ac:dyDescent="0.25">
      <c r="A1829" s="2">
        <f t="shared" ca="1" si="183"/>
        <v>3.0067749977770601</v>
      </c>
      <c r="B1829" s="4" cm="1">
        <f t="array" aca="1" ref="B18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29" s="2">
        <f t="shared" ca="1" si="184"/>
        <v>3.0198911860503972</v>
      </c>
      <c r="D1829" s="4" t="str" cm="1">
        <f t="array" aca="1" ref="D18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29" s="2">
        <f t="shared" ca="1" si="185"/>
        <v>30.015814082567704</v>
      </c>
      <c r="F1829" s="4" t="str" cm="1">
        <f t="array" aca="1" ref="F18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29" s="2">
        <f t="shared" ca="1" si="186"/>
        <v>40.012023133824577</v>
      </c>
      <c r="H1829" s="47" t="str" cm="1">
        <f t="array" aca="1" ref="H18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30" spans="1:8" x14ac:dyDescent="0.25">
      <c r="A1830" s="2">
        <f t="shared" ca="1" si="183"/>
        <v>3.0001683614843775</v>
      </c>
      <c r="B1830" s="4" cm="1">
        <f t="array" aca="1" ref="B18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830" s="2">
        <f t="shared" ca="1" si="184"/>
        <v>3.0097914962505858</v>
      </c>
      <c r="D1830" s="4" t="str" cm="1">
        <f t="array" aca="1" ref="D18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30" s="2">
        <f t="shared" ca="1" si="185"/>
        <v>30.005941531581435</v>
      </c>
      <c r="F1830" s="4" t="str" cm="1">
        <f t="array" aca="1" ref="F18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30" s="2">
        <f t="shared" ca="1" si="186"/>
        <v>40.0131180078386</v>
      </c>
      <c r="H1830" s="47" t="str" cm="1">
        <f t="array" aca="1" ref="H18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31" spans="1:8" x14ac:dyDescent="0.25">
      <c r="A1831" s="2">
        <f t="shared" ca="1" si="183"/>
        <v>3.0092445968965307</v>
      </c>
      <c r="B1831" s="4" cm="1">
        <f t="array" aca="1" ref="B18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831" s="2">
        <f t="shared" ca="1" si="184"/>
        <v>3.0248153869465493</v>
      </c>
      <c r="D1831" s="4" t="str" cm="1">
        <f t="array" aca="1" ref="D18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31" s="2">
        <f t="shared" ca="1" si="185"/>
        <v>30.020649452264401</v>
      </c>
      <c r="F1831" s="4" t="str" cm="1">
        <f t="array" aca="1" ref="F18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31" s="2">
        <f t="shared" ca="1" si="186"/>
        <v>40.013572026742239</v>
      </c>
      <c r="H1831" s="47" t="str" cm="1">
        <f t="array" aca="1" ref="H18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32" spans="1:8" x14ac:dyDescent="0.25">
      <c r="A1832" s="2">
        <f t="shared" ca="1" si="183"/>
        <v>3.0082447784608126</v>
      </c>
      <c r="B1832" s="4" cm="1">
        <f t="array" aca="1" ref="B18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832" s="2">
        <f t="shared" ca="1" si="184"/>
        <v>3.0211250706464998</v>
      </c>
      <c r="D1832" s="4" t="str" cm="1">
        <f t="array" aca="1" ref="D18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32" s="2">
        <f t="shared" ca="1" si="185"/>
        <v>30.008958664228199</v>
      </c>
      <c r="F1832" s="4" t="str" cm="1">
        <f t="array" aca="1" ref="F18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32" s="2">
        <f t="shared" ca="1" si="186"/>
        <v>40.016669811400092</v>
      </c>
      <c r="H1832" s="47" t="str" cm="1">
        <f t="array" aca="1" ref="H18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33" spans="1:8" x14ac:dyDescent="0.25">
      <c r="A1833" s="2">
        <f t="shared" ca="1" si="183"/>
        <v>3.0017901737333128</v>
      </c>
      <c r="B1833" s="4" cm="1">
        <f t="array" aca="1" ref="B18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833" s="2">
        <f t="shared" ca="1" si="184"/>
        <v>3.0176538414281904</v>
      </c>
      <c r="D1833" s="4" t="str" cm="1">
        <f t="array" aca="1" ref="D18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33" s="2">
        <f t="shared" ca="1" si="185"/>
        <v>30.017380417918055</v>
      </c>
      <c r="F1833" s="4" t="str" cm="1">
        <f t="array" aca="1" ref="F18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33" s="2">
        <f t="shared" ca="1" si="186"/>
        <v>40.004309931258803</v>
      </c>
      <c r="H1833" s="47" t="str" cm="1">
        <f t="array" aca="1" ref="H18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34" spans="1:8" x14ac:dyDescent="0.25">
      <c r="A1834" s="2">
        <f t="shared" ca="1" si="183"/>
        <v>3.0004636998104561</v>
      </c>
      <c r="B1834" s="4" cm="1">
        <f t="array" aca="1" ref="B18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834" s="2">
        <f t="shared" ca="1" si="184"/>
        <v>3.0097980524236396</v>
      </c>
      <c r="D1834" s="4" t="str" cm="1">
        <f t="array" aca="1" ref="D18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34" s="2">
        <f t="shared" ca="1" si="185"/>
        <v>30.025014453835244</v>
      </c>
      <c r="F1834" s="4" t="str" cm="1">
        <f t="array" aca="1" ref="F18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34" s="2">
        <f t="shared" ca="1" si="186"/>
        <v>40.026523460620005</v>
      </c>
      <c r="H1834" s="47" t="str" cm="1">
        <f t="array" aca="1" ref="H18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35" spans="1:8" x14ac:dyDescent="0.25">
      <c r="A1835" s="2">
        <f t="shared" ca="1" si="183"/>
        <v>3.0014127169896665</v>
      </c>
      <c r="B1835" s="4" cm="1">
        <f t="array" aca="1" ref="B18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835" s="2">
        <f t="shared" ca="1" si="184"/>
        <v>3.0023194068434127</v>
      </c>
      <c r="D1835" s="4" t="str" cm="1">
        <f t="array" aca="1" ref="D18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35" s="2">
        <f t="shared" ca="1" si="185"/>
        <v>30.012250301585819</v>
      </c>
      <c r="F1835" s="4" t="str" cm="1">
        <f t="array" aca="1" ref="F18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35" s="2">
        <f t="shared" ca="1" si="186"/>
        <v>40.014244340735722</v>
      </c>
      <c r="H1835" s="47" t="str" cm="1">
        <f t="array" aca="1" ref="H18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36" spans="1:8" x14ac:dyDescent="0.25">
      <c r="A1836" s="2">
        <f t="shared" ca="1" si="183"/>
        <v>3.0024997107996181</v>
      </c>
      <c r="B1836" s="4" cm="1">
        <f t="array" aca="1" ref="B18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836" s="2">
        <f t="shared" ca="1" si="184"/>
        <v>3.0225027924013688</v>
      </c>
      <c r="D1836" s="4" t="str" cm="1">
        <f t="array" aca="1" ref="D18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36" s="2">
        <f t="shared" ca="1" si="185"/>
        <v>30.025396540662943</v>
      </c>
      <c r="F1836" s="4" t="str" cm="1">
        <f t="array" aca="1" ref="F18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36" s="2">
        <f t="shared" ca="1" si="186"/>
        <v>40.021680750514577</v>
      </c>
      <c r="H1836" s="47" t="str" cm="1">
        <f t="array" aca="1" ref="H18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37" spans="1:8" x14ac:dyDescent="0.25">
      <c r="A1837" s="2">
        <f t="shared" ca="1" si="183"/>
        <v>3.003878368508345</v>
      </c>
      <c r="B1837" s="4" cm="1">
        <f t="array" aca="1" ref="B18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837" s="2">
        <f t="shared" ca="1" si="184"/>
        <v>3.0159941182682442</v>
      </c>
      <c r="D1837" s="4" t="str" cm="1">
        <f t="array" aca="1" ref="D18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37" s="2">
        <f t="shared" ca="1" si="185"/>
        <v>30.009425507806331</v>
      </c>
      <c r="F1837" s="4" t="str" cm="1">
        <f t="array" aca="1" ref="F18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37" s="2">
        <f t="shared" ca="1" si="186"/>
        <v>40.018513293949127</v>
      </c>
      <c r="H1837" s="47" t="str" cm="1">
        <f t="array" aca="1" ref="H18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38" spans="1:8" x14ac:dyDescent="0.25">
      <c r="A1838" s="2">
        <f t="shared" ca="1" si="183"/>
        <v>3.000844891322981</v>
      </c>
      <c r="B1838" s="4" cm="1">
        <f t="array" aca="1" ref="B18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838" s="2">
        <f t="shared" ca="1" si="184"/>
        <v>3.028620928952392</v>
      </c>
      <c r="D1838" s="4" t="str" cm="1">
        <f t="array" aca="1" ref="D18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38" s="2">
        <f t="shared" ca="1" si="185"/>
        <v>30.007877837299187</v>
      </c>
      <c r="F1838" s="4" t="str" cm="1">
        <f t="array" aca="1" ref="F18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38" s="2">
        <f t="shared" ca="1" si="186"/>
        <v>40.002866353313358</v>
      </c>
      <c r="H1838" s="47" t="str" cm="1">
        <f t="array" aca="1" ref="H18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39" spans="1:8" x14ac:dyDescent="0.25">
      <c r="A1839" s="2">
        <f t="shared" ca="1" si="183"/>
        <v>3.006771161652563</v>
      </c>
      <c r="B1839" s="4" cm="1">
        <f t="array" aca="1" ref="B18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39" s="2">
        <f t="shared" ca="1" si="184"/>
        <v>3.0285391306982277</v>
      </c>
      <c r="D1839" s="4" t="str" cm="1">
        <f t="array" aca="1" ref="D18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39" s="2">
        <f t="shared" ca="1" si="185"/>
        <v>30.01687081976312</v>
      </c>
      <c r="F1839" s="4" t="str" cm="1">
        <f t="array" aca="1" ref="F18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39" s="2">
        <f t="shared" ca="1" si="186"/>
        <v>40.009092656489706</v>
      </c>
      <c r="H1839" s="47" t="str" cm="1">
        <f t="array" aca="1" ref="H18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40" spans="1:8" x14ac:dyDescent="0.25">
      <c r="A1840" s="2">
        <f t="shared" ca="1" si="183"/>
        <v>3.0065900694652101</v>
      </c>
      <c r="B1840" s="4" cm="1">
        <f t="array" aca="1" ref="B18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40" s="2">
        <f t="shared" ca="1" si="184"/>
        <v>3.0198739321597627</v>
      </c>
      <c r="D1840" s="4" t="str" cm="1">
        <f t="array" aca="1" ref="D18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40" s="2">
        <f t="shared" ca="1" si="185"/>
        <v>30.015567310909617</v>
      </c>
      <c r="F1840" s="4" t="str" cm="1">
        <f t="array" aca="1" ref="F18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40" s="2">
        <f t="shared" ca="1" si="186"/>
        <v>40.003525882587809</v>
      </c>
      <c r="H1840" s="47" t="str" cm="1">
        <f t="array" aca="1" ref="H18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41" spans="1:8" x14ac:dyDescent="0.25">
      <c r="A1841" s="2">
        <f t="shared" ca="1" si="183"/>
        <v>3.0086267293537383</v>
      </c>
      <c r="B1841" s="4" cm="1">
        <f t="array" aca="1" ref="B18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841" s="2">
        <f t="shared" ca="1" si="184"/>
        <v>3.015669663816444</v>
      </c>
      <c r="D1841" s="4" t="str" cm="1">
        <f t="array" aca="1" ref="D18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41" s="2">
        <f t="shared" ca="1" si="185"/>
        <v>30.014873899866643</v>
      </c>
      <c r="F1841" s="4" t="str" cm="1">
        <f t="array" aca="1" ref="F18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41" s="2">
        <f t="shared" ca="1" si="186"/>
        <v>40.027242579939035</v>
      </c>
      <c r="H1841" s="47" t="str" cm="1">
        <f t="array" aca="1" ref="H18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42" spans="1:8" x14ac:dyDescent="0.25">
      <c r="A1842" s="2">
        <f t="shared" ca="1" si="183"/>
        <v>3.0001643551877812</v>
      </c>
      <c r="B1842" s="4" cm="1">
        <f t="array" aca="1" ref="B18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842" s="2">
        <f t="shared" ca="1" si="184"/>
        <v>3.0160800654603124</v>
      </c>
      <c r="D1842" s="4" t="str" cm="1">
        <f t="array" aca="1" ref="D18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42" s="2">
        <f t="shared" ca="1" si="185"/>
        <v>30.019884431896759</v>
      </c>
      <c r="F1842" s="4" t="str" cm="1">
        <f t="array" aca="1" ref="F18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42" s="2">
        <f t="shared" ca="1" si="186"/>
        <v>40.028097663820908</v>
      </c>
      <c r="H1842" s="47" t="str" cm="1">
        <f t="array" aca="1" ref="H18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43" spans="1:8" x14ac:dyDescent="0.25">
      <c r="A1843" s="2">
        <f t="shared" ca="1" si="183"/>
        <v>3.0064976494006883</v>
      </c>
      <c r="B1843" s="4" cm="1">
        <f t="array" aca="1" ref="B18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43" s="2">
        <f t="shared" ca="1" si="184"/>
        <v>3.0249259872577303</v>
      </c>
      <c r="D1843" s="4" t="str" cm="1">
        <f t="array" aca="1" ref="D18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43" s="2">
        <f t="shared" ca="1" si="185"/>
        <v>30.012326486189512</v>
      </c>
      <c r="F1843" s="4" t="str" cm="1">
        <f t="array" aca="1" ref="F18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43" s="2">
        <f t="shared" ca="1" si="186"/>
        <v>40.017844370624786</v>
      </c>
      <c r="H1843" s="47" t="str" cm="1">
        <f t="array" aca="1" ref="H18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44" spans="1:8" x14ac:dyDescent="0.25">
      <c r="A1844" s="2">
        <f t="shared" ca="1" si="183"/>
        <v>3.0056626371081387</v>
      </c>
      <c r="B1844" s="4" cm="1">
        <f t="array" aca="1" ref="B18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844" s="2">
        <f t="shared" ca="1" si="184"/>
        <v>3.003265601724578</v>
      </c>
      <c r="D1844" s="4" t="str" cm="1">
        <f t="array" aca="1" ref="D18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44" s="2">
        <f t="shared" ca="1" si="185"/>
        <v>30.029712887558162</v>
      </c>
      <c r="F1844" s="4" t="str" cm="1">
        <f t="array" aca="1" ref="F18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44" s="2">
        <f t="shared" ca="1" si="186"/>
        <v>40.01263568526258</v>
      </c>
      <c r="H1844" s="47" t="str" cm="1">
        <f t="array" aca="1" ref="H18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45" spans="1:8" x14ac:dyDescent="0.25">
      <c r="A1845" s="2">
        <f t="shared" ca="1" si="183"/>
        <v>3.0049563685220488</v>
      </c>
      <c r="B1845" s="4" cm="1">
        <f t="array" aca="1" ref="B18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845" s="2">
        <f t="shared" ca="1" si="184"/>
        <v>3.0203445696446369</v>
      </c>
      <c r="D1845" s="4" t="str" cm="1">
        <f t="array" aca="1" ref="D18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45" s="2">
        <f t="shared" ca="1" si="185"/>
        <v>30.018122798719752</v>
      </c>
      <c r="F1845" s="4" t="str" cm="1">
        <f t="array" aca="1" ref="F18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45" s="2">
        <f t="shared" ca="1" si="186"/>
        <v>40.015149123297135</v>
      </c>
      <c r="H1845" s="47" t="str" cm="1">
        <f t="array" aca="1" ref="H18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46" spans="1:8" x14ac:dyDescent="0.25">
      <c r="A1846" s="2">
        <f t="shared" ca="1" si="183"/>
        <v>3.0096138676113262</v>
      </c>
      <c r="B1846" s="4" cm="1">
        <f t="array" aca="1" ref="B18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846" s="2">
        <f t="shared" ca="1" si="184"/>
        <v>3.024546941834708</v>
      </c>
      <c r="D1846" s="4" t="str" cm="1">
        <f t="array" aca="1" ref="D18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46" s="2">
        <f t="shared" ca="1" si="185"/>
        <v>30.028077162589852</v>
      </c>
      <c r="F1846" s="4" t="str" cm="1">
        <f t="array" aca="1" ref="F18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46" s="2">
        <f t="shared" ca="1" si="186"/>
        <v>40.02047526830615</v>
      </c>
      <c r="H1846" s="47" t="str" cm="1">
        <f t="array" aca="1" ref="H18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47" spans="1:8" x14ac:dyDescent="0.25">
      <c r="A1847" s="2">
        <f t="shared" ca="1" si="183"/>
        <v>3.0086851097166663</v>
      </c>
      <c r="B1847" s="4" cm="1">
        <f t="array" aca="1" ref="B18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847" s="2">
        <f t="shared" ca="1" si="184"/>
        <v>3.020141357297935</v>
      </c>
      <c r="D1847" s="4" t="str" cm="1">
        <f t="array" aca="1" ref="D18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47" s="2">
        <f t="shared" ca="1" si="185"/>
        <v>30.011622370809658</v>
      </c>
      <c r="F1847" s="4" t="str" cm="1">
        <f t="array" aca="1" ref="F18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47" s="2">
        <f t="shared" ca="1" si="186"/>
        <v>40.023707797669751</v>
      </c>
      <c r="H1847" s="47" t="str" cm="1">
        <f t="array" aca="1" ref="H18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48" spans="1:8" x14ac:dyDescent="0.25">
      <c r="A1848" s="2">
        <f t="shared" ca="1" si="183"/>
        <v>3.0049285280051041</v>
      </c>
      <c r="B1848" s="4" cm="1">
        <f t="array" aca="1" ref="B18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848" s="2">
        <f t="shared" ca="1" si="184"/>
        <v>3.0265157120352626</v>
      </c>
      <c r="D1848" s="4" t="str" cm="1">
        <f t="array" aca="1" ref="D18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48" s="2">
        <f t="shared" ca="1" si="185"/>
        <v>30.028665324269575</v>
      </c>
      <c r="F1848" s="4" t="str" cm="1">
        <f t="array" aca="1" ref="F18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48" s="2">
        <f t="shared" ca="1" si="186"/>
        <v>40.010696944789203</v>
      </c>
      <c r="H1848" s="47" t="str" cm="1">
        <f t="array" aca="1" ref="H18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49" spans="1:8" x14ac:dyDescent="0.25">
      <c r="A1849" s="2">
        <f t="shared" ca="1" si="183"/>
        <v>3.0047813557311152</v>
      </c>
      <c r="B1849" s="4" cm="1">
        <f t="array" aca="1" ref="B18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849" s="2">
        <f t="shared" ca="1" si="184"/>
        <v>3.0149125286220038</v>
      </c>
      <c r="D1849" s="4" t="str" cm="1">
        <f t="array" aca="1" ref="D18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49" s="2">
        <f t="shared" ca="1" si="185"/>
        <v>30.011033409816928</v>
      </c>
      <c r="F1849" s="4" t="str" cm="1">
        <f t="array" aca="1" ref="F18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49" s="2">
        <f t="shared" ca="1" si="186"/>
        <v>40.011900730514419</v>
      </c>
      <c r="H1849" s="47" t="str" cm="1">
        <f t="array" aca="1" ref="H18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50" spans="1:8" x14ac:dyDescent="0.25">
      <c r="A1850" s="2">
        <f t="shared" ca="1" si="183"/>
        <v>3.0071020122520093</v>
      </c>
      <c r="B1850" s="4" cm="1">
        <f t="array" aca="1" ref="B18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850" s="2">
        <f t="shared" ca="1" si="184"/>
        <v>3.0167300060850124</v>
      </c>
      <c r="D1850" s="4" t="str" cm="1">
        <f t="array" aca="1" ref="D18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50" s="2">
        <f t="shared" ca="1" si="185"/>
        <v>30.02133294915118</v>
      </c>
      <c r="F1850" s="4" t="str" cm="1">
        <f t="array" aca="1" ref="F18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50" s="2">
        <f t="shared" ca="1" si="186"/>
        <v>40.02723596576363</v>
      </c>
      <c r="H1850" s="47" t="str" cm="1">
        <f t="array" aca="1" ref="H18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51" spans="1:8" x14ac:dyDescent="0.25">
      <c r="A1851" s="2">
        <f t="shared" ca="1" si="183"/>
        <v>3.005246505871805</v>
      </c>
      <c r="B1851" s="4" cm="1">
        <f t="array" aca="1" ref="B18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851" s="2">
        <f t="shared" ca="1" si="184"/>
        <v>3.0090306719557791</v>
      </c>
      <c r="D1851" s="4" t="str" cm="1">
        <f t="array" aca="1" ref="D18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51" s="2">
        <f t="shared" ca="1" si="185"/>
        <v>30.019972321236711</v>
      </c>
      <c r="F1851" s="4" t="str" cm="1">
        <f t="array" aca="1" ref="F18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51" s="2">
        <f t="shared" ca="1" si="186"/>
        <v>40.023090832885444</v>
      </c>
      <c r="H1851" s="47" t="str" cm="1">
        <f t="array" aca="1" ref="H18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52" spans="1:8" x14ac:dyDescent="0.25">
      <c r="A1852" s="2">
        <f t="shared" ca="1" si="183"/>
        <v>3.0088182430875752</v>
      </c>
      <c r="B1852" s="4" cm="1">
        <f t="array" aca="1" ref="B18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852" s="2">
        <f t="shared" ca="1" si="184"/>
        <v>3.0155012731668536</v>
      </c>
      <c r="D1852" s="4" t="str" cm="1">
        <f t="array" aca="1" ref="D18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52" s="2">
        <f t="shared" ca="1" si="185"/>
        <v>30.009447933791435</v>
      </c>
      <c r="F1852" s="4" t="str" cm="1">
        <f t="array" aca="1" ref="F18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52" s="2">
        <f t="shared" ca="1" si="186"/>
        <v>40.021086997905229</v>
      </c>
      <c r="H1852" s="47" t="str" cm="1">
        <f t="array" aca="1" ref="H18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53" spans="1:8" x14ac:dyDescent="0.25">
      <c r="A1853" s="2">
        <f t="shared" ca="1" si="183"/>
        <v>3.0032058544958233</v>
      </c>
      <c r="B1853" s="4" cm="1">
        <f t="array" aca="1" ref="B18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853" s="2">
        <f t="shared" ca="1" si="184"/>
        <v>3.0180788408289705</v>
      </c>
      <c r="D1853" s="4" t="str" cm="1">
        <f t="array" aca="1" ref="D18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53" s="2">
        <f t="shared" ca="1" si="185"/>
        <v>30.007221176338565</v>
      </c>
      <c r="F1853" s="4" t="str" cm="1">
        <f t="array" aca="1" ref="F18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53" s="2">
        <f t="shared" ca="1" si="186"/>
        <v>40.005186840610392</v>
      </c>
      <c r="H1853" s="47" t="str" cm="1">
        <f t="array" aca="1" ref="H18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54" spans="1:8" x14ac:dyDescent="0.25">
      <c r="A1854" s="2">
        <f t="shared" ca="1" si="183"/>
        <v>3.0000164885442753</v>
      </c>
      <c r="B1854" s="4" cm="1">
        <f t="array" aca="1" ref="B18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854" s="2">
        <f t="shared" ca="1" si="184"/>
        <v>3.024600120256737</v>
      </c>
      <c r="D1854" s="4" t="str" cm="1">
        <f t="array" aca="1" ref="D18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54" s="2">
        <f t="shared" ca="1" si="185"/>
        <v>30.021049785569016</v>
      </c>
      <c r="F1854" s="4" t="str" cm="1">
        <f t="array" aca="1" ref="F18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54" s="2">
        <f t="shared" ca="1" si="186"/>
        <v>40.003159310113233</v>
      </c>
      <c r="H1854" s="47" t="str" cm="1">
        <f t="array" aca="1" ref="H18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55" spans="1:8" x14ac:dyDescent="0.25">
      <c r="A1855" s="2">
        <f t="shared" ca="1" si="183"/>
        <v>3.005083495695358</v>
      </c>
      <c r="B1855" s="4" cm="1">
        <f t="array" aca="1" ref="B18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855" s="2">
        <f t="shared" ca="1" si="184"/>
        <v>3.0276064798248421</v>
      </c>
      <c r="D1855" s="4" t="str" cm="1">
        <f t="array" aca="1" ref="D18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55" s="2">
        <f t="shared" ca="1" si="185"/>
        <v>30.017829566488007</v>
      </c>
      <c r="F1855" s="4" t="str" cm="1">
        <f t="array" aca="1" ref="F18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55" s="2">
        <f t="shared" ca="1" si="186"/>
        <v>40.00970753169581</v>
      </c>
      <c r="H1855" s="47" t="str" cm="1">
        <f t="array" aca="1" ref="H18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56" spans="1:8" x14ac:dyDescent="0.25">
      <c r="A1856" s="2">
        <f t="shared" ca="1" si="183"/>
        <v>3.0098529840867858</v>
      </c>
      <c r="B1856" s="4" cm="1">
        <f t="array" aca="1" ref="B18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856" s="2">
        <f t="shared" ca="1" si="184"/>
        <v>3.012550240345039</v>
      </c>
      <c r="D1856" s="4" t="str" cm="1">
        <f t="array" aca="1" ref="D18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56" s="2">
        <f t="shared" ca="1" si="185"/>
        <v>30.008036004792114</v>
      </c>
      <c r="F1856" s="4" t="str" cm="1">
        <f t="array" aca="1" ref="F18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56" s="2">
        <f t="shared" ca="1" si="186"/>
        <v>40.002004336271192</v>
      </c>
      <c r="H1856" s="47" t="str" cm="1">
        <f t="array" aca="1" ref="H18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57" spans="1:8" x14ac:dyDescent="0.25">
      <c r="A1857" s="2">
        <f t="shared" ca="1" si="183"/>
        <v>3.0085729213586792</v>
      </c>
      <c r="B1857" s="4" cm="1">
        <f t="array" aca="1" ref="B18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857" s="2">
        <f t="shared" ca="1" si="184"/>
        <v>3.0028981693931329</v>
      </c>
      <c r="D1857" s="4" t="str" cm="1">
        <f t="array" aca="1" ref="D18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57" s="2">
        <f t="shared" ca="1" si="185"/>
        <v>30.021466737446136</v>
      </c>
      <c r="F1857" s="4" t="str" cm="1">
        <f t="array" aca="1" ref="F18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57" s="2">
        <f t="shared" ca="1" si="186"/>
        <v>40.024135317073089</v>
      </c>
      <c r="H1857" s="47" t="str" cm="1">
        <f t="array" aca="1" ref="H18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58" spans="1:8" x14ac:dyDescent="0.25">
      <c r="A1858" s="2">
        <f t="shared" ref="A1858:A1921" ca="1" si="187">3+RAND()*0.01</f>
        <v>3.0022019396315374</v>
      </c>
      <c r="B1858" s="4" cm="1">
        <f t="array" aca="1" ref="B18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858" s="2">
        <f t="shared" ref="C1858:C1921" ca="1" si="188">3+RAND()*0.03</f>
        <v>3.0073523654521326</v>
      </c>
      <c r="D1858" s="4" t="str" cm="1">
        <f t="array" aca="1" ref="D18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58" s="2">
        <f t="shared" ref="E1858:E1921" ca="1" si="189">30+RAND()*0.03</f>
        <v>30.002587187766135</v>
      </c>
      <c r="F1858" s="4" t="str" cm="1">
        <f t="array" aca="1" ref="F18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58" s="2">
        <f t="shared" ref="G1858:G1921" ca="1" si="190">40+RAND()*0.03</f>
        <v>40.017033255696681</v>
      </c>
      <c r="H1858" s="47" t="str" cm="1">
        <f t="array" aca="1" ref="H18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59" spans="1:8" x14ac:dyDescent="0.25">
      <c r="A1859" s="2">
        <f t="shared" ca="1" si="187"/>
        <v>3.000342719053521</v>
      </c>
      <c r="B1859" s="4" cm="1">
        <f t="array" aca="1" ref="B18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859" s="2">
        <f t="shared" ca="1" si="188"/>
        <v>3.0240288050555151</v>
      </c>
      <c r="D1859" s="4" t="str" cm="1">
        <f t="array" aca="1" ref="D18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59" s="2">
        <f t="shared" ca="1" si="189"/>
        <v>30.006733635339486</v>
      </c>
      <c r="F1859" s="4" t="str" cm="1">
        <f t="array" aca="1" ref="F18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59" s="2">
        <f t="shared" ca="1" si="190"/>
        <v>40.013205127704872</v>
      </c>
      <c r="H1859" s="47" t="str" cm="1">
        <f t="array" aca="1" ref="H18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60" spans="1:8" x14ac:dyDescent="0.25">
      <c r="A1860" s="2">
        <f t="shared" ca="1" si="187"/>
        <v>3.0065512597898616</v>
      </c>
      <c r="B1860" s="4" cm="1">
        <f t="array" aca="1" ref="B18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60" s="2">
        <f t="shared" ca="1" si="188"/>
        <v>3.0117739143225437</v>
      </c>
      <c r="D1860" s="4" t="str" cm="1">
        <f t="array" aca="1" ref="D18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60" s="2">
        <f t="shared" ca="1" si="189"/>
        <v>30.020400494770218</v>
      </c>
      <c r="F1860" s="4" t="str" cm="1">
        <f t="array" aca="1" ref="F18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60" s="2">
        <f t="shared" ca="1" si="190"/>
        <v>40.029214887479192</v>
      </c>
      <c r="H1860" s="47" t="str" cm="1">
        <f t="array" aca="1" ref="H18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61" spans="1:8" x14ac:dyDescent="0.25">
      <c r="A1861" s="2">
        <f t="shared" ca="1" si="187"/>
        <v>3.0022246607733494</v>
      </c>
      <c r="B1861" s="4" cm="1">
        <f t="array" aca="1" ref="B18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861" s="2">
        <f t="shared" ca="1" si="188"/>
        <v>3.0268364609058076</v>
      </c>
      <c r="D1861" s="4" t="str" cm="1">
        <f t="array" aca="1" ref="D18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61" s="2">
        <f t="shared" ca="1" si="189"/>
        <v>30.022334229167839</v>
      </c>
      <c r="F1861" s="4" t="str" cm="1">
        <f t="array" aca="1" ref="F18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61" s="2">
        <f t="shared" ca="1" si="190"/>
        <v>40.021007271163604</v>
      </c>
      <c r="H1861" s="47" t="str" cm="1">
        <f t="array" aca="1" ref="H18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62" spans="1:8" x14ac:dyDescent="0.25">
      <c r="A1862" s="2">
        <f t="shared" ca="1" si="187"/>
        <v>3.0067636076962212</v>
      </c>
      <c r="B1862" s="4" cm="1">
        <f t="array" aca="1" ref="B18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62" s="2">
        <f t="shared" ca="1" si="188"/>
        <v>3.0044979000267964</v>
      </c>
      <c r="D1862" s="4" t="str" cm="1">
        <f t="array" aca="1" ref="D18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62" s="2">
        <f t="shared" ca="1" si="189"/>
        <v>30.000031258439687</v>
      </c>
      <c r="F1862" s="4" t="str" cm="1">
        <f t="array" aca="1" ref="F18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62" s="2">
        <f t="shared" ca="1" si="190"/>
        <v>40.014640187677216</v>
      </c>
      <c r="H1862" s="47" t="str" cm="1">
        <f t="array" aca="1" ref="H18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63" spans="1:8" x14ac:dyDescent="0.25">
      <c r="A1863" s="2">
        <f t="shared" ca="1" si="187"/>
        <v>3.009646264813584</v>
      </c>
      <c r="B1863" s="4" cm="1">
        <f t="array" aca="1" ref="B18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863" s="2">
        <f t="shared" ca="1" si="188"/>
        <v>3.0051571808226183</v>
      </c>
      <c r="D1863" s="4" t="str" cm="1">
        <f t="array" aca="1" ref="D18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63" s="2">
        <f t="shared" ca="1" si="189"/>
        <v>30.003710827151341</v>
      </c>
      <c r="F1863" s="4" t="str" cm="1">
        <f t="array" aca="1" ref="F18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63" s="2">
        <f t="shared" ca="1" si="190"/>
        <v>40.009398456803552</v>
      </c>
      <c r="H1863" s="47" t="str" cm="1">
        <f t="array" aca="1" ref="H18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64" spans="1:8" x14ac:dyDescent="0.25">
      <c r="A1864" s="2">
        <f t="shared" ca="1" si="187"/>
        <v>3.0067275111259404</v>
      </c>
      <c r="B1864" s="4" cm="1">
        <f t="array" aca="1" ref="B18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64" s="2">
        <f t="shared" ca="1" si="188"/>
        <v>3.0013721353273679</v>
      </c>
      <c r="D1864" s="4" t="str" cm="1">
        <f t="array" aca="1" ref="D18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64" s="2">
        <f t="shared" ca="1" si="189"/>
        <v>30.016655712289509</v>
      </c>
      <c r="F1864" s="4" t="str" cm="1">
        <f t="array" aca="1" ref="F18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64" s="2">
        <f t="shared" ca="1" si="190"/>
        <v>40.015759405455078</v>
      </c>
      <c r="H1864" s="47" t="str" cm="1">
        <f t="array" aca="1" ref="H18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65" spans="1:8" x14ac:dyDescent="0.25">
      <c r="A1865" s="2">
        <f t="shared" ca="1" si="187"/>
        <v>3.0045184838979142</v>
      </c>
      <c r="B1865" s="4" cm="1">
        <f t="array" aca="1" ref="B18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865" s="2">
        <f t="shared" ca="1" si="188"/>
        <v>3.0166166391051705</v>
      </c>
      <c r="D1865" s="4" t="str" cm="1">
        <f t="array" aca="1" ref="D18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65" s="2">
        <f t="shared" ca="1" si="189"/>
        <v>30.006967086635246</v>
      </c>
      <c r="F1865" s="4" t="str" cm="1">
        <f t="array" aca="1" ref="F18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65" s="2">
        <f t="shared" ca="1" si="190"/>
        <v>40.017456379249069</v>
      </c>
      <c r="H1865" s="47" t="str" cm="1">
        <f t="array" aca="1" ref="H18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66" spans="1:8" x14ac:dyDescent="0.25">
      <c r="A1866" s="2">
        <f t="shared" ca="1" si="187"/>
        <v>3.0075236289609597</v>
      </c>
      <c r="B1866" s="4" cm="1">
        <f t="array" aca="1" ref="B18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866" s="2">
        <f t="shared" ca="1" si="188"/>
        <v>3.0042171037401446</v>
      </c>
      <c r="D1866" s="4" t="str" cm="1">
        <f t="array" aca="1" ref="D18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66" s="2">
        <f t="shared" ca="1" si="189"/>
        <v>30.017955563247842</v>
      </c>
      <c r="F1866" s="4" t="str" cm="1">
        <f t="array" aca="1" ref="F18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66" s="2">
        <f t="shared" ca="1" si="190"/>
        <v>40.012889043019051</v>
      </c>
      <c r="H1866" s="47" t="str" cm="1">
        <f t="array" aca="1" ref="H18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67" spans="1:8" x14ac:dyDescent="0.25">
      <c r="A1867" s="2">
        <f t="shared" ca="1" si="187"/>
        <v>3.0060265224555969</v>
      </c>
      <c r="B1867" s="4" cm="1">
        <f t="array" aca="1" ref="B18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67" s="2">
        <f t="shared" ca="1" si="188"/>
        <v>3.0241178955807979</v>
      </c>
      <c r="D1867" s="4" t="str" cm="1">
        <f t="array" aca="1" ref="D18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67" s="2">
        <f t="shared" ca="1" si="189"/>
        <v>30.013578111160253</v>
      </c>
      <c r="F1867" s="4" t="str" cm="1">
        <f t="array" aca="1" ref="F18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67" s="2">
        <f t="shared" ca="1" si="190"/>
        <v>40.008955471473662</v>
      </c>
      <c r="H1867" s="47" t="str" cm="1">
        <f t="array" aca="1" ref="H18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68" spans="1:8" x14ac:dyDescent="0.25">
      <c r="A1868" s="2">
        <f t="shared" ca="1" si="187"/>
        <v>3.0018094131506512</v>
      </c>
      <c r="B1868" s="4" cm="1">
        <f t="array" aca="1" ref="B18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868" s="2">
        <f t="shared" ca="1" si="188"/>
        <v>3.0180743418969742</v>
      </c>
      <c r="D1868" s="4" t="str" cm="1">
        <f t="array" aca="1" ref="D18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68" s="2">
        <f t="shared" ca="1" si="189"/>
        <v>30.012077379204509</v>
      </c>
      <c r="F1868" s="4" t="str" cm="1">
        <f t="array" aca="1" ref="F18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68" s="2">
        <f t="shared" ca="1" si="190"/>
        <v>40.014003231989875</v>
      </c>
      <c r="H1868" s="47" t="str" cm="1">
        <f t="array" aca="1" ref="H18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69" spans="1:8" x14ac:dyDescent="0.25">
      <c r="A1869" s="2">
        <f t="shared" ca="1" si="187"/>
        <v>3.0028690895758139</v>
      </c>
      <c r="B1869" s="4" cm="1">
        <f t="array" aca="1" ref="B18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869" s="2">
        <f t="shared" ca="1" si="188"/>
        <v>3.010318520052496</v>
      </c>
      <c r="D1869" s="4" t="str" cm="1">
        <f t="array" aca="1" ref="D18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69" s="2">
        <f t="shared" ca="1" si="189"/>
        <v>30.019847298429788</v>
      </c>
      <c r="F1869" s="4" t="str" cm="1">
        <f t="array" aca="1" ref="F18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69" s="2">
        <f t="shared" ca="1" si="190"/>
        <v>40.002717797983458</v>
      </c>
      <c r="H1869" s="47" t="str" cm="1">
        <f t="array" aca="1" ref="H18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70" spans="1:8" x14ac:dyDescent="0.25">
      <c r="A1870" s="2">
        <f t="shared" ca="1" si="187"/>
        <v>3.0045194473207597</v>
      </c>
      <c r="B1870" s="4" cm="1">
        <f t="array" aca="1" ref="B18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870" s="2">
        <f t="shared" ca="1" si="188"/>
        <v>3.0094944218406927</v>
      </c>
      <c r="D1870" s="4" t="str" cm="1">
        <f t="array" aca="1" ref="D18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70" s="2">
        <f t="shared" ca="1" si="189"/>
        <v>30.018862807116196</v>
      </c>
      <c r="F1870" s="4" t="str" cm="1">
        <f t="array" aca="1" ref="F18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70" s="2">
        <f t="shared" ca="1" si="190"/>
        <v>40.015911193475333</v>
      </c>
      <c r="H1870" s="47" t="str" cm="1">
        <f t="array" aca="1" ref="H18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71" spans="1:8" x14ac:dyDescent="0.25">
      <c r="A1871" s="2">
        <f t="shared" ca="1" si="187"/>
        <v>3.0000837516272418</v>
      </c>
      <c r="B1871" s="4" cm="1">
        <f t="array" aca="1" ref="B18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871" s="2">
        <f t="shared" ca="1" si="188"/>
        <v>3.0270626453382055</v>
      </c>
      <c r="D1871" s="4" t="str" cm="1">
        <f t="array" aca="1" ref="D18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71" s="2">
        <f t="shared" ca="1" si="189"/>
        <v>30.012583499567402</v>
      </c>
      <c r="F1871" s="4" t="str" cm="1">
        <f t="array" aca="1" ref="F18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71" s="2">
        <f t="shared" ca="1" si="190"/>
        <v>40.011924628160322</v>
      </c>
      <c r="H1871" s="47" t="str" cm="1">
        <f t="array" aca="1" ref="H18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72" spans="1:8" x14ac:dyDescent="0.25">
      <c r="A1872" s="2">
        <f t="shared" ca="1" si="187"/>
        <v>3.0093095110964332</v>
      </c>
      <c r="B1872" s="4" cm="1">
        <f t="array" aca="1" ref="B18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872" s="2">
        <f t="shared" ca="1" si="188"/>
        <v>3.0106765507873634</v>
      </c>
      <c r="D1872" s="4" t="str" cm="1">
        <f t="array" aca="1" ref="D18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72" s="2">
        <f t="shared" ca="1" si="189"/>
        <v>30.019066351888174</v>
      </c>
      <c r="F1872" s="4" t="str" cm="1">
        <f t="array" aca="1" ref="F18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72" s="2">
        <f t="shared" ca="1" si="190"/>
        <v>40.013916355061745</v>
      </c>
      <c r="H1872" s="47" t="str" cm="1">
        <f t="array" aca="1" ref="H18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73" spans="1:8" x14ac:dyDescent="0.25">
      <c r="A1873" s="2">
        <f t="shared" ca="1" si="187"/>
        <v>3.0016210274909518</v>
      </c>
      <c r="B1873" s="4" cm="1">
        <f t="array" aca="1" ref="B18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873" s="2">
        <f t="shared" ca="1" si="188"/>
        <v>3.0087091323700359</v>
      </c>
      <c r="D1873" s="4" t="str" cm="1">
        <f t="array" aca="1" ref="D18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73" s="2">
        <f t="shared" ca="1" si="189"/>
        <v>30.015732686682515</v>
      </c>
      <c r="F1873" s="4" t="str" cm="1">
        <f t="array" aca="1" ref="F18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73" s="2">
        <f t="shared" ca="1" si="190"/>
        <v>40.015324556133621</v>
      </c>
      <c r="H1873" s="47" t="str" cm="1">
        <f t="array" aca="1" ref="H18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74" spans="1:8" x14ac:dyDescent="0.25">
      <c r="A1874" s="2">
        <f t="shared" ca="1" si="187"/>
        <v>3.0065089834739798</v>
      </c>
      <c r="B1874" s="4" cm="1">
        <f t="array" aca="1" ref="B18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74" s="2">
        <f t="shared" ca="1" si="188"/>
        <v>3.019981565921698</v>
      </c>
      <c r="D1874" s="4" t="str" cm="1">
        <f t="array" aca="1" ref="D18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74" s="2">
        <f t="shared" ca="1" si="189"/>
        <v>30.006262036722863</v>
      </c>
      <c r="F1874" s="4" t="str" cm="1">
        <f t="array" aca="1" ref="F18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74" s="2">
        <f t="shared" ca="1" si="190"/>
        <v>40.001537590141851</v>
      </c>
      <c r="H1874" s="47" t="str" cm="1">
        <f t="array" aca="1" ref="H18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75" spans="1:8" x14ac:dyDescent="0.25">
      <c r="A1875" s="2">
        <f t="shared" ca="1" si="187"/>
        <v>3.0089441218025392</v>
      </c>
      <c r="B1875" s="4" cm="1">
        <f t="array" aca="1" ref="B18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875" s="2">
        <f t="shared" ca="1" si="188"/>
        <v>3.0131153291217725</v>
      </c>
      <c r="D1875" s="4" t="str" cm="1">
        <f t="array" aca="1" ref="D18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75" s="2">
        <f t="shared" ca="1" si="189"/>
        <v>30.025930306442426</v>
      </c>
      <c r="F1875" s="4" t="str" cm="1">
        <f t="array" aca="1" ref="F18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75" s="2">
        <f t="shared" ca="1" si="190"/>
        <v>40.027877855739192</v>
      </c>
      <c r="H1875" s="47" t="str" cm="1">
        <f t="array" aca="1" ref="H18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76" spans="1:8" x14ac:dyDescent="0.25">
      <c r="A1876" s="2">
        <f t="shared" ca="1" si="187"/>
        <v>3.0000789254980984</v>
      </c>
      <c r="B1876" s="4" cm="1">
        <f t="array" aca="1" ref="B18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876" s="2">
        <f t="shared" ca="1" si="188"/>
        <v>3.0048180282993129</v>
      </c>
      <c r="D1876" s="4" t="str" cm="1">
        <f t="array" aca="1" ref="D18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76" s="2">
        <f t="shared" ca="1" si="189"/>
        <v>30.028616426699532</v>
      </c>
      <c r="F1876" s="4" t="str" cm="1">
        <f t="array" aca="1" ref="F18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76" s="2">
        <f t="shared" ca="1" si="190"/>
        <v>40.011420460458211</v>
      </c>
      <c r="H1876" s="47" t="str" cm="1">
        <f t="array" aca="1" ref="H18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77" spans="1:8" x14ac:dyDescent="0.25">
      <c r="A1877" s="2">
        <f t="shared" ca="1" si="187"/>
        <v>3.0063957388922447</v>
      </c>
      <c r="B1877" s="4" cm="1">
        <f t="array" aca="1" ref="B18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77" s="2">
        <f t="shared" ca="1" si="188"/>
        <v>3.0295007935015992</v>
      </c>
      <c r="D1877" s="4" t="str" cm="1">
        <f t="array" aca="1" ref="D18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77" s="2">
        <f t="shared" ca="1" si="189"/>
        <v>30.003462896129328</v>
      </c>
      <c r="F1877" s="4" t="str" cm="1">
        <f t="array" aca="1" ref="F18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77" s="2">
        <f t="shared" ca="1" si="190"/>
        <v>40.011063916639728</v>
      </c>
      <c r="H1877" s="47" t="str" cm="1">
        <f t="array" aca="1" ref="H18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78" spans="1:8" x14ac:dyDescent="0.25">
      <c r="A1878" s="2">
        <f t="shared" ca="1" si="187"/>
        <v>3.0060382487616035</v>
      </c>
      <c r="B1878" s="4" cm="1">
        <f t="array" aca="1" ref="B18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78" s="2">
        <f t="shared" ca="1" si="188"/>
        <v>3.0270223393061224</v>
      </c>
      <c r="D1878" s="4" t="str" cm="1">
        <f t="array" aca="1" ref="D18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78" s="2">
        <f t="shared" ca="1" si="189"/>
        <v>30.01638776826907</v>
      </c>
      <c r="F1878" s="4" t="str" cm="1">
        <f t="array" aca="1" ref="F18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78" s="2">
        <f t="shared" ca="1" si="190"/>
        <v>40.012498986484545</v>
      </c>
      <c r="H1878" s="47" t="str" cm="1">
        <f t="array" aca="1" ref="H18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79" spans="1:8" x14ac:dyDescent="0.25">
      <c r="A1879" s="2">
        <f t="shared" ca="1" si="187"/>
        <v>3.008275676839788</v>
      </c>
      <c r="B1879" s="4" cm="1">
        <f t="array" aca="1" ref="B18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879" s="2">
        <f t="shared" ca="1" si="188"/>
        <v>3.0218095927945234</v>
      </c>
      <c r="D1879" s="4" t="str" cm="1">
        <f t="array" aca="1" ref="D18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79" s="2">
        <f t="shared" ca="1" si="189"/>
        <v>30.000030526494619</v>
      </c>
      <c r="F1879" s="4" t="str" cm="1">
        <f t="array" aca="1" ref="F18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79" s="2">
        <f t="shared" ca="1" si="190"/>
        <v>40.027006042890697</v>
      </c>
      <c r="H1879" s="47" t="str" cm="1">
        <f t="array" aca="1" ref="H18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80" spans="1:8" x14ac:dyDescent="0.25">
      <c r="A1880" s="2">
        <f t="shared" ca="1" si="187"/>
        <v>3.0092784278860996</v>
      </c>
      <c r="B1880" s="4" cm="1">
        <f t="array" aca="1" ref="B18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880" s="2">
        <f t="shared" ca="1" si="188"/>
        <v>3.020820611856438</v>
      </c>
      <c r="D1880" s="4" t="str" cm="1">
        <f t="array" aca="1" ref="D18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80" s="2">
        <f t="shared" ca="1" si="189"/>
        <v>30.004969717876815</v>
      </c>
      <c r="F1880" s="4" t="str" cm="1">
        <f t="array" aca="1" ref="F18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80" s="2">
        <f t="shared" ca="1" si="190"/>
        <v>40.02976808677694</v>
      </c>
      <c r="H1880" s="47" t="str" cm="1">
        <f t="array" aca="1" ref="H18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81" spans="1:8" x14ac:dyDescent="0.25">
      <c r="A1881" s="2">
        <f t="shared" ca="1" si="187"/>
        <v>3.0088720456070219</v>
      </c>
      <c r="B1881" s="4" cm="1">
        <f t="array" aca="1" ref="B18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881" s="2">
        <f t="shared" ca="1" si="188"/>
        <v>3.0240174888322753</v>
      </c>
      <c r="D1881" s="4" t="str" cm="1">
        <f t="array" aca="1" ref="D18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81" s="2">
        <f t="shared" ca="1" si="189"/>
        <v>30.022008897245371</v>
      </c>
      <c r="F1881" s="4" t="str" cm="1">
        <f t="array" aca="1" ref="F18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81" s="2">
        <f t="shared" ca="1" si="190"/>
        <v>40.004465043518813</v>
      </c>
      <c r="H1881" s="47" t="str" cm="1">
        <f t="array" aca="1" ref="H18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82" spans="1:8" x14ac:dyDescent="0.25">
      <c r="A1882" s="2">
        <f t="shared" ca="1" si="187"/>
        <v>3.0098420873081659</v>
      </c>
      <c r="B1882" s="4" cm="1">
        <f t="array" aca="1" ref="B18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882" s="2">
        <f t="shared" ca="1" si="188"/>
        <v>3.0245931509933923</v>
      </c>
      <c r="D1882" s="4" t="str" cm="1">
        <f t="array" aca="1" ref="D18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82" s="2">
        <f t="shared" ca="1" si="189"/>
        <v>30.013159475891271</v>
      </c>
      <c r="F1882" s="4" t="str" cm="1">
        <f t="array" aca="1" ref="F18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82" s="2">
        <f t="shared" ca="1" si="190"/>
        <v>40.001769519244966</v>
      </c>
      <c r="H1882" s="47" t="str" cm="1">
        <f t="array" aca="1" ref="H18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83" spans="1:8" x14ac:dyDescent="0.25">
      <c r="A1883" s="2">
        <f t="shared" ca="1" si="187"/>
        <v>3.0082159450756794</v>
      </c>
      <c r="B1883" s="4" cm="1">
        <f t="array" aca="1" ref="B18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883" s="2">
        <f t="shared" ca="1" si="188"/>
        <v>3.0249260658024042</v>
      </c>
      <c r="D1883" s="4" t="str" cm="1">
        <f t="array" aca="1" ref="D18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83" s="2">
        <f t="shared" ca="1" si="189"/>
        <v>30.01594159008112</v>
      </c>
      <c r="F1883" s="4" t="str" cm="1">
        <f t="array" aca="1" ref="F18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83" s="2">
        <f t="shared" ca="1" si="190"/>
        <v>40.008934075489471</v>
      </c>
      <c r="H1883" s="47" t="str" cm="1">
        <f t="array" aca="1" ref="H18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84" spans="1:8" x14ac:dyDescent="0.25">
      <c r="A1884" s="2">
        <f t="shared" ca="1" si="187"/>
        <v>3.006427931183663</v>
      </c>
      <c r="B1884" s="4" cm="1">
        <f t="array" aca="1" ref="B18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84" s="2">
        <f t="shared" ca="1" si="188"/>
        <v>3.0030208799156344</v>
      </c>
      <c r="D1884" s="4" t="str" cm="1">
        <f t="array" aca="1" ref="D18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84" s="2">
        <f t="shared" ca="1" si="189"/>
        <v>30.010214996869955</v>
      </c>
      <c r="F1884" s="4" t="str" cm="1">
        <f t="array" aca="1" ref="F18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84" s="2">
        <f t="shared" ca="1" si="190"/>
        <v>40.025716219168324</v>
      </c>
      <c r="H1884" s="47" t="str" cm="1">
        <f t="array" aca="1" ref="H18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85" spans="1:8" x14ac:dyDescent="0.25">
      <c r="A1885" s="2">
        <f t="shared" ca="1" si="187"/>
        <v>3.0023797775072687</v>
      </c>
      <c r="B1885" s="4" cm="1">
        <f t="array" aca="1" ref="B18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885" s="2">
        <f t="shared" ca="1" si="188"/>
        <v>3.0202796615493175</v>
      </c>
      <c r="D1885" s="4" t="str" cm="1">
        <f t="array" aca="1" ref="D18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85" s="2">
        <f t="shared" ca="1" si="189"/>
        <v>30.002155593459491</v>
      </c>
      <c r="F1885" s="4" t="str" cm="1">
        <f t="array" aca="1" ref="F18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85" s="2">
        <f t="shared" ca="1" si="190"/>
        <v>40.016928226782042</v>
      </c>
      <c r="H1885" s="47" t="str" cm="1">
        <f t="array" aca="1" ref="H18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86" spans="1:8" x14ac:dyDescent="0.25">
      <c r="A1886" s="2">
        <f t="shared" ca="1" si="187"/>
        <v>3.0072549267842867</v>
      </c>
      <c r="B1886" s="4" cm="1">
        <f t="array" aca="1" ref="B18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886" s="2">
        <f t="shared" ca="1" si="188"/>
        <v>3.0083684620106697</v>
      </c>
      <c r="D1886" s="4" t="str" cm="1">
        <f t="array" aca="1" ref="D18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86" s="2">
        <f t="shared" ca="1" si="189"/>
        <v>30.01823085176391</v>
      </c>
      <c r="F1886" s="4" t="str" cm="1">
        <f t="array" aca="1" ref="F18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86" s="2">
        <f t="shared" ca="1" si="190"/>
        <v>40.005721168486254</v>
      </c>
      <c r="H1886" s="47" t="str" cm="1">
        <f t="array" aca="1" ref="H18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87" spans="1:8" x14ac:dyDescent="0.25">
      <c r="A1887" s="2">
        <f t="shared" ca="1" si="187"/>
        <v>3.0044785324868855</v>
      </c>
      <c r="B1887" s="4" cm="1">
        <f t="array" aca="1" ref="B18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887" s="2">
        <f t="shared" ca="1" si="188"/>
        <v>3.0173889324141658</v>
      </c>
      <c r="D1887" s="4" t="str" cm="1">
        <f t="array" aca="1" ref="D18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87" s="2">
        <f t="shared" ca="1" si="189"/>
        <v>30.013072549106994</v>
      </c>
      <c r="F1887" s="4" t="str" cm="1">
        <f t="array" aca="1" ref="F18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87" s="2">
        <f t="shared" ca="1" si="190"/>
        <v>40.016939594711488</v>
      </c>
      <c r="H1887" s="47" t="str" cm="1">
        <f t="array" aca="1" ref="H18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88" spans="1:8" x14ac:dyDescent="0.25">
      <c r="A1888" s="2">
        <f t="shared" ca="1" si="187"/>
        <v>3.0046050541873699</v>
      </c>
      <c r="B1888" s="4" cm="1">
        <f t="array" aca="1" ref="B18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888" s="2">
        <f t="shared" ca="1" si="188"/>
        <v>3.0117283736896305</v>
      </c>
      <c r="D1888" s="4" t="str" cm="1">
        <f t="array" aca="1" ref="D18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88" s="2">
        <f t="shared" ca="1" si="189"/>
        <v>30.023941437788562</v>
      </c>
      <c r="F1888" s="4" t="str" cm="1">
        <f t="array" aca="1" ref="F18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88" s="2">
        <f t="shared" ca="1" si="190"/>
        <v>40.017818106760302</v>
      </c>
      <c r="H1888" s="47" t="str" cm="1">
        <f t="array" aca="1" ref="H18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89" spans="1:8" x14ac:dyDescent="0.25">
      <c r="A1889" s="2">
        <f t="shared" ca="1" si="187"/>
        <v>3.0092464006240438</v>
      </c>
      <c r="B1889" s="4" cm="1">
        <f t="array" aca="1" ref="B18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889" s="2">
        <f t="shared" ca="1" si="188"/>
        <v>3.0141264709501669</v>
      </c>
      <c r="D1889" s="4" t="str" cm="1">
        <f t="array" aca="1" ref="D18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89" s="2">
        <f t="shared" ca="1" si="189"/>
        <v>30.021264009869203</v>
      </c>
      <c r="F1889" s="4" t="str" cm="1">
        <f t="array" aca="1" ref="F18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89" s="2">
        <f t="shared" ca="1" si="190"/>
        <v>40.015471216739215</v>
      </c>
      <c r="H1889" s="47" t="str" cm="1">
        <f t="array" aca="1" ref="H18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90" spans="1:8" x14ac:dyDescent="0.25">
      <c r="A1890" s="2">
        <f t="shared" ca="1" si="187"/>
        <v>3.0056613993881132</v>
      </c>
      <c r="B1890" s="4" cm="1">
        <f t="array" aca="1" ref="B18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890" s="2">
        <f t="shared" ca="1" si="188"/>
        <v>3.0072009447146697</v>
      </c>
      <c r="D1890" s="4" t="str" cm="1">
        <f t="array" aca="1" ref="D18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90" s="2">
        <f t="shared" ca="1" si="189"/>
        <v>30.015187048343499</v>
      </c>
      <c r="F1890" s="4" t="str" cm="1">
        <f t="array" aca="1" ref="F18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90" s="2">
        <f t="shared" ca="1" si="190"/>
        <v>40.00885439634817</v>
      </c>
      <c r="H1890" s="47" t="str" cm="1">
        <f t="array" aca="1" ref="H18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91" spans="1:8" x14ac:dyDescent="0.25">
      <c r="A1891" s="2">
        <f t="shared" ca="1" si="187"/>
        <v>3.0012479315145724</v>
      </c>
      <c r="B1891" s="4" cm="1">
        <f t="array" aca="1" ref="B18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891" s="2">
        <f t="shared" ca="1" si="188"/>
        <v>3.0222303755376365</v>
      </c>
      <c r="D1891" s="4" t="str" cm="1">
        <f t="array" aca="1" ref="D18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91" s="2">
        <f t="shared" ca="1" si="189"/>
        <v>30.014721391685466</v>
      </c>
      <c r="F1891" s="4" t="str" cm="1">
        <f t="array" aca="1" ref="F18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91" s="2">
        <f t="shared" ca="1" si="190"/>
        <v>40.01465551576711</v>
      </c>
      <c r="H1891" s="47" t="str" cm="1">
        <f t="array" aca="1" ref="H18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92" spans="1:8" x14ac:dyDescent="0.25">
      <c r="A1892" s="2">
        <f t="shared" ca="1" si="187"/>
        <v>3.0055667100893255</v>
      </c>
      <c r="B1892" s="4" cm="1">
        <f t="array" aca="1" ref="B18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892" s="2">
        <f t="shared" ca="1" si="188"/>
        <v>3.0287657416346847</v>
      </c>
      <c r="D1892" s="4" t="str" cm="1">
        <f t="array" aca="1" ref="D18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92" s="2">
        <f t="shared" ca="1" si="189"/>
        <v>30.019662999535363</v>
      </c>
      <c r="F1892" s="4" t="str" cm="1">
        <f t="array" aca="1" ref="F18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92" s="2">
        <f t="shared" ca="1" si="190"/>
        <v>40.01243869183417</v>
      </c>
      <c r="H1892" s="47" t="str" cm="1">
        <f t="array" aca="1" ref="H18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93" spans="1:8" x14ac:dyDescent="0.25">
      <c r="A1893" s="2">
        <f t="shared" ca="1" si="187"/>
        <v>3.0080895858246728</v>
      </c>
      <c r="B1893" s="4" cm="1">
        <f t="array" aca="1" ref="B18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893" s="2">
        <f t="shared" ca="1" si="188"/>
        <v>3.0147077534722477</v>
      </c>
      <c r="D1893" s="4" t="str" cm="1">
        <f t="array" aca="1" ref="D18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93" s="2">
        <f t="shared" ca="1" si="189"/>
        <v>30.024843834056934</v>
      </c>
      <c r="F1893" s="4" t="str" cm="1">
        <f t="array" aca="1" ref="F18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93" s="2">
        <f t="shared" ca="1" si="190"/>
        <v>40.02785910722605</v>
      </c>
      <c r="H1893" s="47" t="str" cm="1">
        <f t="array" aca="1" ref="H18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94" spans="1:8" x14ac:dyDescent="0.25">
      <c r="A1894" s="2">
        <f t="shared" ca="1" si="187"/>
        <v>3.0072213360405806</v>
      </c>
      <c r="B1894" s="4" cm="1">
        <f t="array" aca="1" ref="B18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894" s="2">
        <f t="shared" ca="1" si="188"/>
        <v>3.0101770604826572</v>
      </c>
      <c r="D1894" s="4" t="str" cm="1">
        <f t="array" aca="1" ref="D18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94" s="2">
        <f t="shared" ca="1" si="189"/>
        <v>30.000087392023556</v>
      </c>
      <c r="F1894" s="4" t="str" cm="1">
        <f t="array" aca="1" ref="F18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94" s="2">
        <f t="shared" ca="1" si="190"/>
        <v>40.008579384572322</v>
      </c>
      <c r="H1894" s="47" t="str" cm="1">
        <f t="array" aca="1" ref="H18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95" spans="1:8" x14ac:dyDescent="0.25">
      <c r="A1895" s="2">
        <f t="shared" ca="1" si="187"/>
        <v>3.00551869438344</v>
      </c>
      <c r="B1895" s="4" cm="1">
        <f t="array" aca="1" ref="B18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895" s="2">
        <f t="shared" ca="1" si="188"/>
        <v>3.0201220354531864</v>
      </c>
      <c r="D1895" s="4" t="str" cm="1">
        <f t="array" aca="1" ref="D18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95" s="2">
        <f t="shared" ca="1" si="189"/>
        <v>30.004540246107307</v>
      </c>
      <c r="F1895" s="4" t="str" cm="1">
        <f t="array" aca="1" ref="F18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95" s="2">
        <f t="shared" ca="1" si="190"/>
        <v>40.027074719715117</v>
      </c>
      <c r="H1895" s="47" t="str" cm="1">
        <f t="array" aca="1" ref="H18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96" spans="1:8" x14ac:dyDescent="0.25">
      <c r="A1896" s="2">
        <f t="shared" ca="1" si="187"/>
        <v>3.0061173648111374</v>
      </c>
      <c r="B1896" s="4" cm="1">
        <f t="array" aca="1" ref="B18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896" s="2">
        <f t="shared" ca="1" si="188"/>
        <v>3.0287505031482276</v>
      </c>
      <c r="D1896" s="4" t="str" cm="1">
        <f t="array" aca="1" ref="D18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896" s="2">
        <f t="shared" ca="1" si="189"/>
        <v>30.015564685836022</v>
      </c>
      <c r="F1896" s="4" t="str" cm="1">
        <f t="array" aca="1" ref="F18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896" s="2">
        <f t="shared" ca="1" si="190"/>
        <v>40.0134087036488</v>
      </c>
      <c r="H1896" s="47" t="str" cm="1">
        <f t="array" aca="1" ref="H18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897" spans="1:8" x14ac:dyDescent="0.25">
      <c r="A1897" s="2">
        <f t="shared" ca="1" si="187"/>
        <v>3.0017252504207446</v>
      </c>
      <c r="B1897" s="4" cm="1">
        <f t="array" aca="1" ref="B18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897" s="2">
        <f t="shared" ca="1" si="188"/>
        <v>3.0094492139482183</v>
      </c>
      <c r="D1897" s="4" t="str" cm="1">
        <f t="array" aca="1" ref="D18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97" s="2">
        <f t="shared" ca="1" si="189"/>
        <v>30.023296457386778</v>
      </c>
      <c r="F1897" s="4" t="str" cm="1">
        <f t="array" aca="1" ref="F18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97" s="2">
        <f t="shared" ca="1" si="190"/>
        <v>40.00604429810781</v>
      </c>
      <c r="H1897" s="47" t="str" cm="1">
        <f t="array" aca="1" ref="H18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898" spans="1:8" x14ac:dyDescent="0.25">
      <c r="A1898" s="2">
        <f t="shared" ca="1" si="187"/>
        <v>3.0036293977707307</v>
      </c>
      <c r="B1898" s="4" cm="1">
        <f t="array" aca="1" ref="B18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898" s="2">
        <f t="shared" ca="1" si="188"/>
        <v>3.0085625787092827</v>
      </c>
      <c r="D1898" s="4" t="str" cm="1">
        <f t="array" aca="1" ref="D18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898" s="2">
        <f t="shared" ca="1" si="189"/>
        <v>30.005376461183008</v>
      </c>
      <c r="F1898" s="4" t="str" cm="1">
        <f t="array" aca="1" ref="F18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898" s="2">
        <f t="shared" ca="1" si="190"/>
        <v>40.022051724802544</v>
      </c>
      <c r="H1898" s="47" t="str" cm="1">
        <f t="array" aca="1" ref="H18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899" spans="1:8" x14ac:dyDescent="0.25">
      <c r="A1899" s="2">
        <f t="shared" ca="1" si="187"/>
        <v>3.0076850787014155</v>
      </c>
      <c r="B1899" s="4" cm="1">
        <f t="array" aca="1" ref="B18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899" s="2">
        <f t="shared" ca="1" si="188"/>
        <v>3.0117586875662385</v>
      </c>
      <c r="D1899" s="4" t="str" cm="1">
        <f t="array" aca="1" ref="D18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899" s="2">
        <f t="shared" ca="1" si="189"/>
        <v>30.020235885859734</v>
      </c>
      <c r="F1899" s="4" t="str" cm="1">
        <f t="array" aca="1" ref="F18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899" s="2">
        <f t="shared" ca="1" si="190"/>
        <v>40.004929690262948</v>
      </c>
      <c r="H1899" s="47" t="str" cm="1">
        <f t="array" aca="1" ref="H18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00" spans="1:8" x14ac:dyDescent="0.25">
      <c r="A1900" s="2">
        <f t="shared" ca="1" si="187"/>
        <v>3.0066443913086172</v>
      </c>
      <c r="B1900" s="4" cm="1">
        <f t="array" aca="1" ref="B19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900" s="2">
        <f t="shared" ca="1" si="188"/>
        <v>3.0215629770582879</v>
      </c>
      <c r="D1900" s="4" t="str" cm="1">
        <f t="array" aca="1" ref="D19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00" s="2">
        <f t="shared" ca="1" si="189"/>
        <v>30.009973322422084</v>
      </c>
      <c r="F1900" s="4" t="str" cm="1">
        <f t="array" aca="1" ref="F19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00" s="2">
        <f t="shared" ca="1" si="190"/>
        <v>40.028493670610757</v>
      </c>
      <c r="H1900" s="47" t="str" cm="1">
        <f t="array" aca="1" ref="H19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01" spans="1:8" x14ac:dyDescent="0.25">
      <c r="A1901" s="2">
        <f t="shared" ca="1" si="187"/>
        <v>3.0004469523954791</v>
      </c>
      <c r="B1901" s="4" cm="1">
        <f t="array" aca="1" ref="B19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901" s="2">
        <f t="shared" ca="1" si="188"/>
        <v>3.0168559378285842</v>
      </c>
      <c r="D1901" s="4" t="str" cm="1">
        <f t="array" aca="1" ref="D19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01" s="2">
        <f t="shared" ca="1" si="189"/>
        <v>30.019523184889717</v>
      </c>
      <c r="F1901" s="4" t="str" cm="1">
        <f t="array" aca="1" ref="F19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01" s="2">
        <f t="shared" ca="1" si="190"/>
        <v>40.025463382146484</v>
      </c>
      <c r="H1901" s="47" t="str" cm="1">
        <f t="array" aca="1" ref="H19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02" spans="1:8" x14ac:dyDescent="0.25">
      <c r="A1902" s="2">
        <f t="shared" ca="1" si="187"/>
        <v>3.0003070831588379</v>
      </c>
      <c r="B1902" s="4" cm="1">
        <f t="array" aca="1" ref="B190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902" s="2">
        <f t="shared" ca="1" si="188"/>
        <v>3.019965525074507</v>
      </c>
      <c r="D1902" s="4" t="str" cm="1">
        <f t="array" aca="1" ref="D190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02" s="2">
        <f t="shared" ca="1" si="189"/>
        <v>30.01270684430326</v>
      </c>
      <c r="F1902" s="4" t="str" cm="1">
        <f t="array" aca="1" ref="F190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02" s="2">
        <f t="shared" ca="1" si="190"/>
        <v>40.003948781774255</v>
      </c>
      <c r="H1902" s="47" t="str" cm="1">
        <f t="array" aca="1" ref="H190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03" spans="1:8" x14ac:dyDescent="0.25">
      <c r="A1903" s="2">
        <f t="shared" ca="1" si="187"/>
        <v>3.000419678241725</v>
      </c>
      <c r="B1903" s="4" cm="1">
        <f t="array" aca="1" ref="B190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903" s="2">
        <f t="shared" ca="1" si="188"/>
        <v>3.0189505456981429</v>
      </c>
      <c r="D1903" s="4" t="str" cm="1">
        <f t="array" aca="1" ref="D190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03" s="2">
        <f t="shared" ca="1" si="189"/>
        <v>30.022228931964637</v>
      </c>
      <c r="F1903" s="4" t="str" cm="1">
        <f t="array" aca="1" ref="F190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03" s="2">
        <f t="shared" ca="1" si="190"/>
        <v>40.024034711415638</v>
      </c>
      <c r="H1903" s="47" t="str" cm="1">
        <f t="array" aca="1" ref="H190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04" spans="1:8" x14ac:dyDescent="0.25">
      <c r="A1904" s="2">
        <f t="shared" ca="1" si="187"/>
        <v>3.0050911976134613</v>
      </c>
      <c r="B1904" s="4" cm="1">
        <f t="array" aca="1" ref="B190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904" s="2">
        <f t="shared" ca="1" si="188"/>
        <v>3.018153747801807</v>
      </c>
      <c r="D1904" s="4" t="str" cm="1">
        <f t="array" aca="1" ref="D190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04" s="2">
        <f t="shared" ca="1" si="189"/>
        <v>30.011090072595461</v>
      </c>
      <c r="F1904" s="4" t="str" cm="1">
        <f t="array" aca="1" ref="F190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04" s="2">
        <f t="shared" ca="1" si="190"/>
        <v>40.009377102777826</v>
      </c>
      <c r="H1904" s="47" t="str" cm="1">
        <f t="array" aca="1" ref="H190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05" spans="1:8" x14ac:dyDescent="0.25">
      <c r="A1905" s="2">
        <f t="shared" ca="1" si="187"/>
        <v>3.0067633656193391</v>
      </c>
      <c r="B1905" s="4" cm="1">
        <f t="array" aca="1" ref="B190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905" s="2">
        <f t="shared" ca="1" si="188"/>
        <v>3.0202131191235928</v>
      </c>
      <c r="D1905" s="4" t="str" cm="1">
        <f t="array" aca="1" ref="D190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05" s="2">
        <f t="shared" ca="1" si="189"/>
        <v>30.028900415259354</v>
      </c>
      <c r="F1905" s="4" t="str" cm="1">
        <f t="array" aca="1" ref="F190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05" s="2">
        <f t="shared" ca="1" si="190"/>
        <v>40.028447663362158</v>
      </c>
      <c r="H1905" s="47" t="str" cm="1">
        <f t="array" aca="1" ref="H190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06" spans="1:8" x14ac:dyDescent="0.25">
      <c r="A1906" s="2">
        <f t="shared" ca="1" si="187"/>
        <v>3.0083884708778474</v>
      </c>
      <c r="B1906" s="4" cm="1">
        <f t="array" aca="1" ref="B190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906" s="2">
        <f t="shared" ca="1" si="188"/>
        <v>3.0163758358727124</v>
      </c>
      <c r="D1906" s="4" t="str" cm="1">
        <f t="array" aca="1" ref="D190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06" s="2">
        <f t="shared" ca="1" si="189"/>
        <v>30.01006449095259</v>
      </c>
      <c r="F1906" s="4" t="str" cm="1">
        <f t="array" aca="1" ref="F190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06" s="2">
        <f t="shared" ca="1" si="190"/>
        <v>40.004376315167001</v>
      </c>
      <c r="H1906" s="47" t="str" cm="1">
        <f t="array" aca="1" ref="H190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07" spans="1:8" x14ac:dyDescent="0.25">
      <c r="A1907" s="2">
        <f t="shared" ca="1" si="187"/>
        <v>3.0060163953873236</v>
      </c>
      <c r="B1907" s="4" cm="1">
        <f t="array" aca="1" ref="B190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907" s="2">
        <f t="shared" ca="1" si="188"/>
        <v>3.0155096275233082</v>
      </c>
      <c r="D1907" s="4" t="str" cm="1">
        <f t="array" aca="1" ref="D190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07" s="2">
        <f t="shared" ca="1" si="189"/>
        <v>30.028087516273093</v>
      </c>
      <c r="F1907" s="4" t="str" cm="1">
        <f t="array" aca="1" ref="F190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07" s="2">
        <f t="shared" ca="1" si="190"/>
        <v>40.001476596054644</v>
      </c>
      <c r="H1907" s="47" t="str" cm="1">
        <f t="array" aca="1" ref="H190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08" spans="1:8" x14ac:dyDescent="0.25">
      <c r="A1908" s="2">
        <f t="shared" ca="1" si="187"/>
        <v>3.0050102375118857</v>
      </c>
      <c r="B1908" s="4" cm="1">
        <f t="array" aca="1" ref="B190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908" s="2">
        <f t="shared" ca="1" si="188"/>
        <v>3.0280855648659362</v>
      </c>
      <c r="D1908" s="4" t="str" cm="1">
        <f t="array" aca="1" ref="D190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08" s="2">
        <f t="shared" ca="1" si="189"/>
        <v>30.008286581681332</v>
      </c>
      <c r="F1908" s="4" t="str" cm="1">
        <f t="array" aca="1" ref="F190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08" s="2">
        <f t="shared" ca="1" si="190"/>
        <v>40.002910914454787</v>
      </c>
      <c r="H1908" s="47" t="str" cm="1">
        <f t="array" aca="1" ref="H190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09" spans="1:8" x14ac:dyDescent="0.25">
      <c r="A1909" s="2">
        <f t="shared" ca="1" si="187"/>
        <v>3.0033652231551118</v>
      </c>
      <c r="B1909" s="4" cm="1">
        <f t="array" aca="1" ref="B190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909" s="2">
        <f t="shared" ca="1" si="188"/>
        <v>3.0224264760069581</v>
      </c>
      <c r="D1909" s="4" t="str" cm="1">
        <f t="array" aca="1" ref="D190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09" s="2">
        <f t="shared" ca="1" si="189"/>
        <v>30.013698116525465</v>
      </c>
      <c r="F1909" s="4" t="str" cm="1">
        <f t="array" aca="1" ref="F190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09" s="2">
        <f t="shared" ca="1" si="190"/>
        <v>40.026710641416337</v>
      </c>
      <c r="H1909" s="47" t="str" cm="1">
        <f t="array" aca="1" ref="H190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10" spans="1:8" x14ac:dyDescent="0.25">
      <c r="A1910" s="2">
        <f t="shared" ca="1" si="187"/>
        <v>3.0089097890780625</v>
      </c>
      <c r="B1910" s="4" cm="1">
        <f t="array" aca="1" ref="B191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910" s="2">
        <f t="shared" ca="1" si="188"/>
        <v>3.0266475979590663</v>
      </c>
      <c r="D1910" s="4" t="str" cm="1">
        <f t="array" aca="1" ref="D191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10" s="2">
        <f t="shared" ca="1" si="189"/>
        <v>30.018597905354493</v>
      </c>
      <c r="F1910" s="4" t="str" cm="1">
        <f t="array" aca="1" ref="F191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10" s="2">
        <f t="shared" ca="1" si="190"/>
        <v>40.020898079138604</v>
      </c>
      <c r="H1910" s="47" t="str" cm="1">
        <f t="array" aca="1" ref="H191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11" spans="1:8" x14ac:dyDescent="0.25">
      <c r="A1911" s="2">
        <f t="shared" ca="1" si="187"/>
        <v>3.0012642898087361</v>
      </c>
      <c r="B1911" s="4" cm="1">
        <f t="array" aca="1" ref="B191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911" s="2">
        <f t="shared" ca="1" si="188"/>
        <v>3.0020076116924717</v>
      </c>
      <c r="D1911" s="4" t="str" cm="1">
        <f t="array" aca="1" ref="D191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11" s="2">
        <f t="shared" ca="1" si="189"/>
        <v>30.004040789454038</v>
      </c>
      <c r="F1911" s="4" t="str" cm="1">
        <f t="array" aca="1" ref="F191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11" s="2">
        <f t="shared" ca="1" si="190"/>
        <v>40.006955226731534</v>
      </c>
      <c r="H1911" s="47" t="str" cm="1">
        <f t="array" aca="1" ref="H191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12" spans="1:8" x14ac:dyDescent="0.25">
      <c r="A1912" s="2">
        <f t="shared" ca="1" si="187"/>
        <v>3.005083986245678</v>
      </c>
      <c r="B1912" s="4" cm="1">
        <f t="array" aca="1" ref="B191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912" s="2">
        <f t="shared" ca="1" si="188"/>
        <v>3.0023244905810387</v>
      </c>
      <c r="D1912" s="4" t="str" cm="1">
        <f t="array" aca="1" ref="D191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12" s="2">
        <f t="shared" ca="1" si="189"/>
        <v>30.020392961103813</v>
      </c>
      <c r="F1912" s="4" t="str" cm="1">
        <f t="array" aca="1" ref="F191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12" s="2">
        <f t="shared" ca="1" si="190"/>
        <v>40.011695668420259</v>
      </c>
      <c r="H1912" s="47" t="str" cm="1">
        <f t="array" aca="1" ref="H191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13" spans="1:8" x14ac:dyDescent="0.25">
      <c r="A1913" s="2">
        <f t="shared" ca="1" si="187"/>
        <v>3.0095281191952141</v>
      </c>
      <c r="B1913" s="4" cm="1">
        <f t="array" aca="1" ref="B191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913" s="2">
        <f t="shared" ca="1" si="188"/>
        <v>3.014635424457905</v>
      </c>
      <c r="D1913" s="4" t="str" cm="1">
        <f t="array" aca="1" ref="D191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13" s="2">
        <f t="shared" ca="1" si="189"/>
        <v>30.005709784715307</v>
      </c>
      <c r="F1913" s="4" t="str" cm="1">
        <f t="array" aca="1" ref="F191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13" s="2">
        <f t="shared" ca="1" si="190"/>
        <v>40.00671044811169</v>
      </c>
      <c r="H1913" s="47" t="str" cm="1">
        <f t="array" aca="1" ref="H191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14" spans="1:8" x14ac:dyDescent="0.25">
      <c r="A1914" s="2">
        <f t="shared" ca="1" si="187"/>
        <v>3.0007688318164631</v>
      </c>
      <c r="B1914" s="4" cm="1">
        <f t="array" aca="1" ref="B191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914" s="2">
        <f t="shared" ca="1" si="188"/>
        <v>3.0192930081459259</v>
      </c>
      <c r="D1914" s="4" t="str" cm="1">
        <f t="array" aca="1" ref="D191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14" s="2">
        <f t="shared" ca="1" si="189"/>
        <v>30.013539417429165</v>
      </c>
      <c r="F1914" s="4" t="str" cm="1">
        <f t="array" aca="1" ref="F191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14" s="2">
        <f t="shared" ca="1" si="190"/>
        <v>40.020720346974478</v>
      </c>
      <c r="H1914" s="47" t="str" cm="1">
        <f t="array" aca="1" ref="H191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15" spans="1:8" x14ac:dyDescent="0.25">
      <c r="A1915" s="2">
        <f t="shared" ca="1" si="187"/>
        <v>3.0055745693092715</v>
      </c>
      <c r="B1915" s="4" cm="1">
        <f t="array" aca="1" ref="B191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915" s="2">
        <f t="shared" ca="1" si="188"/>
        <v>3.0066285089011884</v>
      </c>
      <c r="D1915" s="4" t="str" cm="1">
        <f t="array" aca="1" ref="D191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15" s="2">
        <f t="shared" ca="1" si="189"/>
        <v>30.012459522723223</v>
      </c>
      <c r="F1915" s="4" t="str" cm="1">
        <f t="array" aca="1" ref="F191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15" s="2">
        <f t="shared" ca="1" si="190"/>
        <v>40.026565725054063</v>
      </c>
      <c r="H1915" s="47" t="str" cm="1">
        <f t="array" aca="1" ref="H191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16" spans="1:8" x14ac:dyDescent="0.25">
      <c r="A1916" s="2">
        <f t="shared" ca="1" si="187"/>
        <v>3.0052021438390741</v>
      </c>
      <c r="B1916" s="4" cm="1">
        <f t="array" aca="1" ref="B191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916" s="2">
        <f t="shared" ca="1" si="188"/>
        <v>3.0261751273138846</v>
      </c>
      <c r="D1916" s="4" t="str" cm="1">
        <f t="array" aca="1" ref="D191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16" s="2">
        <f t="shared" ca="1" si="189"/>
        <v>30.001968093169491</v>
      </c>
      <c r="F1916" s="4" t="str" cm="1">
        <f t="array" aca="1" ref="F191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16" s="2">
        <f t="shared" ca="1" si="190"/>
        <v>40.002563013119357</v>
      </c>
      <c r="H1916" s="47" t="str" cm="1">
        <f t="array" aca="1" ref="H191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17" spans="1:8" x14ac:dyDescent="0.25">
      <c r="A1917" s="2">
        <f t="shared" ca="1" si="187"/>
        <v>3.0016398826977357</v>
      </c>
      <c r="B1917" s="4" cm="1">
        <f t="array" aca="1" ref="B191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917" s="2">
        <f t="shared" ca="1" si="188"/>
        <v>3.0088413966536809</v>
      </c>
      <c r="D1917" s="4" t="str" cm="1">
        <f t="array" aca="1" ref="D191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17" s="2">
        <f t="shared" ca="1" si="189"/>
        <v>30.00579508959423</v>
      </c>
      <c r="F1917" s="4" t="str" cm="1">
        <f t="array" aca="1" ref="F191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17" s="2">
        <f t="shared" ca="1" si="190"/>
        <v>40.012236538444839</v>
      </c>
      <c r="H1917" s="47" t="str" cm="1">
        <f t="array" aca="1" ref="H191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18" spans="1:8" x14ac:dyDescent="0.25">
      <c r="A1918" s="2">
        <f t="shared" ca="1" si="187"/>
        <v>3.004965391695797</v>
      </c>
      <c r="B1918" s="4" cm="1">
        <f t="array" aca="1" ref="B191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918" s="2">
        <f t="shared" ca="1" si="188"/>
        <v>3.0162917468005883</v>
      </c>
      <c r="D1918" s="4" t="str" cm="1">
        <f t="array" aca="1" ref="D191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18" s="2">
        <f t="shared" ca="1" si="189"/>
        <v>30.00975683082714</v>
      </c>
      <c r="F1918" s="4" t="str" cm="1">
        <f t="array" aca="1" ref="F191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18" s="2">
        <f t="shared" ca="1" si="190"/>
        <v>40.010469111187902</v>
      </c>
      <c r="H1918" s="47" t="str" cm="1">
        <f t="array" aca="1" ref="H191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19" spans="1:8" x14ac:dyDescent="0.25">
      <c r="A1919" s="2">
        <f t="shared" ca="1" si="187"/>
        <v>3.0071846327046274</v>
      </c>
      <c r="B1919" s="4" cm="1">
        <f t="array" aca="1" ref="B191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919" s="2">
        <f t="shared" ca="1" si="188"/>
        <v>3.0149384628257887</v>
      </c>
      <c r="D1919" s="4" t="str" cm="1">
        <f t="array" aca="1" ref="D191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19" s="2">
        <f t="shared" ca="1" si="189"/>
        <v>30.005575058768859</v>
      </c>
      <c r="F1919" s="4" t="str" cm="1">
        <f t="array" aca="1" ref="F191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19" s="2">
        <f t="shared" ca="1" si="190"/>
        <v>40.017337620129062</v>
      </c>
      <c r="H1919" s="47" t="str" cm="1">
        <f t="array" aca="1" ref="H191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20" spans="1:8" x14ac:dyDescent="0.25">
      <c r="A1920" s="2">
        <f t="shared" ca="1" si="187"/>
        <v>3.0008382176291475</v>
      </c>
      <c r="B1920" s="4" cm="1">
        <f t="array" aca="1" ref="B192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920" s="2">
        <f t="shared" ca="1" si="188"/>
        <v>3.0198954297860223</v>
      </c>
      <c r="D1920" s="4" t="str" cm="1">
        <f t="array" aca="1" ref="D192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20" s="2">
        <f t="shared" ca="1" si="189"/>
        <v>30.010039712575608</v>
      </c>
      <c r="F1920" s="4" t="str" cm="1">
        <f t="array" aca="1" ref="F192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20" s="2">
        <f t="shared" ca="1" si="190"/>
        <v>40.011818049294348</v>
      </c>
      <c r="H1920" s="47" t="str" cm="1">
        <f t="array" aca="1" ref="H192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21" spans="1:8" x14ac:dyDescent="0.25">
      <c r="A1921" s="2">
        <f t="shared" ca="1" si="187"/>
        <v>3.0033357271732934</v>
      </c>
      <c r="B1921" s="4" cm="1">
        <f t="array" aca="1" ref="B192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921" s="2">
        <f t="shared" ca="1" si="188"/>
        <v>3.0199023343860163</v>
      </c>
      <c r="D1921" s="4" t="str" cm="1">
        <f t="array" aca="1" ref="D192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21" s="2">
        <f t="shared" ca="1" si="189"/>
        <v>30.020664223931945</v>
      </c>
      <c r="F1921" s="4" t="str" cm="1">
        <f t="array" aca="1" ref="F192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21" s="2">
        <f t="shared" ca="1" si="190"/>
        <v>40.012127664660319</v>
      </c>
      <c r="H1921" s="47" t="str" cm="1">
        <f t="array" aca="1" ref="H192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22" spans="1:8" x14ac:dyDescent="0.25">
      <c r="A1922" s="2">
        <f t="shared" ref="A1922:A1985" ca="1" si="191">3+RAND()*0.01</f>
        <v>3.0028769067952124</v>
      </c>
      <c r="B1922" s="4" cm="1">
        <f t="array" aca="1" ref="B192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922" s="2">
        <f t="shared" ref="C1922:C1985" ca="1" si="192">3+RAND()*0.03</f>
        <v>3.0246917594185914</v>
      </c>
      <c r="D1922" s="4" t="str" cm="1">
        <f t="array" aca="1" ref="D192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22" s="2">
        <f t="shared" ref="E1922:E1985" ca="1" si="193">30+RAND()*0.03</f>
        <v>30.009032673745015</v>
      </c>
      <c r="F1922" s="4" t="str" cm="1">
        <f t="array" aca="1" ref="F192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22" s="2">
        <f t="shared" ref="G1922:G1985" ca="1" si="194">40+RAND()*0.03</f>
        <v>40.007573176576102</v>
      </c>
      <c r="H1922" s="47" t="str" cm="1">
        <f t="array" aca="1" ref="H192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23" spans="1:8" x14ac:dyDescent="0.25">
      <c r="A1923" s="2">
        <f t="shared" ca="1" si="191"/>
        <v>3.0020479000486953</v>
      </c>
      <c r="B1923" s="4" cm="1">
        <f t="array" aca="1" ref="B192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923" s="2">
        <f t="shared" ca="1" si="192"/>
        <v>3.012511731020731</v>
      </c>
      <c r="D1923" s="4" t="str" cm="1">
        <f t="array" aca="1" ref="D192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23" s="2">
        <f t="shared" ca="1" si="193"/>
        <v>30.028589177935576</v>
      </c>
      <c r="F1923" s="4" t="str" cm="1">
        <f t="array" aca="1" ref="F192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23" s="2">
        <f t="shared" ca="1" si="194"/>
        <v>40.009644545103619</v>
      </c>
      <c r="H1923" s="47" t="str" cm="1">
        <f t="array" aca="1" ref="H192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24" spans="1:8" x14ac:dyDescent="0.25">
      <c r="A1924" s="2">
        <f t="shared" ca="1" si="191"/>
        <v>3.002114315109623</v>
      </c>
      <c r="B1924" s="4" cm="1">
        <f t="array" aca="1" ref="B192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924" s="2">
        <f t="shared" ca="1" si="192"/>
        <v>3.0258814252903372</v>
      </c>
      <c r="D1924" s="4" t="str" cm="1">
        <f t="array" aca="1" ref="D192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24" s="2">
        <f t="shared" ca="1" si="193"/>
        <v>30.013019935736615</v>
      </c>
      <c r="F1924" s="4" t="str" cm="1">
        <f t="array" aca="1" ref="F192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24" s="2">
        <f t="shared" ca="1" si="194"/>
        <v>40.013120957364812</v>
      </c>
      <c r="H1924" s="47" t="str" cm="1">
        <f t="array" aca="1" ref="H192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25" spans="1:8" x14ac:dyDescent="0.25">
      <c r="A1925" s="2">
        <f t="shared" ca="1" si="191"/>
        <v>3.0028833323345023</v>
      </c>
      <c r="B1925" s="4" cm="1">
        <f t="array" aca="1" ref="B192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925" s="2">
        <f t="shared" ca="1" si="192"/>
        <v>3.0020463511329463</v>
      </c>
      <c r="D1925" s="4" t="str" cm="1">
        <f t="array" aca="1" ref="D192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25" s="2">
        <f t="shared" ca="1" si="193"/>
        <v>30.016975450586692</v>
      </c>
      <c r="F1925" s="4" t="str" cm="1">
        <f t="array" aca="1" ref="F192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25" s="2">
        <f t="shared" ca="1" si="194"/>
        <v>40.000139337052509</v>
      </c>
      <c r="H1925" s="47" t="str" cm="1">
        <f t="array" aca="1" ref="H192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26" spans="1:8" x14ac:dyDescent="0.25">
      <c r="A1926" s="2">
        <f t="shared" ca="1" si="191"/>
        <v>3.0099516829457533</v>
      </c>
      <c r="B1926" s="4" cm="1">
        <f t="array" aca="1" ref="B192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926" s="2">
        <f t="shared" ca="1" si="192"/>
        <v>3.0110301419051222</v>
      </c>
      <c r="D1926" s="4" t="str" cm="1">
        <f t="array" aca="1" ref="D192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26" s="2">
        <f t="shared" ca="1" si="193"/>
        <v>30.019528319269043</v>
      </c>
      <c r="F1926" s="4" t="str" cm="1">
        <f t="array" aca="1" ref="F192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26" s="2">
        <f t="shared" ca="1" si="194"/>
        <v>40.010614271676971</v>
      </c>
      <c r="H1926" s="47" t="str" cm="1">
        <f t="array" aca="1" ref="H192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27" spans="1:8" x14ac:dyDescent="0.25">
      <c r="A1927" s="2">
        <f t="shared" ca="1" si="191"/>
        <v>3.0048764204296416</v>
      </c>
      <c r="B1927" s="4" cm="1">
        <f t="array" aca="1" ref="B192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927" s="2">
        <f t="shared" ca="1" si="192"/>
        <v>3.0036062776691255</v>
      </c>
      <c r="D1927" s="4" t="str" cm="1">
        <f t="array" aca="1" ref="D192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27" s="2">
        <f t="shared" ca="1" si="193"/>
        <v>30.018383501313977</v>
      </c>
      <c r="F1927" s="4" t="str" cm="1">
        <f t="array" aca="1" ref="F192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27" s="2">
        <f t="shared" ca="1" si="194"/>
        <v>40.019916650412462</v>
      </c>
      <c r="H1927" s="47" t="str" cm="1">
        <f t="array" aca="1" ref="H192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28" spans="1:8" x14ac:dyDescent="0.25">
      <c r="A1928" s="2">
        <f t="shared" ca="1" si="191"/>
        <v>3.0047791618648709</v>
      </c>
      <c r="B1928" s="4" cm="1">
        <f t="array" aca="1" ref="B192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928" s="2">
        <f t="shared" ca="1" si="192"/>
        <v>3.0004975785868644</v>
      </c>
      <c r="D1928" s="4" t="str" cm="1">
        <f t="array" aca="1" ref="D192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28" s="2">
        <f t="shared" ca="1" si="193"/>
        <v>30.020248632999465</v>
      </c>
      <c r="F1928" s="4" t="str" cm="1">
        <f t="array" aca="1" ref="F192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28" s="2">
        <f t="shared" ca="1" si="194"/>
        <v>40.02988862607117</v>
      </c>
      <c r="H1928" s="47" t="str" cm="1">
        <f t="array" aca="1" ref="H192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29" spans="1:8" x14ac:dyDescent="0.25">
      <c r="A1929" s="2">
        <f t="shared" ca="1" si="191"/>
        <v>3.0090380422492529</v>
      </c>
      <c r="B1929" s="4" cm="1">
        <f t="array" aca="1" ref="B192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929" s="2">
        <f t="shared" ca="1" si="192"/>
        <v>3.0286053201169132</v>
      </c>
      <c r="D1929" s="4" t="str" cm="1">
        <f t="array" aca="1" ref="D192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29" s="2">
        <f t="shared" ca="1" si="193"/>
        <v>30.015847623563182</v>
      </c>
      <c r="F1929" s="4" t="str" cm="1">
        <f t="array" aca="1" ref="F192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29" s="2">
        <f t="shared" ca="1" si="194"/>
        <v>40.006719408178448</v>
      </c>
      <c r="H1929" s="47" t="str" cm="1">
        <f t="array" aca="1" ref="H192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30" spans="1:8" x14ac:dyDescent="0.25">
      <c r="A1930" s="2">
        <f t="shared" ca="1" si="191"/>
        <v>3.0028431665062558</v>
      </c>
      <c r="B1930" s="4" cm="1">
        <f t="array" aca="1" ref="B193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930" s="2">
        <f t="shared" ca="1" si="192"/>
        <v>3.0243388606604054</v>
      </c>
      <c r="D1930" s="4" t="str" cm="1">
        <f t="array" aca="1" ref="D193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30" s="2">
        <f t="shared" ca="1" si="193"/>
        <v>30.024257063783129</v>
      </c>
      <c r="F1930" s="4" t="str" cm="1">
        <f t="array" aca="1" ref="F193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30" s="2">
        <f t="shared" ca="1" si="194"/>
        <v>40.02010782935556</v>
      </c>
      <c r="H1930" s="47" t="str" cm="1">
        <f t="array" aca="1" ref="H193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31" spans="1:8" x14ac:dyDescent="0.25">
      <c r="A1931" s="2">
        <f t="shared" ca="1" si="191"/>
        <v>3.0066723179030932</v>
      </c>
      <c r="B1931" s="4" cm="1">
        <f t="array" aca="1" ref="B193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931" s="2">
        <f t="shared" ca="1" si="192"/>
        <v>3.0136054193803585</v>
      </c>
      <c r="D1931" s="4" t="str" cm="1">
        <f t="array" aca="1" ref="D193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31" s="2">
        <f t="shared" ca="1" si="193"/>
        <v>30.011115137548295</v>
      </c>
      <c r="F1931" s="4" t="str" cm="1">
        <f t="array" aca="1" ref="F193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31" s="2">
        <f t="shared" ca="1" si="194"/>
        <v>40.022493960218263</v>
      </c>
      <c r="H1931" s="47" t="str" cm="1">
        <f t="array" aca="1" ref="H193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32" spans="1:8" x14ac:dyDescent="0.25">
      <c r="A1932" s="2">
        <f t="shared" ca="1" si="191"/>
        <v>3.0059462404324702</v>
      </c>
      <c r="B1932" s="4" cm="1">
        <f t="array" aca="1" ref="B193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932" s="2">
        <f t="shared" ca="1" si="192"/>
        <v>3.0167629831304494</v>
      </c>
      <c r="D1932" s="4" t="str" cm="1">
        <f t="array" aca="1" ref="D193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32" s="2">
        <f t="shared" ca="1" si="193"/>
        <v>30.014413507295505</v>
      </c>
      <c r="F1932" s="4" t="str" cm="1">
        <f t="array" aca="1" ref="F193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32" s="2">
        <f t="shared" ca="1" si="194"/>
        <v>40.011492266776862</v>
      </c>
      <c r="H1932" s="47" t="str" cm="1">
        <f t="array" aca="1" ref="H193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33" spans="1:8" x14ac:dyDescent="0.25">
      <c r="A1933" s="2">
        <f t="shared" ca="1" si="191"/>
        <v>3.0069308860604091</v>
      </c>
      <c r="B1933" s="4" cm="1">
        <f t="array" aca="1" ref="B193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933" s="2">
        <f t="shared" ca="1" si="192"/>
        <v>3.0227474459402641</v>
      </c>
      <c r="D1933" s="4" t="str" cm="1">
        <f t="array" aca="1" ref="D193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33" s="2">
        <f t="shared" ca="1" si="193"/>
        <v>30.009804992611667</v>
      </c>
      <c r="F1933" s="4" t="str" cm="1">
        <f t="array" aca="1" ref="F193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33" s="2">
        <f t="shared" ca="1" si="194"/>
        <v>40.017931248630134</v>
      </c>
      <c r="H1933" s="47" t="str" cm="1">
        <f t="array" aca="1" ref="H193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34" spans="1:8" x14ac:dyDescent="0.25">
      <c r="A1934" s="2">
        <f t="shared" ca="1" si="191"/>
        <v>3.0092247444681925</v>
      </c>
      <c r="B1934" s="4" cm="1">
        <f t="array" aca="1" ref="B193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934" s="2">
        <f t="shared" ca="1" si="192"/>
        <v>3.0140466035334335</v>
      </c>
      <c r="D1934" s="4" t="str" cm="1">
        <f t="array" aca="1" ref="D193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34" s="2">
        <f t="shared" ca="1" si="193"/>
        <v>30.00937961642947</v>
      </c>
      <c r="F1934" s="4" t="str" cm="1">
        <f t="array" aca="1" ref="F193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34" s="2">
        <f t="shared" ca="1" si="194"/>
        <v>40.014017446030557</v>
      </c>
      <c r="H1934" s="47" t="str" cm="1">
        <f t="array" aca="1" ref="H193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35" spans="1:8" x14ac:dyDescent="0.25">
      <c r="A1935" s="2">
        <f t="shared" ca="1" si="191"/>
        <v>3.0019583917658599</v>
      </c>
      <c r="B1935" s="4" cm="1">
        <f t="array" aca="1" ref="B193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935" s="2">
        <f t="shared" ca="1" si="192"/>
        <v>3.0202383347737531</v>
      </c>
      <c r="D1935" s="4" t="str" cm="1">
        <f t="array" aca="1" ref="D193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35" s="2">
        <f t="shared" ca="1" si="193"/>
        <v>30.014166176819238</v>
      </c>
      <c r="F1935" s="4" t="str" cm="1">
        <f t="array" aca="1" ref="F193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35" s="2">
        <f t="shared" ca="1" si="194"/>
        <v>40.002282175366538</v>
      </c>
      <c r="H1935" s="47" t="str" cm="1">
        <f t="array" aca="1" ref="H193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36" spans="1:8" x14ac:dyDescent="0.25">
      <c r="A1936" s="2">
        <f t="shared" ca="1" si="191"/>
        <v>3.0063816607831635</v>
      </c>
      <c r="B1936" s="4" cm="1">
        <f t="array" aca="1" ref="B193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936" s="2">
        <f t="shared" ca="1" si="192"/>
        <v>3.0025716487109055</v>
      </c>
      <c r="D1936" s="4" t="str" cm="1">
        <f t="array" aca="1" ref="D193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36" s="2">
        <f t="shared" ca="1" si="193"/>
        <v>30.020139798792531</v>
      </c>
      <c r="F1936" s="4" t="str" cm="1">
        <f t="array" aca="1" ref="F193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36" s="2">
        <f t="shared" ca="1" si="194"/>
        <v>40.018237576880473</v>
      </c>
      <c r="H1936" s="47" t="str" cm="1">
        <f t="array" aca="1" ref="H193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37" spans="1:8" x14ac:dyDescent="0.25">
      <c r="A1937" s="2">
        <f t="shared" ca="1" si="191"/>
        <v>3.0032219820639878</v>
      </c>
      <c r="B1937" s="4" cm="1">
        <f t="array" aca="1" ref="B193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937" s="2">
        <f t="shared" ca="1" si="192"/>
        <v>3.0254922718245494</v>
      </c>
      <c r="D1937" s="4" t="str" cm="1">
        <f t="array" aca="1" ref="D193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37" s="2">
        <f t="shared" ca="1" si="193"/>
        <v>30.024820121749055</v>
      </c>
      <c r="F1937" s="4" t="str" cm="1">
        <f t="array" aca="1" ref="F193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37" s="2">
        <f t="shared" ca="1" si="194"/>
        <v>40.005793949808925</v>
      </c>
      <c r="H1937" s="47" t="str" cm="1">
        <f t="array" aca="1" ref="H193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38" spans="1:8" x14ac:dyDescent="0.25">
      <c r="A1938" s="2">
        <f t="shared" ca="1" si="191"/>
        <v>3.001186514341001</v>
      </c>
      <c r="B1938" s="4" cm="1">
        <f t="array" aca="1" ref="B193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938" s="2">
        <f t="shared" ca="1" si="192"/>
        <v>3.010942427275265</v>
      </c>
      <c r="D1938" s="4" t="str" cm="1">
        <f t="array" aca="1" ref="D193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38" s="2">
        <f t="shared" ca="1" si="193"/>
        <v>30.02418112531598</v>
      </c>
      <c r="F1938" s="4" t="str" cm="1">
        <f t="array" aca="1" ref="F193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38" s="2">
        <f t="shared" ca="1" si="194"/>
        <v>40.02707774126457</v>
      </c>
      <c r="H1938" s="47" t="str" cm="1">
        <f t="array" aca="1" ref="H193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39" spans="1:8" x14ac:dyDescent="0.25">
      <c r="A1939" s="2">
        <f t="shared" ca="1" si="191"/>
        <v>3.00312623445067</v>
      </c>
      <c r="B1939" s="4" cm="1">
        <f t="array" aca="1" ref="B193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939" s="2">
        <f t="shared" ca="1" si="192"/>
        <v>3.0294009005100526</v>
      </c>
      <c r="D1939" s="4" t="str" cm="1">
        <f t="array" aca="1" ref="D193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39" s="2">
        <f t="shared" ca="1" si="193"/>
        <v>30.011618110132563</v>
      </c>
      <c r="F1939" s="4" t="str" cm="1">
        <f t="array" aca="1" ref="F193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39" s="2">
        <f t="shared" ca="1" si="194"/>
        <v>40.001345944602718</v>
      </c>
      <c r="H1939" s="47" t="str" cm="1">
        <f t="array" aca="1" ref="H193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40" spans="1:8" x14ac:dyDescent="0.25">
      <c r="A1940" s="2">
        <f t="shared" ca="1" si="191"/>
        <v>3.0020725243514033</v>
      </c>
      <c r="B1940" s="4" cm="1">
        <f t="array" aca="1" ref="B194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940" s="2">
        <f t="shared" ca="1" si="192"/>
        <v>3.0178398076177944</v>
      </c>
      <c r="D1940" s="4" t="str" cm="1">
        <f t="array" aca="1" ref="D194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40" s="2">
        <f t="shared" ca="1" si="193"/>
        <v>30.007103668045254</v>
      </c>
      <c r="F1940" s="4" t="str" cm="1">
        <f t="array" aca="1" ref="F194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40" s="2">
        <f t="shared" ca="1" si="194"/>
        <v>40.005888502421769</v>
      </c>
      <c r="H1940" s="47" t="str" cm="1">
        <f t="array" aca="1" ref="H194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41" spans="1:8" x14ac:dyDescent="0.25">
      <c r="A1941" s="2">
        <f t="shared" ca="1" si="191"/>
        <v>3.0037402339821151</v>
      </c>
      <c r="B1941" s="4" cm="1">
        <f t="array" aca="1" ref="B194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941" s="2">
        <f t="shared" ca="1" si="192"/>
        <v>3.0048875805658795</v>
      </c>
      <c r="D1941" s="4" t="str" cm="1">
        <f t="array" aca="1" ref="D194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41" s="2">
        <f t="shared" ca="1" si="193"/>
        <v>30.017491231251203</v>
      </c>
      <c r="F1941" s="4" t="str" cm="1">
        <f t="array" aca="1" ref="F194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41" s="2">
        <f t="shared" ca="1" si="194"/>
        <v>40.013598594626018</v>
      </c>
      <c r="H1941" s="47" t="str" cm="1">
        <f t="array" aca="1" ref="H194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42" spans="1:8" x14ac:dyDescent="0.25">
      <c r="A1942" s="2">
        <f t="shared" ca="1" si="191"/>
        <v>3.0032394334304073</v>
      </c>
      <c r="B1942" s="4" cm="1">
        <f t="array" aca="1" ref="B194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942" s="2">
        <f t="shared" ca="1" si="192"/>
        <v>3.0200718627781833</v>
      </c>
      <c r="D1942" s="4" t="str" cm="1">
        <f t="array" aca="1" ref="D194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42" s="2">
        <f t="shared" ca="1" si="193"/>
        <v>30.021119582135405</v>
      </c>
      <c r="F1942" s="4" t="str" cm="1">
        <f t="array" aca="1" ref="F194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42" s="2">
        <f t="shared" ca="1" si="194"/>
        <v>40.012124803773581</v>
      </c>
      <c r="H1942" s="47" t="str" cm="1">
        <f t="array" aca="1" ref="H194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43" spans="1:8" x14ac:dyDescent="0.25">
      <c r="A1943" s="2">
        <f t="shared" ca="1" si="191"/>
        <v>3.0065557328487826</v>
      </c>
      <c r="B1943" s="4" cm="1">
        <f t="array" aca="1" ref="B194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943" s="2">
        <f t="shared" ca="1" si="192"/>
        <v>3.028521076248083</v>
      </c>
      <c r="D1943" s="4" t="str" cm="1">
        <f t="array" aca="1" ref="D194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43" s="2">
        <f t="shared" ca="1" si="193"/>
        <v>30.010464796349584</v>
      </c>
      <c r="F1943" s="4" t="str" cm="1">
        <f t="array" aca="1" ref="F194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43" s="2">
        <f t="shared" ca="1" si="194"/>
        <v>40.022506118574569</v>
      </c>
      <c r="H1943" s="47" t="str" cm="1">
        <f t="array" aca="1" ref="H194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44" spans="1:8" x14ac:dyDescent="0.25">
      <c r="A1944" s="2">
        <f t="shared" ca="1" si="191"/>
        <v>3.0007074233735889</v>
      </c>
      <c r="B1944" s="4" cm="1">
        <f t="array" aca="1" ref="B194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944" s="2">
        <f t="shared" ca="1" si="192"/>
        <v>3.0117130564545764</v>
      </c>
      <c r="D1944" s="4" t="str" cm="1">
        <f t="array" aca="1" ref="D194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44" s="2">
        <f t="shared" ca="1" si="193"/>
        <v>30.009631004607474</v>
      </c>
      <c r="F1944" s="4" t="str" cm="1">
        <f t="array" aca="1" ref="F194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44" s="2">
        <f t="shared" ca="1" si="194"/>
        <v>40.003913473329611</v>
      </c>
      <c r="H1944" s="47" t="str" cm="1">
        <f t="array" aca="1" ref="H194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45" spans="1:8" x14ac:dyDescent="0.25">
      <c r="A1945" s="2">
        <f t="shared" ca="1" si="191"/>
        <v>3.0098607409970319</v>
      </c>
      <c r="B1945" s="4" cm="1">
        <f t="array" aca="1" ref="B194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945" s="2">
        <f t="shared" ca="1" si="192"/>
        <v>3.0182546702671997</v>
      </c>
      <c r="D1945" s="4" t="str" cm="1">
        <f t="array" aca="1" ref="D194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45" s="2">
        <f t="shared" ca="1" si="193"/>
        <v>30.018446908526563</v>
      </c>
      <c r="F1945" s="4" t="str" cm="1">
        <f t="array" aca="1" ref="F194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45" s="2">
        <f t="shared" ca="1" si="194"/>
        <v>40.019054165363983</v>
      </c>
      <c r="H1945" s="47" t="str" cm="1">
        <f t="array" aca="1" ref="H194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46" spans="1:8" x14ac:dyDescent="0.25">
      <c r="A1946" s="2">
        <f t="shared" ca="1" si="191"/>
        <v>3.0040036340181326</v>
      </c>
      <c r="B1946" s="4" cm="1">
        <f t="array" aca="1" ref="B194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946" s="2">
        <f t="shared" ca="1" si="192"/>
        <v>3.02662640878681</v>
      </c>
      <c r="D1946" s="4" t="str" cm="1">
        <f t="array" aca="1" ref="D194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46" s="2">
        <f t="shared" ca="1" si="193"/>
        <v>30.003757798750748</v>
      </c>
      <c r="F1946" s="4" t="str" cm="1">
        <f t="array" aca="1" ref="F194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46" s="2">
        <f t="shared" ca="1" si="194"/>
        <v>40.023865772923045</v>
      </c>
      <c r="H1946" s="47" t="str" cm="1">
        <f t="array" aca="1" ref="H194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47" spans="1:8" x14ac:dyDescent="0.25">
      <c r="A1947" s="2">
        <f t="shared" ca="1" si="191"/>
        <v>3.0085013420273978</v>
      </c>
      <c r="B1947" s="4" cm="1">
        <f t="array" aca="1" ref="B194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947" s="2">
        <f t="shared" ca="1" si="192"/>
        <v>3.011349153989646</v>
      </c>
      <c r="D1947" s="4" t="str" cm="1">
        <f t="array" aca="1" ref="D194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47" s="2">
        <f t="shared" ca="1" si="193"/>
        <v>30.006308344898176</v>
      </c>
      <c r="F1947" s="4" t="str" cm="1">
        <f t="array" aca="1" ref="F194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47" s="2">
        <f t="shared" ca="1" si="194"/>
        <v>40.014323058209726</v>
      </c>
      <c r="H1947" s="47" t="str" cm="1">
        <f t="array" aca="1" ref="H194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48" spans="1:8" x14ac:dyDescent="0.25">
      <c r="A1948" s="2">
        <f t="shared" ca="1" si="191"/>
        <v>3.0015798910109992</v>
      </c>
      <c r="B1948" s="4" cm="1">
        <f t="array" aca="1" ref="B194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948" s="2">
        <f t="shared" ca="1" si="192"/>
        <v>3.007635657001102</v>
      </c>
      <c r="D1948" s="4" t="str" cm="1">
        <f t="array" aca="1" ref="D194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48" s="2">
        <f t="shared" ca="1" si="193"/>
        <v>30.025220476276193</v>
      </c>
      <c r="F1948" s="4" t="str" cm="1">
        <f t="array" aca="1" ref="F194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48" s="2">
        <f t="shared" ca="1" si="194"/>
        <v>40.00419187468033</v>
      </c>
      <c r="H1948" s="47" t="str" cm="1">
        <f t="array" aca="1" ref="H194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49" spans="1:8" x14ac:dyDescent="0.25">
      <c r="A1949" s="2">
        <f t="shared" ca="1" si="191"/>
        <v>3.0014035984185234</v>
      </c>
      <c r="B1949" s="4" cm="1">
        <f t="array" aca="1" ref="B194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949" s="2">
        <f t="shared" ca="1" si="192"/>
        <v>3.0063303972060123</v>
      </c>
      <c r="D1949" s="4" t="str" cm="1">
        <f t="array" aca="1" ref="D194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49" s="2">
        <f t="shared" ca="1" si="193"/>
        <v>30.004680348182138</v>
      </c>
      <c r="F1949" s="4" t="str" cm="1">
        <f t="array" aca="1" ref="F194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49" s="2">
        <f t="shared" ca="1" si="194"/>
        <v>40.019818485729488</v>
      </c>
      <c r="H1949" s="47" t="str" cm="1">
        <f t="array" aca="1" ref="H194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50" spans="1:8" x14ac:dyDescent="0.25">
      <c r="A1950" s="2">
        <f t="shared" ca="1" si="191"/>
        <v>3.0098571565357819</v>
      </c>
      <c r="B1950" s="4" cm="1">
        <f t="array" aca="1" ref="B195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950" s="2">
        <f t="shared" ca="1" si="192"/>
        <v>3.0082394883331172</v>
      </c>
      <c r="D1950" s="4" t="str" cm="1">
        <f t="array" aca="1" ref="D195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50" s="2">
        <f t="shared" ca="1" si="193"/>
        <v>30.023521701010218</v>
      </c>
      <c r="F1950" s="4" t="str" cm="1">
        <f t="array" aca="1" ref="F195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50" s="2">
        <f t="shared" ca="1" si="194"/>
        <v>40.004903338228971</v>
      </c>
      <c r="H1950" s="47" t="str" cm="1">
        <f t="array" aca="1" ref="H195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51" spans="1:8" x14ac:dyDescent="0.25">
      <c r="A1951" s="2">
        <f t="shared" ca="1" si="191"/>
        <v>3.0049149931561883</v>
      </c>
      <c r="B1951" s="4" cm="1">
        <f t="array" aca="1" ref="B195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951" s="2">
        <f t="shared" ca="1" si="192"/>
        <v>3.0012323543649799</v>
      </c>
      <c r="D1951" s="4" t="str" cm="1">
        <f t="array" aca="1" ref="D195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51" s="2">
        <f t="shared" ca="1" si="193"/>
        <v>30.015608533180355</v>
      </c>
      <c r="F1951" s="4" t="str" cm="1">
        <f t="array" aca="1" ref="F195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51" s="2">
        <f t="shared" ca="1" si="194"/>
        <v>40.000514255425841</v>
      </c>
      <c r="H1951" s="47" t="str" cm="1">
        <f t="array" aca="1" ref="H195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52" spans="1:8" x14ac:dyDescent="0.25">
      <c r="A1952" s="2">
        <f t="shared" ca="1" si="191"/>
        <v>3.0010184017196448</v>
      </c>
      <c r="B1952" s="4" cm="1">
        <f t="array" aca="1" ref="B195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952" s="2">
        <f t="shared" ca="1" si="192"/>
        <v>3.0174960914862172</v>
      </c>
      <c r="D1952" s="4" t="str" cm="1">
        <f t="array" aca="1" ref="D195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52" s="2">
        <f t="shared" ca="1" si="193"/>
        <v>30.021705675435143</v>
      </c>
      <c r="F1952" s="4" t="str" cm="1">
        <f t="array" aca="1" ref="F195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52" s="2">
        <f t="shared" ca="1" si="194"/>
        <v>40.002423799260711</v>
      </c>
      <c r="H1952" s="47" t="str" cm="1">
        <f t="array" aca="1" ref="H195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53" spans="1:8" x14ac:dyDescent="0.25">
      <c r="A1953" s="2">
        <f t="shared" ca="1" si="191"/>
        <v>3.000602292178923</v>
      </c>
      <c r="B1953" s="4" cm="1">
        <f t="array" aca="1" ref="B195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953" s="2">
        <f t="shared" ca="1" si="192"/>
        <v>3.0126588564308285</v>
      </c>
      <c r="D1953" s="4" t="str" cm="1">
        <f t="array" aca="1" ref="D195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53" s="2">
        <f t="shared" ca="1" si="193"/>
        <v>30.014821431275415</v>
      </c>
      <c r="F1953" s="4" t="str" cm="1">
        <f t="array" aca="1" ref="F195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53" s="2">
        <f t="shared" ca="1" si="194"/>
        <v>40.023316726592704</v>
      </c>
      <c r="H1953" s="47" t="str" cm="1">
        <f t="array" aca="1" ref="H195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54" spans="1:8" x14ac:dyDescent="0.25">
      <c r="A1954" s="2">
        <f t="shared" ca="1" si="191"/>
        <v>3.008897103032441</v>
      </c>
      <c r="B1954" s="4" cm="1">
        <f t="array" aca="1" ref="B195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954" s="2">
        <f t="shared" ca="1" si="192"/>
        <v>3.0190161292969036</v>
      </c>
      <c r="D1954" s="4" t="str" cm="1">
        <f t="array" aca="1" ref="D195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54" s="2">
        <f t="shared" ca="1" si="193"/>
        <v>30.016308451092655</v>
      </c>
      <c r="F1954" s="4" t="str" cm="1">
        <f t="array" aca="1" ref="F195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54" s="2">
        <f t="shared" ca="1" si="194"/>
        <v>40.011546289285683</v>
      </c>
      <c r="H1954" s="47" t="str" cm="1">
        <f t="array" aca="1" ref="H195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55" spans="1:8" x14ac:dyDescent="0.25">
      <c r="A1955" s="2">
        <f t="shared" ca="1" si="191"/>
        <v>3.0054576129320516</v>
      </c>
      <c r="B1955" s="4" cm="1">
        <f t="array" aca="1" ref="B195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955" s="2">
        <f t="shared" ca="1" si="192"/>
        <v>3.0203246914888897</v>
      </c>
      <c r="D1955" s="4" t="str" cm="1">
        <f t="array" aca="1" ref="D195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55" s="2">
        <f t="shared" ca="1" si="193"/>
        <v>30.025577093060523</v>
      </c>
      <c r="F1955" s="4" t="str" cm="1">
        <f t="array" aca="1" ref="F195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55" s="2">
        <f t="shared" ca="1" si="194"/>
        <v>40.029821092815389</v>
      </c>
      <c r="H1955" s="47" t="str" cm="1">
        <f t="array" aca="1" ref="H195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56" spans="1:8" x14ac:dyDescent="0.25">
      <c r="A1956" s="2">
        <f t="shared" ca="1" si="191"/>
        <v>3.000485125555989</v>
      </c>
      <c r="B1956" s="4" cm="1">
        <f t="array" aca="1" ref="B195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956" s="2">
        <f t="shared" ca="1" si="192"/>
        <v>3.017516501113751</v>
      </c>
      <c r="D1956" s="4" t="str" cm="1">
        <f t="array" aca="1" ref="D195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56" s="2">
        <f t="shared" ca="1" si="193"/>
        <v>30.014037020657732</v>
      </c>
      <c r="F1956" s="4" t="str" cm="1">
        <f t="array" aca="1" ref="F195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56" s="2">
        <f t="shared" ca="1" si="194"/>
        <v>40.026558281756465</v>
      </c>
      <c r="H1956" s="47" t="str" cm="1">
        <f t="array" aca="1" ref="H195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57" spans="1:8" x14ac:dyDescent="0.25">
      <c r="A1957" s="2">
        <f t="shared" ca="1" si="191"/>
        <v>3.0019561503990988</v>
      </c>
      <c r="B1957" s="4" cm="1">
        <f t="array" aca="1" ref="B195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957" s="2">
        <f t="shared" ca="1" si="192"/>
        <v>3.0032345732595913</v>
      </c>
      <c r="D1957" s="4" t="str" cm="1">
        <f t="array" aca="1" ref="D195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57" s="2">
        <f t="shared" ca="1" si="193"/>
        <v>30.015601084942706</v>
      </c>
      <c r="F1957" s="4" t="str" cm="1">
        <f t="array" aca="1" ref="F195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57" s="2">
        <f t="shared" ca="1" si="194"/>
        <v>40.024514204808675</v>
      </c>
      <c r="H1957" s="47" t="str" cm="1">
        <f t="array" aca="1" ref="H195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58" spans="1:8" x14ac:dyDescent="0.25">
      <c r="A1958" s="2">
        <f t="shared" ca="1" si="191"/>
        <v>3.0031871621858053</v>
      </c>
      <c r="B1958" s="4" cm="1">
        <f t="array" aca="1" ref="B195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958" s="2">
        <f t="shared" ca="1" si="192"/>
        <v>3.0239661560360243</v>
      </c>
      <c r="D1958" s="4" t="str" cm="1">
        <f t="array" aca="1" ref="D195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58" s="2">
        <f t="shared" ca="1" si="193"/>
        <v>30.009094201070106</v>
      </c>
      <c r="F1958" s="4" t="str" cm="1">
        <f t="array" aca="1" ref="F195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58" s="2">
        <f t="shared" ca="1" si="194"/>
        <v>40.015468250932592</v>
      </c>
      <c r="H1958" s="47" t="str" cm="1">
        <f t="array" aca="1" ref="H195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59" spans="1:8" x14ac:dyDescent="0.25">
      <c r="A1959" s="2">
        <f t="shared" ca="1" si="191"/>
        <v>3.0025932722763051</v>
      </c>
      <c r="B1959" s="4" cm="1">
        <f t="array" aca="1" ref="B195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959" s="2">
        <f t="shared" ca="1" si="192"/>
        <v>3.0064745418168966</v>
      </c>
      <c r="D1959" s="4" t="str" cm="1">
        <f t="array" aca="1" ref="D195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59" s="2">
        <f t="shared" ca="1" si="193"/>
        <v>30.002250504051393</v>
      </c>
      <c r="F1959" s="4" t="str" cm="1">
        <f t="array" aca="1" ref="F195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59" s="2">
        <f t="shared" ca="1" si="194"/>
        <v>40.019995048530049</v>
      </c>
      <c r="H1959" s="47" t="str" cm="1">
        <f t="array" aca="1" ref="H195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60" spans="1:8" x14ac:dyDescent="0.25">
      <c r="A1960" s="2">
        <f t="shared" ca="1" si="191"/>
        <v>3.0021783023388187</v>
      </c>
      <c r="B1960" s="4" cm="1">
        <f t="array" aca="1" ref="B196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960" s="2">
        <f t="shared" ca="1" si="192"/>
        <v>3.0115713631620316</v>
      </c>
      <c r="D1960" s="4" t="str" cm="1">
        <f t="array" aca="1" ref="D196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60" s="2">
        <f t="shared" ca="1" si="193"/>
        <v>30.004685421526055</v>
      </c>
      <c r="F1960" s="4" t="str" cm="1">
        <f t="array" aca="1" ref="F196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60" s="2">
        <f t="shared" ca="1" si="194"/>
        <v>40.021098514159313</v>
      </c>
      <c r="H1960" s="47" t="str" cm="1">
        <f t="array" aca="1" ref="H196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61" spans="1:8" x14ac:dyDescent="0.25">
      <c r="A1961" s="2">
        <f t="shared" ca="1" si="191"/>
        <v>3.0006985002609126</v>
      </c>
      <c r="B1961" s="4" cm="1">
        <f t="array" aca="1" ref="B196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961" s="2">
        <f t="shared" ca="1" si="192"/>
        <v>3.0179829460339587</v>
      </c>
      <c r="D1961" s="4" t="str" cm="1">
        <f t="array" aca="1" ref="D196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61" s="2">
        <f t="shared" ca="1" si="193"/>
        <v>30.006844763519176</v>
      </c>
      <c r="F1961" s="4" t="str" cm="1">
        <f t="array" aca="1" ref="F196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61" s="2">
        <f t="shared" ca="1" si="194"/>
        <v>40.014537670017233</v>
      </c>
      <c r="H1961" s="47" t="str" cm="1">
        <f t="array" aca="1" ref="H196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62" spans="1:8" x14ac:dyDescent="0.25">
      <c r="A1962" s="2">
        <f t="shared" ca="1" si="191"/>
        <v>3.007990148237238</v>
      </c>
      <c r="B1962" s="4" cm="1">
        <f t="array" aca="1" ref="B196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962" s="2">
        <f t="shared" ca="1" si="192"/>
        <v>3.0298183473605658</v>
      </c>
      <c r="D1962" s="4" t="str" cm="1">
        <f t="array" aca="1" ref="D196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62" s="2">
        <f t="shared" ca="1" si="193"/>
        <v>30.004071845408042</v>
      </c>
      <c r="F1962" s="4" t="str" cm="1">
        <f t="array" aca="1" ref="F196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62" s="2">
        <f t="shared" ca="1" si="194"/>
        <v>40.009472444867704</v>
      </c>
      <c r="H1962" s="47" t="str" cm="1">
        <f t="array" aca="1" ref="H196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63" spans="1:8" x14ac:dyDescent="0.25">
      <c r="A1963" s="2">
        <f t="shared" ca="1" si="191"/>
        <v>3.0093545261358492</v>
      </c>
      <c r="B1963" s="4" cm="1">
        <f t="array" aca="1" ref="B196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963" s="2">
        <f t="shared" ca="1" si="192"/>
        <v>3.0170629374776801</v>
      </c>
      <c r="D1963" s="4" t="str" cm="1">
        <f t="array" aca="1" ref="D196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63" s="2">
        <f t="shared" ca="1" si="193"/>
        <v>30.025146938173414</v>
      </c>
      <c r="F1963" s="4" t="str" cm="1">
        <f t="array" aca="1" ref="F196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63" s="2">
        <f t="shared" ca="1" si="194"/>
        <v>40.006221992367159</v>
      </c>
      <c r="H1963" s="47" t="str" cm="1">
        <f t="array" aca="1" ref="H196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64" spans="1:8" x14ac:dyDescent="0.25">
      <c r="A1964" s="2">
        <f t="shared" ca="1" si="191"/>
        <v>3.0048497573363595</v>
      </c>
      <c r="B1964" s="4" cm="1">
        <f t="array" aca="1" ref="B196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964" s="2">
        <f t="shared" ca="1" si="192"/>
        <v>3.0033315278550523</v>
      </c>
      <c r="D1964" s="4" t="str" cm="1">
        <f t="array" aca="1" ref="D196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64" s="2">
        <f t="shared" ca="1" si="193"/>
        <v>30.000005822980288</v>
      </c>
      <c r="F1964" s="4" t="str" cm="1">
        <f t="array" aca="1" ref="F196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64" s="2">
        <f t="shared" ca="1" si="194"/>
        <v>40.007799269482703</v>
      </c>
      <c r="H1964" s="47" t="str" cm="1">
        <f t="array" aca="1" ref="H196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65" spans="1:8" x14ac:dyDescent="0.25">
      <c r="A1965" s="2">
        <f t="shared" ca="1" si="191"/>
        <v>3.0037600030067586</v>
      </c>
      <c r="B1965" s="4" cm="1">
        <f t="array" aca="1" ref="B196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965" s="2">
        <f t="shared" ca="1" si="192"/>
        <v>3.0084256892624652</v>
      </c>
      <c r="D1965" s="4" t="str" cm="1">
        <f t="array" aca="1" ref="D196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65" s="2">
        <f t="shared" ca="1" si="193"/>
        <v>30.015112175451545</v>
      </c>
      <c r="F1965" s="4" t="str" cm="1">
        <f t="array" aca="1" ref="F196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65" s="2">
        <f t="shared" ca="1" si="194"/>
        <v>40.023703123207724</v>
      </c>
      <c r="H1965" s="47" t="str" cm="1">
        <f t="array" aca="1" ref="H196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66" spans="1:8" x14ac:dyDescent="0.25">
      <c r="A1966" s="2">
        <f t="shared" ca="1" si="191"/>
        <v>3.0030843047922295</v>
      </c>
      <c r="B1966" s="4" cm="1">
        <f t="array" aca="1" ref="B196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4</v>
      </c>
      <c r="C1966" s="2">
        <f t="shared" ca="1" si="192"/>
        <v>3.0226099702040643</v>
      </c>
      <c r="D1966" s="4" t="str" cm="1">
        <f t="array" aca="1" ref="D196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66" s="2">
        <f t="shared" ca="1" si="193"/>
        <v>30.018786012623806</v>
      </c>
      <c r="F1966" s="4" t="str" cm="1">
        <f t="array" aca="1" ref="F196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66" s="2">
        <f t="shared" ca="1" si="194"/>
        <v>40.017229391519685</v>
      </c>
      <c r="H1966" s="47" t="str" cm="1">
        <f t="array" aca="1" ref="H196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67" spans="1:8" x14ac:dyDescent="0.25">
      <c r="A1967" s="2">
        <f t="shared" ca="1" si="191"/>
        <v>3.0026466814333315</v>
      </c>
      <c r="B1967" s="4" cm="1">
        <f t="array" aca="1" ref="B196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967" s="2">
        <f t="shared" ca="1" si="192"/>
        <v>3.0018392409245256</v>
      </c>
      <c r="D1967" s="4" t="str" cm="1">
        <f t="array" aca="1" ref="D196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67" s="2">
        <f t="shared" ca="1" si="193"/>
        <v>30.015662100502887</v>
      </c>
      <c r="F1967" s="4" t="str" cm="1">
        <f t="array" aca="1" ref="F196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67" s="2">
        <f t="shared" ca="1" si="194"/>
        <v>40.027816026546553</v>
      </c>
      <c r="H1967" s="47" t="str" cm="1">
        <f t="array" aca="1" ref="H196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68" spans="1:8" x14ac:dyDescent="0.25">
      <c r="A1968" s="2">
        <f t="shared" ca="1" si="191"/>
        <v>3.0026936978346312</v>
      </c>
      <c r="B1968" s="4" cm="1">
        <f t="array" aca="1" ref="B196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968" s="2">
        <f t="shared" ca="1" si="192"/>
        <v>3.0281303198494047</v>
      </c>
      <c r="D1968" s="4" t="str" cm="1">
        <f t="array" aca="1" ref="D196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68" s="2">
        <f t="shared" ca="1" si="193"/>
        <v>30.007747193592806</v>
      </c>
      <c r="F1968" s="4" t="str" cm="1">
        <f t="array" aca="1" ref="F196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68" s="2">
        <f t="shared" ca="1" si="194"/>
        <v>40.028772520560622</v>
      </c>
      <c r="H1968" s="47" t="str" cm="1">
        <f t="array" aca="1" ref="H196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69" spans="1:8" x14ac:dyDescent="0.25">
      <c r="A1969" s="2">
        <f t="shared" ca="1" si="191"/>
        <v>3.0026601597992157</v>
      </c>
      <c r="B1969" s="4" cm="1">
        <f t="array" aca="1" ref="B196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969" s="2">
        <f t="shared" ca="1" si="192"/>
        <v>3.0284785656143964</v>
      </c>
      <c r="D1969" s="4" t="str" cm="1">
        <f t="array" aca="1" ref="D196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69" s="2">
        <f t="shared" ca="1" si="193"/>
        <v>30.027028152584759</v>
      </c>
      <c r="F1969" s="4" t="str" cm="1">
        <f t="array" aca="1" ref="F196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69" s="2">
        <f t="shared" ca="1" si="194"/>
        <v>40.017211553135475</v>
      </c>
      <c r="H1969" s="47" t="str" cm="1">
        <f t="array" aca="1" ref="H196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70" spans="1:8" x14ac:dyDescent="0.25">
      <c r="A1970" s="2">
        <f t="shared" ca="1" si="191"/>
        <v>3.0018275348760608</v>
      </c>
      <c r="B1970" s="4" cm="1">
        <f t="array" aca="1" ref="B197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970" s="2">
        <f t="shared" ca="1" si="192"/>
        <v>3.0048863045503991</v>
      </c>
      <c r="D1970" s="4" t="str" cm="1">
        <f t="array" aca="1" ref="D197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70" s="2">
        <f t="shared" ca="1" si="193"/>
        <v>30.019498189048715</v>
      </c>
      <c r="F1970" s="4" t="str" cm="1">
        <f t="array" aca="1" ref="F197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70" s="2">
        <f t="shared" ca="1" si="194"/>
        <v>40.001298682544153</v>
      </c>
      <c r="H1970" s="47" t="str" cm="1">
        <f t="array" aca="1" ref="H197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71" spans="1:8" x14ac:dyDescent="0.25">
      <c r="A1971" s="2">
        <f t="shared" ca="1" si="191"/>
        <v>3.0016590162693961</v>
      </c>
      <c r="B1971" s="4" cm="1">
        <f t="array" aca="1" ref="B197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2</v>
      </c>
      <c r="C1971" s="2">
        <f t="shared" ca="1" si="192"/>
        <v>3.0039558535732995</v>
      </c>
      <c r="D1971" s="4" t="str" cm="1">
        <f t="array" aca="1" ref="D197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71" s="2">
        <f t="shared" ca="1" si="193"/>
        <v>30.011622996945217</v>
      </c>
      <c r="F1971" s="4" t="str" cm="1">
        <f t="array" aca="1" ref="F197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71" s="2">
        <f t="shared" ca="1" si="194"/>
        <v>40.026328453631521</v>
      </c>
      <c r="H1971" s="47" t="str" cm="1">
        <f t="array" aca="1" ref="H197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72" spans="1:8" x14ac:dyDescent="0.25">
      <c r="A1972" s="2">
        <f t="shared" ca="1" si="191"/>
        <v>3.0090498183042049</v>
      </c>
      <c r="B1972" s="4" cm="1">
        <f t="array" aca="1" ref="B197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972" s="2">
        <f t="shared" ca="1" si="192"/>
        <v>3.0202509023494151</v>
      </c>
      <c r="D1972" s="4" t="str" cm="1">
        <f t="array" aca="1" ref="D197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72" s="2">
        <f t="shared" ca="1" si="193"/>
        <v>30.004616649355146</v>
      </c>
      <c r="F1972" s="4" t="str" cm="1">
        <f t="array" aca="1" ref="F197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72" s="2">
        <f t="shared" ca="1" si="194"/>
        <v>40.005335211096018</v>
      </c>
      <c r="H1972" s="47" t="str" cm="1">
        <f t="array" aca="1" ref="H197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73" spans="1:8" x14ac:dyDescent="0.25">
      <c r="A1973" s="2">
        <f t="shared" ca="1" si="191"/>
        <v>3.0058544067787936</v>
      </c>
      <c r="B1973" s="4" cm="1">
        <f t="array" aca="1" ref="B197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973" s="2">
        <f t="shared" ca="1" si="192"/>
        <v>3.0190354639306953</v>
      </c>
      <c r="D1973" s="4" t="str" cm="1">
        <f t="array" aca="1" ref="D197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73" s="2">
        <f t="shared" ca="1" si="193"/>
        <v>30.016048704053219</v>
      </c>
      <c r="F1973" s="4" t="str" cm="1">
        <f t="array" aca="1" ref="F197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73" s="2">
        <f t="shared" ca="1" si="194"/>
        <v>40.015515351779229</v>
      </c>
      <c r="H1973" s="47" t="str" cm="1">
        <f t="array" aca="1" ref="H197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74" spans="1:8" x14ac:dyDescent="0.25">
      <c r="A1974" s="2">
        <f t="shared" ca="1" si="191"/>
        <v>3.007340214746526</v>
      </c>
      <c r="B1974" s="4" cm="1">
        <f t="array" aca="1" ref="B197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974" s="2">
        <f t="shared" ca="1" si="192"/>
        <v>3.0266613660357407</v>
      </c>
      <c r="D1974" s="4" t="str" cm="1">
        <f t="array" aca="1" ref="D197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74" s="2">
        <f t="shared" ca="1" si="193"/>
        <v>30.004278044053638</v>
      </c>
      <c r="F1974" s="4" t="str" cm="1">
        <f t="array" aca="1" ref="F197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74" s="2">
        <f t="shared" ca="1" si="194"/>
        <v>40.029797740297681</v>
      </c>
      <c r="H1974" s="47" t="str" cm="1">
        <f t="array" aca="1" ref="H197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75" spans="1:8" x14ac:dyDescent="0.25">
      <c r="A1975" s="2">
        <f t="shared" ca="1" si="191"/>
        <v>3.0083505363970007</v>
      </c>
      <c r="B1975" s="4" cm="1">
        <f t="array" aca="1" ref="B197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975" s="2">
        <f t="shared" ca="1" si="192"/>
        <v>3.0128584310806583</v>
      </c>
      <c r="D1975" s="4" t="str" cm="1">
        <f t="array" aca="1" ref="D197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75" s="2">
        <f t="shared" ca="1" si="193"/>
        <v>30.000020000515619</v>
      </c>
      <c r="F1975" s="4" t="str" cm="1">
        <f t="array" aca="1" ref="F197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75" s="2">
        <f t="shared" ca="1" si="194"/>
        <v>40.010853206735867</v>
      </c>
      <c r="H1975" s="47" t="str" cm="1">
        <f t="array" aca="1" ref="H197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76" spans="1:8" x14ac:dyDescent="0.25">
      <c r="A1976" s="2">
        <f t="shared" ca="1" si="191"/>
        <v>3.0002055185245178</v>
      </c>
      <c r="B1976" s="4" cm="1">
        <f t="array" aca="1" ref="B197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976" s="2">
        <f t="shared" ca="1" si="192"/>
        <v>3.0277538486082833</v>
      </c>
      <c r="D1976" s="4" t="str" cm="1">
        <f t="array" aca="1" ref="D197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76" s="2">
        <f t="shared" ca="1" si="193"/>
        <v>30.028535090922958</v>
      </c>
      <c r="F1976" s="4" t="str" cm="1">
        <f t="array" aca="1" ref="F197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76" s="2">
        <f t="shared" ca="1" si="194"/>
        <v>40.012696147875481</v>
      </c>
      <c r="H1976" s="47" t="str" cm="1">
        <f t="array" aca="1" ref="H197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77" spans="1:8" x14ac:dyDescent="0.25">
      <c r="A1977" s="2">
        <f t="shared" ca="1" si="191"/>
        <v>3.0041896349698587</v>
      </c>
      <c r="B1977" s="4" cm="1">
        <f t="array" aca="1" ref="B197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977" s="2">
        <f t="shared" ca="1" si="192"/>
        <v>3.0228717434567884</v>
      </c>
      <c r="D1977" s="4" t="str" cm="1">
        <f t="array" aca="1" ref="D197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77" s="2">
        <f t="shared" ca="1" si="193"/>
        <v>30.005269957609446</v>
      </c>
      <c r="F1977" s="4" t="str" cm="1">
        <f t="array" aca="1" ref="F197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77" s="2">
        <f t="shared" ca="1" si="194"/>
        <v>40.008270521115413</v>
      </c>
      <c r="H1977" s="47" t="str" cm="1">
        <f t="array" aca="1" ref="H197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78" spans="1:8" x14ac:dyDescent="0.25">
      <c r="A1978" s="2">
        <f t="shared" ca="1" si="191"/>
        <v>3.0043489064311855</v>
      </c>
      <c r="B1978" s="4" cm="1">
        <f t="array" aca="1" ref="B197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978" s="2">
        <f t="shared" ca="1" si="192"/>
        <v>3.0002066982963651</v>
      </c>
      <c r="D1978" s="4" t="str" cm="1">
        <f t="array" aca="1" ref="D197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78" s="2">
        <f t="shared" ca="1" si="193"/>
        <v>30.027877089948927</v>
      </c>
      <c r="F1978" s="4" t="str" cm="1">
        <f t="array" aca="1" ref="F197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78" s="2">
        <f t="shared" ca="1" si="194"/>
        <v>40.002417809694585</v>
      </c>
      <c r="H1978" s="47" t="str" cm="1">
        <f t="array" aca="1" ref="H197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79" spans="1:8" x14ac:dyDescent="0.25">
      <c r="A1979" s="2">
        <f t="shared" ca="1" si="191"/>
        <v>3.0075085035415685</v>
      </c>
      <c r="B1979" s="4" cm="1">
        <f t="array" aca="1" ref="B197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979" s="2">
        <f t="shared" ca="1" si="192"/>
        <v>3.0085171794816818</v>
      </c>
      <c r="D1979" s="4" t="str" cm="1">
        <f t="array" aca="1" ref="D197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79" s="2">
        <f t="shared" ca="1" si="193"/>
        <v>30.001618435435308</v>
      </c>
      <c r="F1979" s="4" t="str" cm="1">
        <f t="array" aca="1" ref="F197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79" s="2">
        <f t="shared" ca="1" si="194"/>
        <v>40.022385789612628</v>
      </c>
      <c r="H1979" s="47" t="str" cm="1">
        <f t="array" aca="1" ref="H197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80" spans="1:8" x14ac:dyDescent="0.25">
      <c r="A1980" s="2">
        <f t="shared" ca="1" si="191"/>
        <v>3.004034350431096</v>
      </c>
      <c r="B1980" s="4" cm="1">
        <f t="array" aca="1" ref="B198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1980" s="2">
        <f t="shared" ca="1" si="192"/>
        <v>3.014853293535344</v>
      </c>
      <c r="D1980" s="4" t="str" cm="1">
        <f t="array" aca="1" ref="D198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80" s="2">
        <f t="shared" ca="1" si="193"/>
        <v>30.010672800431809</v>
      </c>
      <c r="F1980" s="4" t="str" cm="1">
        <f t="array" aca="1" ref="F198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80" s="2">
        <f t="shared" ca="1" si="194"/>
        <v>40.012873777338562</v>
      </c>
      <c r="H1980" s="47" t="str" cm="1">
        <f t="array" aca="1" ref="H198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81" spans="1:8" x14ac:dyDescent="0.25">
      <c r="A1981" s="2">
        <f t="shared" ca="1" si="191"/>
        <v>3.0065939592263837</v>
      </c>
      <c r="B1981" s="4" cm="1">
        <f t="array" aca="1" ref="B198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981" s="2">
        <f t="shared" ca="1" si="192"/>
        <v>3.0241054833643086</v>
      </c>
      <c r="D1981" s="4" t="str" cm="1">
        <f t="array" aca="1" ref="D198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81" s="2">
        <f t="shared" ca="1" si="193"/>
        <v>30.015949675405949</v>
      </c>
      <c r="F1981" s="4" t="str" cm="1">
        <f t="array" aca="1" ref="F198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81" s="2">
        <f t="shared" ca="1" si="194"/>
        <v>40.029935813044069</v>
      </c>
      <c r="H1981" s="47" t="str" cm="1">
        <f t="array" aca="1" ref="H198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82" spans="1:8" x14ac:dyDescent="0.25">
      <c r="A1982" s="2">
        <f t="shared" ca="1" si="191"/>
        <v>3.0007730445658995</v>
      </c>
      <c r="B1982" s="4" cm="1">
        <f t="array" aca="1" ref="B198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982" s="2">
        <f t="shared" ca="1" si="192"/>
        <v>3.0034692420937494</v>
      </c>
      <c r="D1982" s="4" t="str" cm="1">
        <f t="array" aca="1" ref="D198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82" s="2">
        <f t="shared" ca="1" si="193"/>
        <v>30.009131796274097</v>
      </c>
      <c r="F1982" s="4" t="str" cm="1">
        <f t="array" aca="1" ref="F198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82" s="2">
        <f t="shared" ca="1" si="194"/>
        <v>40.028824774964974</v>
      </c>
      <c r="H1982" s="47" t="str" cm="1">
        <f t="array" aca="1" ref="H198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83" spans="1:8" x14ac:dyDescent="0.25">
      <c r="A1983" s="2">
        <f t="shared" ca="1" si="191"/>
        <v>3.0068978489446305</v>
      </c>
      <c r="B1983" s="4" cm="1">
        <f t="array" aca="1" ref="B198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983" s="2">
        <f t="shared" ca="1" si="192"/>
        <v>3.0166304595401767</v>
      </c>
      <c r="D1983" s="4" t="str" cm="1">
        <f t="array" aca="1" ref="D198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83" s="2">
        <f t="shared" ca="1" si="193"/>
        <v>30.001453588729962</v>
      </c>
      <c r="F1983" s="4" t="str" cm="1">
        <f t="array" aca="1" ref="F198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83" s="2">
        <f t="shared" ca="1" si="194"/>
        <v>40.006425345101611</v>
      </c>
      <c r="H1983" s="47" t="str" cm="1">
        <f t="array" aca="1" ref="H198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84" spans="1:8" x14ac:dyDescent="0.25">
      <c r="A1984" s="2">
        <f t="shared" ca="1" si="191"/>
        <v>3.0007235186487113</v>
      </c>
      <c r="B1984" s="4" cm="1">
        <f t="array" aca="1" ref="B198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984" s="2">
        <f t="shared" ca="1" si="192"/>
        <v>3.015834531360952</v>
      </c>
      <c r="D1984" s="4" t="str" cm="1">
        <f t="array" aca="1" ref="D198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84" s="2">
        <f t="shared" ca="1" si="193"/>
        <v>30.004490702757117</v>
      </c>
      <c r="F1984" s="4" t="str" cm="1">
        <f t="array" aca="1" ref="F198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84" s="2">
        <f t="shared" ca="1" si="194"/>
        <v>40.022878892353731</v>
      </c>
      <c r="H1984" s="47" t="str" cm="1">
        <f t="array" aca="1" ref="H198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85" spans="1:8" x14ac:dyDescent="0.25">
      <c r="A1985" s="2">
        <f t="shared" ca="1" si="191"/>
        <v>3.0000747927621223</v>
      </c>
      <c r="B1985" s="4" cm="1">
        <f t="array" aca="1" ref="B198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985" s="2">
        <f t="shared" ca="1" si="192"/>
        <v>3.0216897742508855</v>
      </c>
      <c r="D1985" s="4" t="str" cm="1">
        <f t="array" aca="1" ref="D198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85" s="2">
        <f t="shared" ca="1" si="193"/>
        <v>30.010597201337848</v>
      </c>
      <c r="F1985" s="4" t="str" cm="1">
        <f t="array" aca="1" ref="F198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85" s="2">
        <f t="shared" ca="1" si="194"/>
        <v>40.011844155127541</v>
      </c>
      <c r="H1985" s="47" t="str" cm="1">
        <f t="array" aca="1" ref="H198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86" spans="1:8" x14ac:dyDescent="0.25">
      <c r="A1986" s="2">
        <f t="shared" ref="A1986:A2001" ca="1" si="195">3+RAND()*0.01</f>
        <v>3.0022439803249585</v>
      </c>
      <c r="B1986" s="4" cm="1">
        <f t="array" aca="1" ref="B198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986" s="2">
        <f t="shared" ref="C1986:C2001" ca="1" si="196">3+RAND()*0.03</f>
        <v>3.0020296112589167</v>
      </c>
      <c r="D1986" s="4" t="str" cm="1">
        <f t="array" aca="1" ref="D198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86" s="2">
        <f t="shared" ref="E1986:E2001" ca="1" si="197">30+RAND()*0.03</f>
        <v>30.010024372276938</v>
      </c>
      <c r="F1986" s="4" t="str" cm="1">
        <f t="array" aca="1" ref="F198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86" s="2">
        <f t="shared" ref="G1986:G2001" ca="1" si="198">40+RAND()*0.03</f>
        <v>40.016290071249294</v>
      </c>
      <c r="H1986" s="47" t="str" cm="1">
        <f t="array" aca="1" ref="H198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87" spans="1:8" x14ac:dyDescent="0.25">
      <c r="A1987" s="2">
        <f t="shared" ca="1" si="195"/>
        <v>3.0063481997767934</v>
      </c>
      <c r="B1987" s="4" cm="1">
        <f t="array" aca="1" ref="B198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7</v>
      </c>
      <c r="C1987" s="2">
        <f t="shared" ca="1" si="196"/>
        <v>3.0134215775072692</v>
      </c>
      <c r="D1987" s="4" t="str" cm="1">
        <f t="array" aca="1" ref="D198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87" s="2">
        <f t="shared" ca="1" si="197"/>
        <v>30.012255164979351</v>
      </c>
      <c r="F1987" s="4" t="str" cm="1">
        <f t="array" aca="1" ref="F198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87" s="2">
        <f t="shared" ca="1" si="198"/>
        <v>40.002940569136193</v>
      </c>
      <c r="H1987" s="47" t="str" cm="1">
        <f t="array" aca="1" ref="H198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88" spans="1:8" x14ac:dyDescent="0.25">
      <c r="A1988" s="2">
        <f t="shared" ca="1" si="195"/>
        <v>3.0087253067350219</v>
      </c>
      <c r="B1988" s="4" cm="1">
        <f t="array" aca="1" ref="B198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988" s="2">
        <f t="shared" ca="1" si="196"/>
        <v>3.0115626104271986</v>
      </c>
      <c r="D1988" s="4" t="str" cm="1">
        <f t="array" aca="1" ref="D198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88" s="2">
        <f t="shared" ca="1" si="197"/>
        <v>30.027911942034102</v>
      </c>
      <c r="F1988" s="4" t="str" cm="1">
        <f t="array" aca="1" ref="F198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88" s="2">
        <f t="shared" ca="1" si="198"/>
        <v>40.01873201702557</v>
      </c>
      <c r="H1988" s="47" t="str" cm="1">
        <f t="array" aca="1" ref="H198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89" spans="1:8" x14ac:dyDescent="0.25">
      <c r="A1989" s="2">
        <f t="shared" ca="1" si="195"/>
        <v>3.00837605482729</v>
      </c>
      <c r="B1989" s="4" cm="1">
        <f t="array" aca="1" ref="B198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9</v>
      </c>
      <c r="C1989" s="2">
        <f t="shared" ca="1" si="196"/>
        <v>3.0272456996200674</v>
      </c>
      <c r="D1989" s="4" t="str" cm="1">
        <f t="array" aca="1" ref="D198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89" s="2">
        <f t="shared" ca="1" si="197"/>
        <v>30.010500429362551</v>
      </c>
      <c r="F1989" s="4" t="str" cm="1">
        <f t="array" aca="1" ref="F198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89" s="2">
        <f t="shared" ca="1" si="198"/>
        <v>40.005966684494254</v>
      </c>
      <c r="H1989" s="47" t="str" cm="1">
        <f t="array" aca="1" ref="H198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90" spans="1:8" x14ac:dyDescent="0.25">
      <c r="A1990" s="2">
        <f t="shared" ca="1" si="195"/>
        <v>3.0075402973952787</v>
      </c>
      <c r="B1990" s="4" cm="1">
        <f t="array" aca="1" ref="B199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990" s="2">
        <f t="shared" ca="1" si="196"/>
        <v>3.010141362025136</v>
      </c>
      <c r="D1990" s="4" t="str" cm="1">
        <f t="array" aca="1" ref="D199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90" s="2">
        <f t="shared" ca="1" si="197"/>
        <v>30.023287698157613</v>
      </c>
      <c r="F1990" s="4" t="str" cm="1">
        <f t="array" aca="1" ref="F199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1990" s="2">
        <f t="shared" ca="1" si="198"/>
        <v>40.017657456873167</v>
      </c>
      <c r="H1990" s="47" t="str" cm="1">
        <f t="array" aca="1" ref="H199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91" spans="1:8" x14ac:dyDescent="0.25">
      <c r="A1991" s="2">
        <f t="shared" ca="1" si="195"/>
        <v>3.0096606684074052</v>
      </c>
      <c r="B1991" s="4" cm="1">
        <f t="array" aca="1" ref="B199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10</v>
      </c>
      <c r="C1991" s="2">
        <f t="shared" ca="1" si="196"/>
        <v>3.0260761950114659</v>
      </c>
      <c r="D1991" s="4" t="str" cm="1">
        <f t="array" aca="1" ref="D199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91" s="2">
        <f t="shared" ca="1" si="197"/>
        <v>30.008057181238684</v>
      </c>
      <c r="F1991" s="4" t="str" cm="1">
        <f t="array" aca="1" ref="F199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91" s="2">
        <f t="shared" ca="1" si="198"/>
        <v>40.023427015534615</v>
      </c>
      <c r="H1991" s="47" t="str" cm="1">
        <f t="array" aca="1" ref="H199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92" spans="1:8" x14ac:dyDescent="0.25">
      <c r="A1992" s="2">
        <f t="shared" ca="1" si="195"/>
        <v>3.0027824333886395</v>
      </c>
      <c r="B1992" s="4" cm="1">
        <f t="array" aca="1" ref="B1992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992" s="2">
        <f t="shared" ca="1" si="196"/>
        <v>3.0228733278797946</v>
      </c>
      <c r="D1992" s="4" t="str" cm="1">
        <f t="array" aca="1" ref="D1992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92" s="2">
        <f t="shared" ca="1" si="197"/>
        <v>30.017855727690435</v>
      </c>
      <c r="F1992" s="4" t="str" cm="1">
        <f t="array" aca="1" ref="F1992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92" s="2">
        <f t="shared" ca="1" si="198"/>
        <v>40.017139057438854</v>
      </c>
      <c r="H1992" s="47" t="str" cm="1">
        <f t="array" aca="1" ref="H1992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93" spans="1:8" x14ac:dyDescent="0.25">
      <c r="A1993" s="2">
        <f t="shared" ca="1" si="195"/>
        <v>3.0009339515748472</v>
      </c>
      <c r="B1993" s="4" cm="1">
        <f t="array" aca="1" ref="B1993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993" s="2">
        <f t="shared" ca="1" si="196"/>
        <v>3.0229794176130471</v>
      </c>
      <c r="D1993" s="4" t="str" cm="1">
        <f t="array" aca="1" ref="D1993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93" s="2">
        <f t="shared" ca="1" si="197"/>
        <v>30.014825776131854</v>
      </c>
      <c r="F1993" s="4" t="str" cm="1">
        <f t="array" aca="1" ref="F1993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93" s="2">
        <f t="shared" ca="1" si="198"/>
        <v>40.012930214867389</v>
      </c>
      <c r="H1993" s="47" t="str" cm="1">
        <f t="array" aca="1" ref="H1993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94" spans="1:8" x14ac:dyDescent="0.25">
      <c r="A1994" s="2">
        <f t="shared" ca="1" si="195"/>
        <v>3.0079402100224368</v>
      </c>
      <c r="B1994" s="4" cm="1">
        <f t="array" aca="1" ref="B1994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994" s="2">
        <f t="shared" ca="1" si="196"/>
        <v>3.0214634250847472</v>
      </c>
      <c r="D1994" s="4" t="str" cm="1">
        <f t="array" aca="1" ref="D1994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94" s="2">
        <f t="shared" ca="1" si="197"/>
        <v>30.009971843894711</v>
      </c>
      <c r="F1994" s="4" t="str" cm="1">
        <f t="array" aca="1" ref="F1994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94" s="2">
        <f t="shared" ca="1" si="198"/>
        <v>40.015374861245654</v>
      </c>
      <c r="H1994" s="47" t="str" cm="1">
        <f t="array" aca="1" ref="H1994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95" spans="1:8" x14ac:dyDescent="0.25">
      <c r="A1995" s="2">
        <f t="shared" ca="1" si="195"/>
        <v>3.0008830297658449</v>
      </c>
      <c r="B1995" s="4" cm="1">
        <f t="array" aca="1" ref="B1995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1</v>
      </c>
      <c r="C1995" s="2">
        <f t="shared" ca="1" si="196"/>
        <v>3.021517723226514</v>
      </c>
      <c r="D1995" s="4" t="str" cm="1">
        <f t="array" aca="1" ref="D1995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95" s="2">
        <f t="shared" ca="1" si="197"/>
        <v>30.01616748371584</v>
      </c>
      <c r="F1995" s="4" t="str" cm="1">
        <f t="array" aca="1" ref="F1995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95" s="2">
        <f t="shared" ca="1" si="198"/>
        <v>40.014100592591831</v>
      </c>
      <c r="H1995" s="47" t="str" cm="1">
        <f t="array" aca="1" ref="H1995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96" spans="1:8" x14ac:dyDescent="0.25">
      <c r="A1996" s="2">
        <f t="shared" ca="1" si="195"/>
        <v>3.0079223991353903</v>
      </c>
      <c r="B1996" s="4" cm="1">
        <f t="array" aca="1" ref="B1996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996" s="2">
        <f t="shared" ca="1" si="196"/>
        <v>3.0011445339321936</v>
      </c>
      <c r="D1996" s="4" t="str" cm="1">
        <f t="array" aca="1" ref="D1996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1996" s="2">
        <f t="shared" ca="1" si="197"/>
        <v>30.009766655230379</v>
      </c>
      <c r="F1996" s="4" t="str" cm="1">
        <f t="array" aca="1" ref="F1996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96" s="2">
        <f t="shared" ca="1" si="198"/>
        <v>40.007414360678837</v>
      </c>
      <c r="H1996" s="47" t="str" cm="1">
        <f t="array" aca="1" ref="H1996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A</v>
      </c>
    </row>
    <row r="1997" spans="1:8" x14ac:dyDescent="0.25">
      <c r="A1997" s="2">
        <f t="shared" ca="1" si="195"/>
        <v>3.0023113510120409</v>
      </c>
      <c r="B1997" s="4" cm="1">
        <f t="array" aca="1" ref="B1997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1997" s="2">
        <f t="shared" ca="1" si="196"/>
        <v>3.0105322849497331</v>
      </c>
      <c r="D1997" s="4" t="str" cm="1">
        <f t="array" aca="1" ref="D1997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97" s="2">
        <f t="shared" ca="1" si="197"/>
        <v>30.012083283312776</v>
      </c>
      <c r="F1997" s="4" t="str" cm="1">
        <f t="array" aca="1" ref="F1997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B</v>
      </c>
      <c r="G1997" s="2">
        <f t="shared" ca="1" si="198"/>
        <v>40.014119980515929</v>
      </c>
      <c r="H1997" s="47" t="str" cm="1">
        <f t="array" aca="1" ref="H1997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1998" spans="1:8" x14ac:dyDescent="0.25">
      <c r="A1998" s="2">
        <f t="shared" ca="1" si="195"/>
        <v>3.0054699900750199</v>
      </c>
      <c r="B1998" s="4" cm="1">
        <f t="array" aca="1" ref="B1998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6</v>
      </c>
      <c r="C1998" s="2">
        <f t="shared" ca="1" si="196"/>
        <v>3.0156901525502557</v>
      </c>
      <c r="D1998" s="4" t="str" cm="1">
        <f t="array" aca="1" ref="D1998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B</v>
      </c>
      <c r="E1998" s="2">
        <f t="shared" ca="1" si="197"/>
        <v>30.004993055724221</v>
      </c>
      <c r="F1998" s="4" t="str" cm="1">
        <f t="array" aca="1" ref="F1998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98" s="2">
        <f t="shared" ca="1" si="198"/>
        <v>40.02944754137657</v>
      </c>
      <c r="H1998" s="47" t="str" cm="1">
        <f t="array" aca="1" ref="H1998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C</v>
      </c>
    </row>
    <row r="1999" spans="1:8" x14ac:dyDescent="0.25">
      <c r="A1999" s="2">
        <f t="shared" ca="1" si="195"/>
        <v>3.0072471521454287</v>
      </c>
      <c r="B1999" s="4" cm="1">
        <f t="array" aca="1" ref="B1999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8</v>
      </c>
      <c r="C1999" s="2">
        <f t="shared" ca="1" si="196"/>
        <v>3.0256835375923266</v>
      </c>
      <c r="D1999" s="4" t="str" cm="1">
        <f t="array" aca="1" ref="D1999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1999" s="2">
        <f t="shared" ca="1" si="197"/>
        <v>30.008296728132304</v>
      </c>
      <c r="F1999" s="4" t="str" cm="1">
        <f t="array" aca="1" ref="F1999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1999" s="2">
        <f t="shared" ca="1" si="198"/>
        <v>40.019229011715936</v>
      </c>
      <c r="H1999" s="47" t="str" cm="1">
        <f t="array" aca="1" ref="H1999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000" spans="1:8" x14ac:dyDescent="0.25">
      <c r="A2000" s="2">
        <f t="shared" ca="1" si="195"/>
        <v>3.0048689616600144</v>
      </c>
      <c r="B2000" s="4" cm="1">
        <f t="array" aca="1" ref="B2000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5</v>
      </c>
      <c r="C2000" s="2">
        <f t="shared" ca="1" si="196"/>
        <v>3.0042043794186508</v>
      </c>
      <c r="D2000" s="4" t="str" cm="1">
        <f t="array" aca="1" ref="D2000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A</v>
      </c>
      <c r="E2000" s="2">
        <f t="shared" ca="1" si="197"/>
        <v>30.021386584287576</v>
      </c>
      <c r="F2000" s="4" t="str" cm="1">
        <f t="array" aca="1" ref="F2000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C</v>
      </c>
      <c r="G2000" s="2">
        <f t="shared" ca="1" si="198"/>
        <v>40.018670710498164</v>
      </c>
      <c r="H2000" s="47" t="str" cm="1">
        <f t="array" aca="1" ref="H2000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  <row r="2001" spans="1:8" x14ac:dyDescent="0.25">
      <c r="A2001" s="2">
        <f t="shared" ca="1" si="195"/>
        <v>3.0021886764436654</v>
      </c>
      <c r="B2001" s="4" cm="1">
        <f t="array" aca="1" ref="B2001" ca="1">_xlfn.IFS(AND(Tabela1[[#This Row],[Classes Ø ]]&gt;$K$1,Tabela1[[#This Row],[Classes Ø ]]&lt;$K$2),$L$1,AND(Tabela1[[#This Row],[Classes Ø ]]&gt;$K$2,Tabela1[[#This Row],[Classes Ø ]]&lt;$K$3),$L$2,AND(Tabela1[[#This Row],[Classes Ø ]]&gt;$K$3,Tabela1[[#This Row],[Classes Ø ]]&lt;$K$4),$L$3,AND(Tabela1[[#This Row],[Classes Ø ]]&gt;$K$4,Tabela1[[#This Row],[Classes Ø ]]&lt;$K$5),$L$4,AND(Tabela1[[#This Row],[Classes Ø ]]&gt;$K$5,Tabela1[[#This Row],[Classes Ø ]]&lt;$K$6),$L$5,AND(Tabela1[[#This Row],[Classes Ø ]]&gt;$K$6,Tabela1[[#This Row],[Classes Ø ]]&lt;$K$7),$L$6,AND(Tabela1[[#This Row],[Classes Ø ]]&gt;$K$7,Tabela1[[#This Row],[Classes Ø ]]&lt;$K$8),$L$7,AND(Tabela1[[#This Row],[Classes Ø ]]&gt;$K$8,Tabela1[[#This Row],[Classes Ø ]]&lt;$K$9),$L$8,AND(Tabela1[[#This Row],[Classes Ø ]]&gt;$K$9,Tabela1[[#This Row],[Classes Ø ]]&lt;$K$10),$L$9,AND(Tabela1[[#This Row],[Classes Ø ]]&gt;$K$10,Tabela1[[#This Row],[Classes Ø ]]&lt;$K$11),$L$10)</f>
        <v>3</v>
      </c>
      <c r="C2001" s="2">
        <f t="shared" ca="1" si="196"/>
        <v>3.0233886073716087</v>
      </c>
      <c r="D2001" s="4" t="str" cm="1">
        <f t="array" aca="1" ref="D2001" ca="1">_xlfn.IFS(AND(Tabela1[[#This Row],[Altura OP]]&gt;$O$1,Tabela1[[#This Row],[Altura OP]]&lt;$O$2),$P$1,AND(Tabela1[[#This Row],[Altura OP]]&gt;$O$2,Tabela1[[#This Row],[Altura OP]]&lt;$O$3),$P$2,AND(Tabela1[[#This Row],[Altura OP]]&gt;$O$3,Tabela1[[#This Row],[Altura OP]]&lt;$O$4),$P$3,AND(Tabela1[[#This Row],[Altura OP]]&gt;$O$4,Tabela1[[#This Row],[Altura OP]]&lt;$O$5),$P$4,AND(Tabela1[[#This Row],[Altura OP]]&gt;$O$5,Tabela1[[#This Row],[Altura OP]]&lt;$O$6),$P$5,AND(Tabela1[[#This Row],[Altura OP]]&gt;$O$6,Tabela1[[#This Row],[Altura OP]]&lt;$O$7),$P$6)</f>
        <v>C</v>
      </c>
      <c r="E2001" s="2">
        <f t="shared" ca="1" si="197"/>
        <v>30.006569399589928</v>
      </c>
      <c r="F2001" s="4" t="str" cm="1">
        <f t="array" aca="1" ref="F2001" ca="1">_xlfn.IFS(AND(Tabela1[[#This Row],[Altura Bico ]]&gt;$S$1,Tabela1[[#This Row],[Altura Bico ]]&lt;$S$2),$T$1,AND(Tabela1[[#This Row],[Altura Bico ]]&gt;$S$2,Tabela1[[#This Row],[Altura Bico ]]&lt;$S$3),$T$2,AND(Tabela1[[#This Row],[Altura Bico ]]&gt;$S$3,Tabela1[[#This Row],[Altura Bico ]]&lt;$S$4),$T$3,AND(Tabela1[[#This Row],[Altura Bico ]]&gt;$S$4,Tabela1[[#This Row],[Altura Bico ]]&lt;$S$5),$T$4,AND(Tabela1[[#This Row],[Altura Bico ]]&gt;$S$5,Tabela1[[#This Row],[Altura Bico ]]&lt;$S$6),$T$5,AND(Tabela1[[#This Row],[Altura Bico ]]&gt;$S$6,Tabela1[[#This Row],[Altura Bico ]]&lt;$S$7),$T$6)</f>
        <v>A</v>
      </c>
      <c r="G2001" s="2">
        <f t="shared" ca="1" si="198"/>
        <v>40.011424659129851</v>
      </c>
      <c r="H2001" s="47" t="str" cm="1">
        <f t="array" aca="1" ref="H2001" ca="1">_xlfn.IFS(AND(Tabela1[[#This Row],[Altura Spacer]]&gt;$W$1,Tabela1[[#This Row],[Altura Spacer]]&lt;$W$2),$X$1,AND(Tabela1[[#This Row],[Altura Spacer]]&gt;$W$2,Tabela1[[#This Row],[Altura Spacer]]&lt;$W$3),$X$2,AND(Tabela1[[#This Row],[Altura Spacer]]&gt;$W$3,Tabela1[[#This Row],[Altura Spacer]]&lt;$W$4),$X$3,AND(Tabela1[[#This Row],[Altura Spacer]]&gt;$W$4,Tabela1[[#This Row],[Altura Spacer]]&lt;$W$5),$X$4,AND(Tabela1[[#This Row],[Altura Spacer]]&gt;$W$5,Tabela1[[#This Row],[Altura Spacer]]&lt;$W$6),$X$5,AND(Tabela1[[#This Row],[Altura Spacer]]&gt;$W$6,Tabela1[[#This Row],[Altura Spacer]]&lt;$W$7),$X$6)</f>
        <v>B</v>
      </c>
    </row>
  </sheetData>
  <mergeCells count="2">
    <mergeCell ref="Z40:AE40"/>
    <mergeCell ref="AJ40:AO40"/>
  </mergeCells>
  <phoneticPr fontId="2" type="noConversion"/>
  <conditionalFormatting sqref="BB2">
    <cfRule type="duplicateValues" dxfId="11" priority="31"/>
  </conditionalFormatting>
  <conditionalFormatting sqref="BB8">
    <cfRule type="duplicateValues" dxfId="10" priority="29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57DF3-92DB-40A9-BB89-D266C93CB73F}">
  <sheetPr codeName="Planilha3"/>
  <dimension ref="A1:N126"/>
  <sheetViews>
    <sheetView workbookViewId="0">
      <selection activeCell="G6" sqref="G6"/>
    </sheetView>
  </sheetViews>
  <sheetFormatPr defaultRowHeight="15" x14ac:dyDescent="0.25"/>
  <cols>
    <col min="1" max="5" width="9.140625" style="14"/>
    <col min="6" max="6" width="12.140625" style="14" bestFit="1" customWidth="1"/>
    <col min="7" max="7" width="20" style="14" bestFit="1" customWidth="1"/>
    <col min="8" max="8" width="9.140625" style="14"/>
    <col min="9" max="9" width="20.140625" style="14" bestFit="1" customWidth="1"/>
    <col min="10" max="14" width="9.140625" style="14"/>
    <col min="15" max="18" width="9.140625" style="14" customWidth="1"/>
    <col min="19" max="16384" width="9.140625" style="14"/>
  </cols>
  <sheetData>
    <row r="1" spans="1:14" x14ac:dyDescent="0.25">
      <c r="A1" s="65" t="s">
        <v>31</v>
      </c>
      <c r="B1" s="65"/>
      <c r="C1" s="65"/>
      <c r="D1" s="65"/>
      <c r="E1" s="65"/>
      <c r="G1" s="14" t="s">
        <v>39</v>
      </c>
      <c r="I1" s="14" t="s">
        <v>37</v>
      </c>
      <c r="J1" s="14" t="s">
        <v>35</v>
      </c>
      <c r="K1" s="14" t="s">
        <v>19</v>
      </c>
      <c r="L1" s="14" t="s">
        <v>32</v>
      </c>
      <c r="M1" s="14" t="s">
        <v>33</v>
      </c>
      <c r="N1" s="14" t="s">
        <v>34</v>
      </c>
    </row>
    <row r="2" spans="1:14" x14ac:dyDescent="0.25">
      <c r="A2" s="14" t="s">
        <v>22</v>
      </c>
      <c r="B2" s="14" t="s">
        <v>19</v>
      </c>
      <c r="C2" s="14" t="s">
        <v>32</v>
      </c>
      <c r="D2" s="14" t="s">
        <v>33</v>
      </c>
      <c r="G2" s="14">
        <f>SUM(I:I)</f>
        <v>2000</v>
      </c>
      <c r="I2" s="14">
        <v>0</v>
      </c>
      <c r="J2" s="14" cm="1">
        <f t="array" ref="J2:J126">_xlfn._xlws.FILTER(Tabela2[Comb],Tabela2[Status]="OK","ERRO")</f>
        <v>0</v>
      </c>
      <c r="K2" s="14" t="str" cm="1">
        <f t="array" ref="K2:K126">_xlfn._xlws.FILTER(Tabela2[OP],Tabela2[Status]="OK","ERRO")</f>
        <v>A</v>
      </c>
      <c r="L2" s="14" t="str" cm="1">
        <f t="array" ref="L2:L126">_xlfn._xlws.FILTER(Tabela2[BICO],Tabela2[Status]="OK","ERRO")</f>
        <v>A</v>
      </c>
      <c r="M2" s="14" t="str" cm="1">
        <f t="array" ref="M2:M126">_xlfn._xlws.FILTER(Tabela2[SPACER],Tabela2[Status]="OK","ERRO")</f>
        <v>A</v>
      </c>
      <c r="N2" s="14" t="str" cm="1">
        <f t="array" ref="N2:N126">_xlfn._xlws.FILTER(Tabela2[AGULHA],Tabela2[Status]="OK","ERRO")</f>
        <v>A</v>
      </c>
    </row>
    <row r="3" spans="1:14" x14ac:dyDescent="0.25">
      <c r="A3" s="14" t="s">
        <v>8</v>
      </c>
      <c r="B3" s="6">
        <f>Simluação!U31</f>
        <v>410</v>
      </c>
      <c r="C3" s="14">
        <v>396</v>
      </c>
      <c r="D3" s="14">
        <v>374</v>
      </c>
      <c r="G3" s="14">
        <f>G2-SUM(B3:B7)</f>
        <v>0</v>
      </c>
      <c r="I3" s="14">
        <v>0</v>
      </c>
      <c r="J3" s="14">
        <v>14</v>
      </c>
      <c r="K3" s="14" t="str">
        <v>A</v>
      </c>
      <c r="L3" s="14" t="str">
        <v>A</v>
      </c>
      <c r="M3" s="14" t="str">
        <v>B</v>
      </c>
      <c r="N3" s="14" t="str">
        <v>B</v>
      </c>
    </row>
    <row r="4" spans="1:14" x14ac:dyDescent="0.25">
      <c r="A4" s="14" t="s">
        <v>9</v>
      </c>
      <c r="B4" s="6">
        <f>Simluação!U32</f>
        <v>391</v>
      </c>
      <c r="C4" s="14">
        <v>384</v>
      </c>
      <c r="D4" s="14">
        <v>390</v>
      </c>
      <c r="I4" s="14">
        <v>0</v>
      </c>
      <c r="J4" s="14">
        <v>28</v>
      </c>
      <c r="K4" s="14" t="str">
        <v>A</v>
      </c>
      <c r="L4" s="14" t="str">
        <v>A</v>
      </c>
      <c r="M4" s="14" t="str">
        <v>C</v>
      </c>
      <c r="N4" s="14" t="str">
        <v>C</v>
      </c>
    </row>
    <row r="5" spans="1:14" x14ac:dyDescent="0.25">
      <c r="A5" s="14" t="s">
        <v>10</v>
      </c>
      <c r="B5" s="6">
        <f>Simluação!U33</f>
        <v>383</v>
      </c>
      <c r="C5" s="14">
        <v>389</v>
      </c>
      <c r="D5" s="14">
        <v>417</v>
      </c>
      <c r="G5" s="14">
        <f>'Lote 1'!G2+'Lote 2'!G2+'Lote 3'!G2+'Lote 4'!G2+'Lote 5'!G2+'Lote 6'!G2+'Lote 7'!G2+'Lote 8'!G2+'Lote 9'!G2+'Lote 10'!G2</f>
        <v>2000</v>
      </c>
      <c r="I5" s="14">
        <v>0</v>
      </c>
      <c r="J5" s="14">
        <v>42</v>
      </c>
      <c r="K5" s="14" t="str">
        <v>A</v>
      </c>
      <c r="L5" s="14" t="str">
        <v>A</v>
      </c>
      <c r="M5" s="14" t="str">
        <v>D</v>
      </c>
      <c r="N5" s="14" t="str">
        <v>D</v>
      </c>
    </row>
    <row r="6" spans="1:14" x14ac:dyDescent="0.25">
      <c r="A6" s="14" t="s">
        <v>11</v>
      </c>
      <c r="B6" s="6">
        <f>Simluação!U34</f>
        <v>409</v>
      </c>
      <c r="C6" s="14">
        <v>427</v>
      </c>
      <c r="D6" s="14">
        <v>397</v>
      </c>
      <c r="G6" s="14">
        <f>'Lote 1'!G3+'Lote 2'!G3+'Lote 3'!G3+'Lote 4'!G3+'Lote 5'!G3+'Lote 6'!G3+'Lote 7'!G3+'Lote 8'!G3+'Lote 9'!G3+'Lote 10'!G3</f>
        <v>0</v>
      </c>
      <c r="I6" s="14">
        <v>215</v>
      </c>
      <c r="J6" s="14">
        <v>56</v>
      </c>
      <c r="K6" s="14" t="str">
        <v>A</v>
      </c>
      <c r="L6" s="14" t="str">
        <v>A</v>
      </c>
      <c r="M6" s="14" t="str">
        <v>E</v>
      </c>
      <c r="N6" s="14" t="str">
        <v>E</v>
      </c>
    </row>
    <row r="7" spans="1:14" x14ac:dyDescent="0.25">
      <c r="A7" s="14" t="s">
        <v>13</v>
      </c>
      <c r="B7" s="6">
        <f>Simluação!U35</f>
        <v>407</v>
      </c>
      <c r="C7" s="14">
        <v>404</v>
      </c>
      <c r="D7" s="14">
        <v>422</v>
      </c>
      <c r="I7" s="14">
        <v>0</v>
      </c>
      <c r="J7" s="14">
        <v>66</v>
      </c>
      <c r="K7" s="14" t="str">
        <v>A</v>
      </c>
      <c r="L7" s="14" t="str">
        <v>B</v>
      </c>
      <c r="M7" s="14" t="str">
        <v>A</v>
      </c>
      <c r="N7" s="14" t="str">
        <v>B</v>
      </c>
    </row>
    <row r="8" spans="1:14" x14ac:dyDescent="0.25">
      <c r="I8" s="14">
        <v>1</v>
      </c>
      <c r="J8" s="14">
        <v>80</v>
      </c>
      <c r="K8" s="14" t="str">
        <v>A</v>
      </c>
      <c r="L8" s="14" t="str">
        <v>B</v>
      </c>
      <c r="M8" s="14" t="str">
        <v>B</v>
      </c>
      <c r="N8" s="14" t="str">
        <v>C</v>
      </c>
    </row>
    <row r="9" spans="1:14" x14ac:dyDescent="0.25">
      <c r="A9" s="14" t="s">
        <v>38</v>
      </c>
      <c r="I9" s="14">
        <v>1</v>
      </c>
      <c r="J9" s="14">
        <v>94</v>
      </c>
      <c r="K9" s="14" t="str">
        <v>A</v>
      </c>
      <c r="L9" s="14" t="str">
        <v>B</v>
      </c>
      <c r="M9" s="14" t="str">
        <v>C</v>
      </c>
      <c r="N9" s="14" t="str">
        <v>D</v>
      </c>
    </row>
    <row r="10" spans="1:14" x14ac:dyDescent="0.25">
      <c r="A10" s="14" t="s">
        <v>8</v>
      </c>
      <c r="B10" s="14">
        <f t="shared" ref="B10:B19" si="0">SUMIF($K:$K,A10,$I:$I)</f>
        <v>410</v>
      </c>
      <c r="C10" s="14">
        <f t="shared" ref="C10:C19" si="1">SUMIF($L:$L,A10,$I:$I)</f>
        <v>396</v>
      </c>
      <c r="D10" s="14">
        <f t="shared" ref="D10:D19" si="2">SUMIF($M:$M,A10,$I:$I)</f>
        <v>374</v>
      </c>
      <c r="E10" s="14">
        <f t="shared" ref="E10:E19" si="3">SUMIF($N:$N,A10,$I:$I)</f>
        <v>0</v>
      </c>
      <c r="F10" s="14">
        <v>-6</v>
      </c>
      <c r="I10" s="14">
        <v>0</v>
      </c>
      <c r="J10" s="14">
        <v>108</v>
      </c>
      <c r="K10" s="14" t="str">
        <v>A</v>
      </c>
      <c r="L10" s="14" t="str">
        <v>B</v>
      </c>
      <c r="M10" s="14" t="str">
        <v>D</v>
      </c>
      <c r="N10" s="14" t="str">
        <v>E</v>
      </c>
    </row>
    <row r="11" spans="1:14" x14ac:dyDescent="0.25">
      <c r="A11" s="14" t="s">
        <v>9</v>
      </c>
      <c r="B11" s="14">
        <f t="shared" si="0"/>
        <v>391</v>
      </c>
      <c r="C11" s="14">
        <f t="shared" si="1"/>
        <v>384</v>
      </c>
      <c r="D11" s="14">
        <f t="shared" si="2"/>
        <v>390</v>
      </c>
      <c r="E11" s="14">
        <f t="shared" si="3"/>
        <v>0</v>
      </c>
      <c r="F11" s="14">
        <v>-5</v>
      </c>
      <c r="I11" s="14">
        <v>0</v>
      </c>
      <c r="J11" s="14">
        <v>122</v>
      </c>
      <c r="K11" s="14" t="str">
        <v>A</v>
      </c>
      <c r="L11" s="14" t="str">
        <v>B</v>
      </c>
      <c r="M11" s="14" t="str">
        <v>E</v>
      </c>
      <c r="N11" s="14" t="str">
        <v>F</v>
      </c>
    </row>
    <row r="12" spans="1:14" x14ac:dyDescent="0.25">
      <c r="A12" s="14" t="s">
        <v>10</v>
      </c>
      <c r="B12" s="14">
        <f t="shared" si="0"/>
        <v>383</v>
      </c>
      <c r="C12" s="14">
        <f t="shared" si="1"/>
        <v>389</v>
      </c>
      <c r="D12" s="14">
        <f t="shared" si="2"/>
        <v>417</v>
      </c>
      <c r="E12" s="14">
        <f t="shared" si="3"/>
        <v>1</v>
      </c>
      <c r="F12" s="14">
        <v>-4</v>
      </c>
      <c r="I12" s="14">
        <v>0</v>
      </c>
      <c r="J12" s="14">
        <v>132</v>
      </c>
      <c r="K12" s="14" t="str">
        <v>A</v>
      </c>
      <c r="L12" s="14" t="str">
        <v>C</v>
      </c>
      <c r="M12" s="14" t="str">
        <v>A</v>
      </c>
      <c r="N12" s="14" t="str">
        <v>C</v>
      </c>
    </row>
    <row r="13" spans="1:14" x14ac:dyDescent="0.25">
      <c r="A13" s="14" t="s">
        <v>11</v>
      </c>
      <c r="B13" s="14">
        <f t="shared" si="0"/>
        <v>409</v>
      </c>
      <c r="C13" s="14">
        <f t="shared" si="1"/>
        <v>427</v>
      </c>
      <c r="D13" s="14">
        <f t="shared" si="2"/>
        <v>397</v>
      </c>
      <c r="E13" s="14">
        <f t="shared" si="3"/>
        <v>1</v>
      </c>
      <c r="F13" s="14">
        <v>-3</v>
      </c>
      <c r="I13" s="14">
        <v>0</v>
      </c>
      <c r="J13" s="14">
        <v>146</v>
      </c>
      <c r="K13" s="14" t="str">
        <v>A</v>
      </c>
      <c r="L13" s="14" t="str">
        <v>C</v>
      </c>
      <c r="M13" s="14" t="str">
        <v>B</v>
      </c>
      <c r="N13" s="14" t="str">
        <v>D</v>
      </c>
    </row>
    <row r="14" spans="1:14" x14ac:dyDescent="0.25">
      <c r="A14" s="14" t="s">
        <v>13</v>
      </c>
      <c r="B14" s="14">
        <f t="shared" si="0"/>
        <v>407</v>
      </c>
      <c r="C14" s="14">
        <f t="shared" si="1"/>
        <v>404</v>
      </c>
      <c r="D14" s="14">
        <f t="shared" si="2"/>
        <v>422</v>
      </c>
      <c r="E14" s="14">
        <f t="shared" si="3"/>
        <v>589</v>
      </c>
      <c r="F14" s="14">
        <v>-2</v>
      </c>
      <c r="I14" s="14">
        <v>0</v>
      </c>
      <c r="J14" s="14">
        <v>160</v>
      </c>
      <c r="K14" s="14" t="str">
        <v>A</v>
      </c>
      <c r="L14" s="14" t="str">
        <v>C</v>
      </c>
      <c r="M14" s="14" t="str">
        <v>C</v>
      </c>
      <c r="N14" s="14" t="str">
        <v>E</v>
      </c>
    </row>
    <row r="15" spans="1:14" x14ac:dyDescent="0.25">
      <c r="A15" s="14" t="s">
        <v>12</v>
      </c>
      <c r="B15" s="14">
        <f t="shared" si="0"/>
        <v>0</v>
      </c>
      <c r="C15" s="14">
        <f t="shared" si="1"/>
        <v>0</v>
      </c>
      <c r="D15" s="14">
        <f t="shared" si="2"/>
        <v>0</v>
      </c>
      <c r="E15" s="14">
        <f t="shared" si="3"/>
        <v>0</v>
      </c>
      <c r="F15" s="14">
        <v>-1</v>
      </c>
      <c r="I15" s="14">
        <v>0</v>
      </c>
      <c r="J15" s="14">
        <v>174</v>
      </c>
      <c r="K15" s="14" t="str">
        <v>A</v>
      </c>
      <c r="L15" s="14" t="str">
        <v>C</v>
      </c>
      <c r="M15" s="14" t="str">
        <v>D</v>
      </c>
      <c r="N15" s="14" t="str">
        <v>F</v>
      </c>
    </row>
    <row r="16" spans="1:14" x14ac:dyDescent="0.25">
      <c r="A16" s="14" t="s">
        <v>14</v>
      </c>
      <c r="B16" s="14">
        <f t="shared" si="0"/>
        <v>0</v>
      </c>
      <c r="C16" s="14">
        <f t="shared" si="1"/>
        <v>0</v>
      </c>
      <c r="D16" s="14">
        <f t="shared" si="2"/>
        <v>0</v>
      </c>
      <c r="E16" s="14">
        <f t="shared" si="3"/>
        <v>581</v>
      </c>
      <c r="F16" s="14">
        <v>0</v>
      </c>
      <c r="I16" s="14">
        <v>0</v>
      </c>
      <c r="J16" s="14">
        <v>188</v>
      </c>
      <c r="K16" s="14" t="str">
        <v>A</v>
      </c>
      <c r="L16" s="14" t="str">
        <v>C</v>
      </c>
      <c r="M16" s="14" t="str">
        <v>E</v>
      </c>
      <c r="N16" s="14" t="str">
        <v>G</v>
      </c>
    </row>
    <row r="17" spans="1:14" x14ac:dyDescent="0.25">
      <c r="A17" s="14" t="s">
        <v>44</v>
      </c>
      <c r="B17" s="14">
        <f t="shared" si="0"/>
        <v>0</v>
      </c>
      <c r="C17" s="14">
        <f t="shared" si="1"/>
        <v>0</v>
      </c>
      <c r="D17" s="14">
        <f t="shared" si="2"/>
        <v>0</v>
      </c>
      <c r="E17" s="14">
        <f t="shared" si="3"/>
        <v>531</v>
      </c>
      <c r="F17" s="14">
        <v>1</v>
      </c>
      <c r="I17" s="14">
        <v>0</v>
      </c>
      <c r="J17" s="14">
        <v>198</v>
      </c>
      <c r="K17" s="14" t="str">
        <v>A</v>
      </c>
      <c r="L17" s="14" t="str">
        <v>D</v>
      </c>
      <c r="M17" s="14" t="str">
        <v>A</v>
      </c>
      <c r="N17" s="14" t="str">
        <v>D</v>
      </c>
    </row>
    <row r="18" spans="1:14" x14ac:dyDescent="0.25">
      <c r="A18" s="14" t="s">
        <v>45</v>
      </c>
      <c r="B18" s="14">
        <f t="shared" si="0"/>
        <v>0</v>
      </c>
      <c r="C18" s="14">
        <f t="shared" si="1"/>
        <v>0</v>
      </c>
      <c r="D18" s="14">
        <f t="shared" si="2"/>
        <v>0</v>
      </c>
      <c r="E18" s="14">
        <f t="shared" si="3"/>
        <v>63</v>
      </c>
      <c r="F18" s="14">
        <v>2</v>
      </c>
      <c r="I18" s="14">
        <v>0</v>
      </c>
      <c r="J18" s="14">
        <v>212</v>
      </c>
      <c r="K18" s="14" t="str">
        <v>A</v>
      </c>
      <c r="L18" s="14" t="str">
        <v>D</v>
      </c>
      <c r="M18" s="14" t="str">
        <v>B</v>
      </c>
      <c r="N18" s="14" t="str">
        <v>E</v>
      </c>
    </row>
    <row r="19" spans="1:14" x14ac:dyDescent="0.25">
      <c r="A19" s="14" t="s">
        <v>46</v>
      </c>
      <c r="B19" s="14">
        <f t="shared" si="0"/>
        <v>0</v>
      </c>
      <c r="C19" s="14">
        <f t="shared" si="1"/>
        <v>0</v>
      </c>
      <c r="D19" s="14">
        <f t="shared" si="2"/>
        <v>0</v>
      </c>
      <c r="E19" s="14">
        <f t="shared" si="3"/>
        <v>234</v>
      </c>
      <c r="F19" s="14">
        <v>3</v>
      </c>
      <c r="I19" s="14">
        <v>0</v>
      </c>
      <c r="J19" s="14">
        <v>226</v>
      </c>
      <c r="K19" s="14" t="str">
        <v>A</v>
      </c>
      <c r="L19" s="14" t="str">
        <v>D</v>
      </c>
      <c r="M19" s="14" t="str">
        <v>C</v>
      </c>
      <c r="N19" s="14" t="str">
        <v>F</v>
      </c>
    </row>
    <row r="20" spans="1:14" x14ac:dyDescent="0.25">
      <c r="A20" s="14" t="s">
        <v>47</v>
      </c>
      <c r="B20" s="14">
        <f>SUMIF($K:$K,A20,$I:$I)</f>
        <v>0</v>
      </c>
      <c r="C20" s="14">
        <f>SUMIF($L:$L,A20,$I:$I)</f>
        <v>0</v>
      </c>
      <c r="D20" s="14">
        <f>SUMIF($M:$M,A20,$I:$I)</f>
        <v>0</v>
      </c>
      <c r="E20" s="14">
        <f>SUMIF($N:$N,A20,$I:$I)</f>
        <v>0</v>
      </c>
      <c r="F20" s="14">
        <v>4</v>
      </c>
      <c r="I20" s="14">
        <v>0</v>
      </c>
      <c r="J20" s="14">
        <v>240</v>
      </c>
      <c r="K20" s="14" t="str">
        <v>A</v>
      </c>
      <c r="L20" s="14" t="str">
        <v>D</v>
      </c>
      <c r="M20" s="14" t="str">
        <v>D</v>
      </c>
      <c r="N20" s="14" t="str">
        <v>G</v>
      </c>
    </row>
    <row r="21" spans="1:14" x14ac:dyDescent="0.25">
      <c r="A21" s="14" t="s">
        <v>48</v>
      </c>
      <c r="B21" s="14">
        <f>SUMIF($K:$K,A21,$I:$I)</f>
        <v>0</v>
      </c>
      <c r="C21" s="14">
        <f>SUMIF($L:$L,A21,$I:$I)</f>
        <v>0</v>
      </c>
      <c r="D21" s="14">
        <f>SUMIF($M:$M,A21,$I:$I)</f>
        <v>0</v>
      </c>
      <c r="E21" s="14">
        <f>SUMIF($N:$N,A21,$I:$I)</f>
        <v>0</v>
      </c>
      <c r="F21" s="14">
        <v>5</v>
      </c>
      <c r="I21" s="14">
        <v>0</v>
      </c>
      <c r="J21" s="14">
        <v>254</v>
      </c>
      <c r="K21" s="14" t="str">
        <v>A</v>
      </c>
      <c r="L21" s="14" t="str">
        <v>D</v>
      </c>
      <c r="M21" s="14" t="str">
        <v>E</v>
      </c>
      <c r="N21" s="14" t="str">
        <v>H</v>
      </c>
    </row>
    <row r="22" spans="1:14" x14ac:dyDescent="0.25">
      <c r="A22" s="14" t="s">
        <v>49</v>
      </c>
      <c r="B22" s="14">
        <f>SUMIF($K:$K,A22,$I:$I)</f>
        <v>0</v>
      </c>
      <c r="C22" s="14">
        <f>SUMIF($L:$L,A22,$I:$I)</f>
        <v>0</v>
      </c>
      <c r="D22" s="14">
        <f>SUMIF($M:$M,A22,$I:$I)</f>
        <v>0</v>
      </c>
      <c r="E22" s="14">
        <f>SUMIF($N:$N,A22,$I:$I)</f>
        <v>0</v>
      </c>
      <c r="F22" s="14">
        <v>6</v>
      </c>
      <c r="I22" s="14">
        <v>193</v>
      </c>
      <c r="J22" s="14">
        <v>264</v>
      </c>
      <c r="K22" s="14" t="str">
        <v>A</v>
      </c>
      <c r="L22" s="14" t="str">
        <v>E</v>
      </c>
      <c r="M22" s="14" t="str">
        <v>A</v>
      </c>
      <c r="N22" s="14" t="str">
        <v>E</v>
      </c>
    </row>
    <row r="23" spans="1:14" x14ac:dyDescent="0.25">
      <c r="B23" s="14">
        <f>SUM(B10:B22)</f>
        <v>2000</v>
      </c>
      <c r="C23" s="14">
        <f>SUM(C10:C22)</f>
        <v>2000</v>
      </c>
      <c r="D23" s="14">
        <f>SUM(D10:D22)</f>
        <v>2000</v>
      </c>
      <c r="E23" s="14">
        <f>SUM(E10:E22)</f>
        <v>2000</v>
      </c>
      <c r="I23" s="14">
        <v>0</v>
      </c>
      <c r="J23" s="14">
        <v>278</v>
      </c>
      <c r="K23" s="14" t="str">
        <v>A</v>
      </c>
      <c r="L23" s="14" t="str">
        <v>E</v>
      </c>
      <c r="M23" s="14" t="str">
        <v>B</v>
      </c>
      <c r="N23" s="14" t="str">
        <v>F</v>
      </c>
    </row>
    <row r="24" spans="1:14" x14ac:dyDescent="0.25">
      <c r="I24" s="14">
        <v>0</v>
      </c>
      <c r="J24" s="14">
        <v>292</v>
      </c>
      <c r="K24" s="14" t="str">
        <v>A</v>
      </c>
      <c r="L24" s="14" t="str">
        <v>E</v>
      </c>
      <c r="M24" s="14" t="str">
        <v>C</v>
      </c>
      <c r="N24" s="14" t="str">
        <v>G</v>
      </c>
    </row>
    <row r="25" spans="1:14" x14ac:dyDescent="0.25">
      <c r="I25" s="14">
        <v>0</v>
      </c>
      <c r="J25" s="14">
        <v>306</v>
      </c>
      <c r="K25" s="14" t="str">
        <v>A</v>
      </c>
      <c r="L25" s="14" t="str">
        <v>E</v>
      </c>
      <c r="M25" s="14" t="str">
        <v>D</v>
      </c>
      <c r="N25" s="14" t="str">
        <v>H</v>
      </c>
    </row>
    <row r="26" spans="1:14" x14ac:dyDescent="0.25">
      <c r="I26" s="14">
        <v>0</v>
      </c>
      <c r="J26" s="14">
        <v>320</v>
      </c>
      <c r="K26" s="14" t="str">
        <v>A</v>
      </c>
      <c r="L26" s="14" t="str">
        <v>E</v>
      </c>
      <c r="M26" s="14" t="str">
        <v>E</v>
      </c>
      <c r="N26" s="14" t="str">
        <v>I</v>
      </c>
    </row>
    <row r="27" spans="1:14" x14ac:dyDescent="0.25">
      <c r="I27" s="14">
        <v>0</v>
      </c>
      <c r="J27" s="14">
        <v>326</v>
      </c>
      <c r="K27" s="14" t="str">
        <v>B</v>
      </c>
      <c r="L27" s="14" t="str">
        <v>A</v>
      </c>
      <c r="M27" s="14" t="str">
        <v>A</v>
      </c>
      <c r="N27" s="14" t="str">
        <v>B</v>
      </c>
    </row>
    <row r="28" spans="1:14" x14ac:dyDescent="0.25">
      <c r="I28" s="14">
        <v>0</v>
      </c>
      <c r="J28" s="14">
        <v>340</v>
      </c>
      <c r="K28" s="14" t="str">
        <v>B</v>
      </c>
      <c r="L28" s="14" t="str">
        <v>A</v>
      </c>
      <c r="M28" s="14" t="str">
        <v>B</v>
      </c>
      <c r="N28" s="14" t="str">
        <v>C</v>
      </c>
    </row>
    <row r="29" spans="1:14" x14ac:dyDescent="0.25">
      <c r="I29" s="14">
        <v>0</v>
      </c>
      <c r="J29" s="14">
        <v>354</v>
      </c>
      <c r="K29" s="14" t="str">
        <v>B</v>
      </c>
      <c r="L29" s="14" t="str">
        <v>A</v>
      </c>
      <c r="M29" s="14" t="str">
        <v>C</v>
      </c>
      <c r="N29" s="14" t="str">
        <v>D</v>
      </c>
    </row>
    <row r="30" spans="1:14" x14ac:dyDescent="0.25">
      <c r="I30" s="14">
        <v>0</v>
      </c>
      <c r="J30" s="14">
        <v>368</v>
      </c>
      <c r="K30" s="14" t="str">
        <v>B</v>
      </c>
      <c r="L30" s="14" t="str">
        <v>A</v>
      </c>
      <c r="M30" s="14" t="str">
        <v>D</v>
      </c>
      <c r="N30" s="14" t="str">
        <v>E</v>
      </c>
    </row>
    <row r="31" spans="1:14" x14ac:dyDescent="0.25">
      <c r="I31" s="14">
        <v>0</v>
      </c>
      <c r="J31" s="14">
        <v>382</v>
      </c>
      <c r="K31" s="14" t="str">
        <v>B</v>
      </c>
      <c r="L31" s="14" t="str">
        <v>A</v>
      </c>
      <c r="M31" s="14" t="str">
        <v>E</v>
      </c>
      <c r="N31" s="14" t="str">
        <v>F</v>
      </c>
    </row>
    <row r="32" spans="1:14" x14ac:dyDescent="0.25">
      <c r="I32" s="14">
        <v>0</v>
      </c>
      <c r="J32" s="14">
        <v>392</v>
      </c>
      <c r="K32" s="14" t="str">
        <v>B</v>
      </c>
      <c r="L32" s="14" t="str">
        <v>B</v>
      </c>
      <c r="M32" s="14" t="str">
        <v>A</v>
      </c>
      <c r="N32" s="14" t="str">
        <v>C</v>
      </c>
    </row>
    <row r="33" spans="9:14" x14ac:dyDescent="0.25">
      <c r="I33" s="14">
        <v>0</v>
      </c>
      <c r="J33" s="14">
        <v>406</v>
      </c>
      <c r="K33" s="14" t="str">
        <v>B</v>
      </c>
      <c r="L33" s="14" t="str">
        <v>B</v>
      </c>
      <c r="M33" s="14" t="str">
        <v>B</v>
      </c>
      <c r="N33" s="14" t="str">
        <v>D</v>
      </c>
    </row>
    <row r="34" spans="9:14" x14ac:dyDescent="0.25">
      <c r="I34" s="14">
        <v>0</v>
      </c>
      <c r="J34" s="14">
        <v>420</v>
      </c>
      <c r="K34" s="14" t="str">
        <v>B</v>
      </c>
      <c r="L34" s="14" t="str">
        <v>B</v>
      </c>
      <c r="M34" s="14" t="str">
        <v>C</v>
      </c>
      <c r="N34" s="14" t="str">
        <v>E</v>
      </c>
    </row>
    <row r="35" spans="9:14" x14ac:dyDescent="0.25">
      <c r="I35" s="14">
        <v>0</v>
      </c>
      <c r="J35" s="14">
        <v>434</v>
      </c>
      <c r="K35" s="14" t="str">
        <v>B</v>
      </c>
      <c r="L35" s="14" t="str">
        <v>B</v>
      </c>
      <c r="M35" s="14" t="str">
        <v>D</v>
      </c>
      <c r="N35" s="14" t="str">
        <v>F</v>
      </c>
    </row>
    <row r="36" spans="9:14" x14ac:dyDescent="0.25">
      <c r="I36" s="14">
        <v>192</v>
      </c>
      <c r="J36" s="14">
        <v>448</v>
      </c>
      <c r="K36" s="14" t="str">
        <v>B</v>
      </c>
      <c r="L36" s="14" t="str">
        <v>B</v>
      </c>
      <c r="M36" s="14" t="str">
        <v>E</v>
      </c>
      <c r="N36" s="14" t="str">
        <v>G</v>
      </c>
    </row>
    <row r="37" spans="9:14" x14ac:dyDescent="0.25">
      <c r="I37" s="14">
        <v>0</v>
      </c>
      <c r="J37" s="14">
        <v>458</v>
      </c>
      <c r="K37" s="14" t="str">
        <v>B</v>
      </c>
      <c r="L37" s="14" t="str">
        <v>C</v>
      </c>
      <c r="M37" s="14" t="str">
        <v>A</v>
      </c>
      <c r="N37" s="14" t="str">
        <v>D</v>
      </c>
    </row>
    <row r="38" spans="9:14" x14ac:dyDescent="0.25">
      <c r="I38" s="14">
        <v>0</v>
      </c>
      <c r="J38" s="14">
        <v>472</v>
      </c>
      <c r="K38" s="14" t="str">
        <v>B</v>
      </c>
      <c r="L38" s="14" t="str">
        <v>C</v>
      </c>
      <c r="M38" s="14" t="str">
        <v>B</v>
      </c>
      <c r="N38" s="14" t="str">
        <v>E</v>
      </c>
    </row>
    <row r="39" spans="9:14" x14ac:dyDescent="0.25">
      <c r="I39" s="14">
        <v>0</v>
      </c>
      <c r="J39" s="14">
        <v>486</v>
      </c>
      <c r="K39" s="14" t="str">
        <v>B</v>
      </c>
      <c r="L39" s="14" t="str">
        <v>C</v>
      </c>
      <c r="M39" s="14" t="str">
        <v>C</v>
      </c>
      <c r="N39" s="14" t="str">
        <v>F</v>
      </c>
    </row>
    <row r="40" spans="9:14" x14ac:dyDescent="0.25">
      <c r="I40" s="14">
        <v>0</v>
      </c>
      <c r="J40" s="14">
        <v>500</v>
      </c>
      <c r="K40" s="14" t="str">
        <v>B</v>
      </c>
      <c r="L40" s="14" t="str">
        <v>C</v>
      </c>
      <c r="M40" s="14" t="str">
        <v>D</v>
      </c>
      <c r="N40" s="14" t="str">
        <v>G</v>
      </c>
    </row>
    <row r="41" spans="9:14" x14ac:dyDescent="0.25">
      <c r="I41" s="14">
        <v>0</v>
      </c>
      <c r="J41" s="14">
        <v>514</v>
      </c>
      <c r="K41" s="14" t="str">
        <v>B</v>
      </c>
      <c r="L41" s="14" t="str">
        <v>C</v>
      </c>
      <c r="M41" s="14" t="str">
        <v>E</v>
      </c>
      <c r="N41" s="14" t="str">
        <v>H</v>
      </c>
    </row>
    <row r="42" spans="9:14" x14ac:dyDescent="0.25">
      <c r="I42" s="14">
        <v>0</v>
      </c>
      <c r="J42" s="14">
        <v>524</v>
      </c>
      <c r="K42" s="14" t="str">
        <v>B</v>
      </c>
      <c r="L42" s="14" t="str">
        <v>D</v>
      </c>
      <c r="M42" s="14" t="str">
        <v>A</v>
      </c>
      <c r="N42" s="14" t="str">
        <v>E</v>
      </c>
    </row>
    <row r="43" spans="9:14" x14ac:dyDescent="0.25">
      <c r="I43" s="14">
        <v>0</v>
      </c>
      <c r="J43" s="14">
        <v>538</v>
      </c>
      <c r="K43" s="14" t="str">
        <v>B</v>
      </c>
      <c r="L43" s="14" t="str">
        <v>D</v>
      </c>
      <c r="M43" s="14" t="str">
        <v>B</v>
      </c>
      <c r="N43" s="14" t="str">
        <v>F</v>
      </c>
    </row>
    <row r="44" spans="9:14" x14ac:dyDescent="0.25">
      <c r="I44" s="14">
        <v>0</v>
      </c>
      <c r="J44" s="14">
        <v>552</v>
      </c>
      <c r="K44" s="14" t="str">
        <v>B</v>
      </c>
      <c r="L44" s="14" t="str">
        <v>D</v>
      </c>
      <c r="M44" s="14" t="str">
        <v>C</v>
      </c>
      <c r="N44" s="14" t="str">
        <v>G</v>
      </c>
    </row>
    <row r="45" spans="9:14" x14ac:dyDescent="0.25">
      <c r="I45" s="14">
        <v>0</v>
      </c>
      <c r="J45" s="14">
        <v>566</v>
      </c>
      <c r="K45" s="14" t="str">
        <v>B</v>
      </c>
      <c r="L45" s="14" t="str">
        <v>D</v>
      </c>
      <c r="M45" s="14" t="str">
        <v>D</v>
      </c>
      <c r="N45" s="14" t="str">
        <v>H</v>
      </c>
    </row>
    <row r="46" spans="9:14" x14ac:dyDescent="0.25">
      <c r="I46" s="14">
        <v>0</v>
      </c>
      <c r="J46" s="14">
        <v>580</v>
      </c>
      <c r="K46" s="14" t="str">
        <v>B</v>
      </c>
      <c r="L46" s="14" t="str">
        <v>D</v>
      </c>
      <c r="M46" s="14" t="str">
        <v>E</v>
      </c>
      <c r="N46" s="14" t="str">
        <v>I</v>
      </c>
    </row>
    <row r="47" spans="9:14" x14ac:dyDescent="0.25">
      <c r="I47" s="14">
        <v>0</v>
      </c>
      <c r="J47" s="14">
        <v>590</v>
      </c>
      <c r="K47" s="14" t="str">
        <v>B</v>
      </c>
      <c r="L47" s="14" t="str">
        <v>E</v>
      </c>
      <c r="M47" s="14" t="str">
        <v>A</v>
      </c>
      <c r="N47" s="14" t="str">
        <v>F</v>
      </c>
    </row>
    <row r="48" spans="9:14" x14ac:dyDescent="0.25">
      <c r="I48" s="14">
        <v>199</v>
      </c>
      <c r="J48" s="14">
        <v>604</v>
      </c>
      <c r="K48" s="14" t="str">
        <v>B</v>
      </c>
      <c r="L48" s="14" t="str">
        <v>E</v>
      </c>
      <c r="M48" s="14" t="str">
        <v>B</v>
      </c>
      <c r="N48" s="14" t="str">
        <v>G</v>
      </c>
    </row>
    <row r="49" spans="9:14" x14ac:dyDescent="0.25">
      <c r="I49" s="14">
        <v>0</v>
      </c>
      <c r="J49" s="14">
        <v>618</v>
      </c>
      <c r="K49" s="14" t="str">
        <v>B</v>
      </c>
      <c r="L49" s="14" t="str">
        <v>E</v>
      </c>
      <c r="M49" s="14" t="str">
        <v>C</v>
      </c>
      <c r="N49" s="14" t="str">
        <v>H</v>
      </c>
    </row>
    <row r="50" spans="9:14" x14ac:dyDescent="0.25">
      <c r="I50" s="14">
        <v>0</v>
      </c>
      <c r="J50" s="14">
        <v>632</v>
      </c>
      <c r="K50" s="14" t="str">
        <v>B</v>
      </c>
      <c r="L50" s="14" t="str">
        <v>E</v>
      </c>
      <c r="M50" s="14" t="str">
        <v>D</v>
      </c>
      <c r="N50" s="14" t="str">
        <v>I</v>
      </c>
    </row>
    <row r="51" spans="9:14" x14ac:dyDescent="0.25">
      <c r="I51" s="14">
        <v>0</v>
      </c>
      <c r="J51" s="14">
        <v>646</v>
      </c>
      <c r="K51" s="14" t="str">
        <v>B</v>
      </c>
      <c r="L51" s="14" t="str">
        <v>E</v>
      </c>
      <c r="M51" s="14" t="str">
        <v>E</v>
      </c>
      <c r="N51" s="14" t="str">
        <v>J</v>
      </c>
    </row>
    <row r="52" spans="9:14" x14ac:dyDescent="0.25">
      <c r="I52" s="14">
        <v>0</v>
      </c>
      <c r="J52" s="14">
        <v>652</v>
      </c>
      <c r="K52" s="14" t="str">
        <v>C</v>
      </c>
      <c r="L52" s="14" t="str">
        <v>A</v>
      </c>
      <c r="M52" s="14" t="str">
        <v>A</v>
      </c>
      <c r="N52" s="14" t="str">
        <v>C</v>
      </c>
    </row>
    <row r="53" spans="9:14" x14ac:dyDescent="0.25">
      <c r="I53" s="14">
        <v>0</v>
      </c>
      <c r="J53" s="14">
        <v>666</v>
      </c>
      <c r="K53" s="14" t="str">
        <v>C</v>
      </c>
      <c r="L53" s="14" t="str">
        <v>A</v>
      </c>
      <c r="M53" s="14" t="str">
        <v>B</v>
      </c>
      <c r="N53" s="14" t="str">
        <v>D</v>
      </c>
    </row>
    <row r="54" spans="9:14" x14ac:dyDescent="0.25">
      <c r="I54" s="14">
        <v>0</v>
      </c>
      <c r="J54" s="14">
        <v>680</v>
      </c>
      <c r="K54" s="14" t="str">
        <v>C</v>
      </c>
      <c r="L54" s="14" t="str">
        <v>A</v>
      </c>
      <c r="M54" s="14" t="str">
        <v>C</v>
      </c>
      <c r="N54" s="14" t="str">
        <v>E</v>
      </c>
    </row>
    <row r="55" spans="9:14" x14ac:dyDescent="0.25">
      <c r="I55" s="14">
        <v>0</v>
      </c>
      <c r="J55" s="14">
        <v>694</v>
      </c>
      <c r="K55" s="14" t="str">
        <v>C</v>
      </c>
      <c r="L55" s="14" t="str">
        <v>A</v>
      </c>
      <c r="M55" s="14" t="str">
        <v>D</v>
      </c>
      <c r="N55" s="14" t="str">
        <v>F</v>
      </c>
    </row>
    <row r="56" spans="9:14" x14ac:dyDescent="0.25">
      <c r="I56" s="14">
        <v>0</v>
      </c>
      <c r="J56" s="14">
        <v>708</v>
      </c>
      <c r="K56" s="14" t="str">
        <v>C</v>
      </c>
      <c r="L56" s="14" t="str">
        <v>A</v>
      </c>
      <c r="M56" s="14" t="str">
        <v>E</v>
      </c>
      <c r="N56" s="14" t="str">
        <v>G</v>
      </c>
    </row>
    <row r="57" spans="9:14" x14ac:dyDescent="0.25">
      <c r="I57" s="14">
        <v>0</v>
      </c>
      <c r="J57" s="14">
        <v>718</v>
      </c>
      <c r="K57" s="14" t="str">
        <v>C</v>
      </c>
      <c r="L57" s="14" t="str">
        <v>B</v>
      </c>
      <c r="M57" s="14" t="str">
        <v>A</v>
      </c>
      <c r="N57" s="14" t="str">
        <v>D</v>
      </c>
    </row>
    <row r="58" spans="9:14" x14ac:dyDescent="0.25">
      <c r="I58" s="14">
        <v>0</v>
      </c>
      <c r="J58" s="14">
        <v>732</v>
      </c>
      <c r="K58" s="14" t="str">
        <v>C</v>
      </c>
      <c r="L58" s="14" t="str">
        <v>B</v>
      </c>
      <c r="M58" s="14" t="str">
        <v>B</v>
      </c>
      <c r="N58" s="14" t="str">
        <v>E</v>
      </c>
    </row>
    <row r="59" spans="9:14" x14ac:dyDescent="0.25">
      <c r="I59" s="14">
        <v>0</v>
      </c>
      <c r="J59" s="14">
        <v>746</v>
      </c>
      <c r="K59" s="14" t="str">
        <v>C</v>
      </c>
      <c r="L59" s="14" t="str">
        <v>B</v>
      </c>
      <c r="M59" s="14" t="str">
        <v>C</v>
      </c>
      <c r="N59" s="14" t="str">
        <v>F</v>
      </c>
    </row>
    <row r="60" spans="9:14" x14ac:dyDescent="0.25">
      <c r="I60" s="14">
        <v>0</v>
      </c>
      <c r="J60" s="14">
        <v>760</v>
      </c>
      <c r="K60" s="14" t="str">
        <v>C</v>
      </c>
      <c r="L60" s="14" t="str">
        <v>B</v>
      </c>
      <c r="M60" s="14" t="str">
        <v>D</v>
      </c>
      <c r="N60" s="14" t="str">
        <v>G</v>
      </c>
    </row>
    <row r="61" spans="9:14" x14ac:dyDescent="0.25">
      <c r="I61" s="14">
        <v>0</v>
      </c>
      <c r="J61" s="14">
        <v>774</v>
      </c>
      <c r="K61" s="14" t="str">
        <v>C</v>
      </c>
      <c r="L61" s="14" t="str">
        <v>B</v>
      </c>
      <c r="M61" s="14" t="str">
        <v>E</v>
      </c>
      <c r="N61" s="14" t="str">
        <v>H</v>
      </c>
    </row>
    <row r="62" spans="9:14" x14ac:dyDescent="0.25">
      <c r="I62" s="14">
        <v>0</v>
      </c>
      <c r="J62" s="14">
        <v>784</v>
      </c>
      <c r="K62" s="14" t="str">
        <v>C</v>
      </c>
      <c r="L62" s="14" t="str">
        <v>C</v>
      </c>
      <c r="M62" s="14" t="str">
        <v>A</v>
      </c>
      <c r="N62" s="14" t="str">
        <v>E</v>
      </c>
    </row>
    <row r="63" spans="9:14" x14ac:dyDescent="0.25">
      <c r="I63" s="14">
        <v>0</v>
      </c>
      <c r="J63" s="14">
        <v>798</v>
      </c>
      <c r="K63" s="14" t="str">
        <v>C</v>
      </c>
      <c r="L63" s="14" t="str">
        <v>C</v>
      </c>
      <c r="M63" s="14" t="str">
        <v>B</v>
      </c>
      <c r="N63" s="14" t="str">
        <v>F</v>
      </c>
    </row>
    <row r="64" spans="9:14" x14ac:dyDescent="0.25">
      <c r="I64" s="14">
        <v>0</v>
      </c>
      <c r="J64" s="14">
        <v>812</v>
      </c>
      <c r="K64" s="14" t="str">
        <v>C</v>
      </c>
      <c r="L64" s="14" t="str">
        <v>C</v>
      </c>
      <c r="M64" s="14" t="str">
        <v>C</v>
      </c>
      <c r="N64" s="14" t="str">
        <v>G</v>
      </c>
    </row>
    <row r="65" spans="9:14" x14ac:dyDescent="0.25">
      <c r="I65" s="14">
        <v>163</v>
      </c>
      <c r="J65" s="14">
        <v>826</v>
      </c>
      <c r="K65" s="14" t="str">
        <v>C</v>
      </c>
      <c r="L65" s="14" t="str">
        <v>C</v>
      </c>
      <c r="M65" s="14" t="str">
        <v>D</v>
      </c>
      <c r="N65" s="14" t="str">
        <v>H</v>
      </c>
    </row>
    <row r="66" spans="9:14" x14ac:dyDescent="0.25">
      <c r="I66" s="14">
        <v>15</v>
      </c>
      <c r="J66" s="14">
        <v>840</v>
      </c>
      <c r="K66" s="14" t="str">
        <v>C</v>
      </c>
      <c r="L66" s="14" t="str">
        <v>C</v>
      </c>
      <c r="M66" s="14" t="str">
        <v>E</v>
      </c>
      <c r="N66" s="14" t="str">
        <v>I</v>
      </c>
    </row>
    <row r="67" spans="9:14" x14ac:dyDescent="0.25">
      <c r="I67" s="14">
        <v>0</v>
      </c>
      <c r="J67" s="14">
        <v>850</v>
      </c>
      <c r="K67" s="14" t="str">
        <v>C</v>
      </c>
      <c r="L67" s="14" t="str">
        <v>D</v>
      </c>
      <c r="M67" s="14" t="str">
        <v>A</v>
      </c>
      <c r="N67" s="14" t="str">
        <v>F</v>
      </c>
    </row>
    <row r="68" spans="9:14" x14ac:dyDescent="0.25">
      <c r="I68" s="14">
        <v>0</v>
      </c>
      <c r="J68" s="14">
        <v>864</v>
      </c>
      <c r="K68" s="14" t="str">
        <v>C</v>
      </c>
      <c r="L68" s="14" t="str">
        <v>D</v>
      </c>
      <c r="M68" s="14" t="str">
        <v>B</v>
      </c>
      <c r="N68" s="14" t="str">
        <v>G</v>
      </c>
    </row>
    <row r="69" spans="9:14" x14ac:dyDescent="0.25">
      <c r="I69" s="14">
        <v>193</v>
      </c>
      <c r="J69" s="14">
        <v>878</v>
      </c>
      <c r="K69" s="14" t="str">
        <v>C</v>
      </c>
      <c r="L69" s="14" t="str">
        <v>D</v>
      </c>
      <c r="M69" s="14" t="str">
        <v>C</v>
      </c>
      <c r="N69" s="14" t="str">
        <v>H</v>
      </c>
    </row>
    <row r="70" spans="9:14" x14ac:dyDescent="0.25">
      <c r="I70" s="14">
        <v>0</v>
      </c>
      <c r="J70" s="14">
        <v>892</v>
      </c>
      <c r="K70" s="14" t="str">
        <v>C</v>
      </c>
      <c r="L70" s="14" t="str">
        <v>D</v>
      </c>
      <c r="M70" s="14" t="str">
        <v>D</v>
      </c>
      <c r="N70" s="14" t="str">
        <v>I</v>
      </c>
    </row>
    <row r="71" spans="9:14" x14ac:dyDescent="0.25">
      <c r="I71" s="14">
        <v>0</v>
      </c>
      <c r="J71" s="14">
        <v>906</v>
      </c>
      <c r="K71" s="14" t="str">
        <v>C</v>
      </c>
      <c r="L71" s="14" t="str">
        <v>D</v>
      </c>
      <c r="M71" s="14" t="str">
        <v>E</v>
      </c>
      <c r="N71" s="14" t="str">
        <v>J</v>
      </c>
    </row>
    <row r="72" spans="9:14" x14ac:dyDescent="0.25">
      <c r="I72" s="14">
        <v>0</v>
      </c>
      <c r="J72" s="14">
        <v>916</v>
      </c>
      <c r="K72" s="14" t="str">
        <v>C</v>
      </c>
      <c r="L72" s="14" t="str">
        <v>E</v>
      </c>
      <c r="M72" s="14" t="str">
        <v>A</v>
      </c>
      <c r="N72" s="14" t="str">
        <v>G</v>
      </c>
    </row>
    <row r="73" spans="9:14" x14ac:dyDescent="0.25">
      <c r="I73" s="14">
        <v>0</v>
      </c>
      <c r="J73" s="14">
        <v>930</v>
      </c>
      <c r="K73" s="14" t="str">
        <v>C</v>
      </c>
      <c r="L73" s="14" t="str">
        <v>E</v>
      </c>
      <c r="M73" s="14" t="str">
        <v>B</v>
      </c>
      <c r="N73" s="14" t="str">
        <v>H</v>
      </c>
    </row>
    <row r="74" spans="9:14" x14ac:dyDescent="0.25">
      <c r="I74" s="14">
        <v>12</v>
      </c>
      <c r="J74" s="14">
        <v>944</v>
      </c>
      <c r="K74" s="14" t="str">
        <v>C</v>
      </c>
      <c r="L74" s="14" t="str">
        <v>E</v>
      </c>
      <c r="M74" s="14" t="str">
        <v>C</v>
      </c>
      <c r="N74" s="14" t="str">
        <v>I</v>
      </c>
    </row>
    <row r="75" spans="9:14" x14ac:dyDescent="0.25">
      <c r="I75" s="14">
        <v>0</v>
      </c>
      <c r="J75" s="14">
        <v>958</v>
      </c>
      <c r="K75" s="14" t="str">
        <v>C</v>
      </c>
      <c r="L75" s="14" t="str">
        <v>E</v>
      </c>
      <c r="M75" s="14" t="str">
        <v>D</v>
      </c>
      <c r="N75" s="14" t="str">
        <v>J</v>
      </c>
    </row>
    <row r="76" spans="9:14" x14ac:dyDescent="0.25">
      <c r="I76" s="14">
        <v>0</v>
      </c>
      <c r="J76" s="14">
        <v>972</v>
      </c>
      <c r="K76" s="14" t="str">
        <v>C</v>
      </c>
      <c r="L76" s="14" t="str">
        <v>E</v>
      </c>
      <c r="M76" s="14" t="str">
        <v>E</v>
      </c>
      <c r="N76" s="14" t="str">
        <v>K</v>
      </c>
    </row>
    <row r="77" spans="9:14" x14ac:dyDescent="0.25">
      <c r="I77" s="14">
        <v>0</v>
      </c>
      <c r="J77" s="14">
        <v>978</v>
      </c>
      <c r="K77" s="14" t="str">
        <v>D</v>
      </c>
      <c r="L77" s="14" t="str">
        <v>A</v>
      </c>
      <c r="M77" s="14" t="str">
        <v>A</v>
      </c>
      <c r="N77" s="14" t="str">
        <v>D</v>
      </c>
    </row>
    <row r="78" spans="9:14" x14ac:dyDescent="0.25">
      <c r="I78" s="14">
        <v>0</v>
      </c>
      <c r="J78" s="14">
        <v>992</v>
      </c>
      <c r="K78" s="14" t="str">
        <v>D</v>
      </c>
      <c r="L78" s="14" t="str">
        <v>A</v>
      </c>
      <c r="M78" s="14" t="str">
        <v>B</v>
      </c>
      <c r="N78" s="14" t="str">
        <v>E</v>
      </c>
    </row>
    <row r="79" spans="9:14" x14ac:dyDescent="0.25">
      <c r="I79" s="14">
        <v>0</v>
      </c>
      <c r="J79" s="14">
        <v>1006</v>
      </c>
      <c r="K79" s="14" t="str">
        <v>D</v>
      </c>
      <c r="L79" s="14" t="str">
        <v>A</v>
      </c>
      <c r="M79" s="14" t="str">
        <v>C</v>
      </c>
      <c r="N79" s="14" t="str">
        <v>F</v>
      </c>
    </row>
    <row r="80" spans="9:14" x14ac:dyDescent="0.25">
      <c r="I80" s="14">
        <v>0</v>
      </c>
      <c r="J80" s="14">
        <v>1020</v>
      </c>
      <c r="K80" s="14" t="str">
        <v>D</v>
      </c>
      <c r="L80" s="14" t="str">
        <v>A</v>
      </c>
      <c r="M80" s="14" t="str">
        <v>D</v>
      </c>
      <c r="N80" s="14" t="str">
        <v>G</v>
      </c>
    </row>
    <row r="81" spans="9:14" x14ac:dyDescent="0.25">
      <c r="I81" s="14">
        <v>0</v>
      </c>
      <c r="J81" s="14">
        <v>1034</v>
      </c>
      <c r="K81" s="14" t="str">
        <v>D</v>
      </c>
      <c r="L81" s="14" t="str">
        <v>A</v>
      </c>
      <c r="M81" s="14" t="str">
        <v>E</v>
      </c>
      <c r="N81" s="14" t="str">
        <v>H</v>
      </c>
    </row>
    <row r="82" spans="9:14" x14ac:dyDescent="0.25">
      <c r="I82" s="14">
        <v>0</v>
      </c>
      <c r="J82" s="14">
        <v>1044</v>
      </c>
      <c r="K82" s="14" t="str">
        <v>D</v>
      </c>
      <c r="L82" s="14" t="str">
        <v>B</v>
      </c>
      <c r="M82" s="14" t="str">
        <v>A</v>
      </c>
      <c r="N82" s="14" t="str">
        <v>E</v>
      </c>
    </row>
    <row r="83" spans="9:14" x14ac:dyDescent="0.25">
      <c r="I83" s="14">
        <v>0</v>
      </c>
      <c r="J83" s="14">
        <v>1058</v>
      </c>
      <c r="K83" s="14" t="str">
        <v>D</v>
      </c>
      <c r="L83" s="14" t="str">
        <v>B</v>
      </c>
      <c r="M83" s="14" t="str">
        <v>B</v>
      </c>
      <c r="N83" s="14" t="str">
        <v>F</v>
      </c>
    </row>
    <row r="84" spans="9:14" x14ac:dyDescent="0.25">
      <c r="I84" s="14">
        <v>0</v>
      </c>
      <c r="J84" s="14">
        <v>1072</v>
      </c>
      <c r="K84" s="14" t="str">
        <v>D</v>
      </c>
      <c r="L84" s="14" t="str">
        <v>B</v>
      </c>
      <c r="M84" s="14" t="str">
        <v>C</v>
      </c>
      <c r="N84" s="14" t="str">
        <v>G</v>
      </c>
    </row>
    <row r="85" spans="9:14" x14ac:dyDescent="0.25">
      <c r="I85" s="14">
        <v>0</v>
      </c>
      <c r="J85" s="14">
        <v>1086</v>
      </c>
      <c r="K85" s="14" t="str">
        <v>D</v>
      </c>
      <c r="L85" s="14" t="str">
        <v>B</v>
      </c>
      <c r="M85" s="14" t="str">
        <v>D</v>
      </c>
      <c r="N85" s="14" t="str">
        <v>H</v>
      </c>
    </row>
    <row r="86" spans="9:14" x14ac:dyDescent="0.25">
      <c r="I86" s="14">
        <v>0</v>
      </c>
      <c r="J86" s="14">
        <v>1100</v>
      </c>
      <c r="K86" s="14" t="str">
        <v>D</v>
      </c>
      <c r="L86" s="14" t="str">
        <v>B</v>
      </c>
      <c r="M86" s="14" t="str">
        <v>E</v>
      </c>
      <c r="N86" s="14" t="str">
        <v>I</v>
      </c>
    </row>
    <row r="87" spans="9:14" x14ac:dyDescent="0.25">
      <c r="I87" s="14">
        <v>0</v>
      </c>
      <c r="J87" s="14">
        <v>1110</v>
      </c>
      <c r="K87" s="14" t="str">
        <v>D</v>
      </c>
      <c r="L87" s="14" t="str">
        <v>C</v>
      </c>
      <c r="M87" s="14" t="str">
        <v>A</v>
      </c>
      <c r="N87" s="14" t="str">
        <v>F</v>
      </c>
    </row>
    <row r="88" spans="9:14" x14ac:dyDescent="0.25">
      <c r="I88" s="14">
        <v>0</v>
      </c>
      <c r="J88" s="14">
        <v>1124</v>
      </c>
      <c r="K88" s="14" t="str">
        <v>D</v>
      </c>
      <c r="L88" s="14" t="str">
        <v>C</v>
      </c>
      <c r="M88" s="14" t="str">
        <v>B</v>
      </c>
      <c r="N88" s="14" t="str">
        <v>G</v>
      </c>
    </row>
    <row r="89" spans="9:14" x14ac:dyDescent="0.25">
      <c r="I89" s="14">
        <v>175</v>
      </c>
      <c r="J89" s="14">
        <v>1138</v>
      </c>
      <c r="K89" s="14" t="str">
        <v>D</v>
      </c>
      <c r="L89" s="14" t="str">
        <v>C</v>
      </c>
      <c r="M89" s="14" t="str">
        <v>C</v>
      </c>
      <c r="N89" s="14" t="str">
        <v>H</v>
      </c>
    </row>
    <row r="90" spans="9:14" x14ac:dyDescent="0.25">
      <c r="I90" s="14">
        <v>0</v>
      </c>
      <c r="J90" s="14">
        <v>1152</v>
      </c>
      <c r="K90" s="14" t="str">
        <v>D</v>
      </c>
      <c r="L90" s="14" t="str">
        <v>C</v>
      </c>
      <c r="M90" s="14" t="str">
        <v>D</v>
      </c>
      <c r="N90" s="14" t="str">
        <v>I</v>
      </c>
    </row>
    <row r="91" spans="9:14" x14ac:dyDescent="0.25">
      <c r="I91" s="14">
        <v>0</v>
      </c>
      <c r="J91" s="14">
        <v>1166</v>
      </c>
      <c r="K91" s="14" t="str">
        <v>D</v>
      </c>
      <c r="L91" s="14" t="str">
        <v>C</v>
      </c>
      <c r="M91" s="14" t="str">
        <v>E</v>
      </c>
      <c r="N91" s="14" t="str">
        <v>J</v>
      </c>
    </row>
    <row r="92" spans="9:14" x14ac:dyDescent="0.25">
      <c r="I92" s="14">
        <v>0</v>
      </c>
      <c r="J92" s="14">
        <v>1176</v>
      </c>
      <c r="K92" s="14" t="str">
        <v>D</v>
      </c>
      <c r="L92" s="14" t="str">
        <v>D</v>
      </c>
      <c r="M92" s="14" t="str">
        <v>A</v>
      </c>
      <c r="N92" s="14" t="str">
        <v>G</v>
      </c>
    </row>
    <row r="93" spans="9:14" x14ac:dyDescent="0.25">
      <c r="I93" s="14">
        <v>0</v>
      </c>
      <c r="J93" s="14">
        <v>1190</v>
      </c>
      <c r="K93" s="14" t="str">
        <v>D</v>
      </c>
      <c r="L93" s="14" t="str">
        <v>D</v>
      </c>
      <c r="M93" s="14" t="str">
        <v>B</v>
      </c>
      <c r="N93" s="14" t="str">
        <v>H</v>
      </c>
    </row>
    <row r="94" spans="9:14" x14ac:dyDescent="0.25">
      <c r="I94" s="14">
        <v>0</v>
      </c>
      <c r="J94" s="14">
        <v>1204</v>
      </c>
      <c r="K94" s="14" t="str">
        <v>D</v>
      </c>
      <c r="L94" s="14" t="str">
        <v>D</v>
      </c>
      <c r="M94" s="14" t="str">
        <v>C</v>
      </c>
      <c r="N94" s="14" t="str">
        <v>I</v>
      </c>
    </row>
    <row r="95" spans="9:14" x14ac:dyDescent="0.25">
      <c r="I95" s="14">
        <v>234</v>
      </c>
      <c r="J95" s="14">
        <v>1218</v>
      </c>
      <c r="K95" s="14" t="str">
        <v>D</v>
      </c>
      <c r="L95" s="14" t="str">
        <v>D</v>
      </c>
      <c r="M95" s="14" t="str">
        <v>D</v>
      </c>
      <c r="N95" s="14" t="str">
        <v>J</v>
      </c>
    </row>
    <row r="96" spans="9:14" x14ac:dyDescent="0.25">
      <c r="I96" s="14">
        <v>0</v>
      </c>
      <c r="J96" s="14">
        <v>1232</v>
      </c>
      <c r="K96" s="14" t="str">
        <v>D</v>
      </c>
      <c r="L96" s="14" t="str">
        <v>D</v>
      </c>
      <c r="M96" s="14" t="str">
        <v>E</v>
      </c>
      <c r="N96" s="14" t="str">
        <v>K</v>
      </c>
    </row>
    <row r="97" spans="9:14" x14ac:dyDescent="0.25">
      <c r="I97" s="14">
        <v>0</v>
      </c>
      <c r="J97" s="14">
        <v>1242</v>
      </c>
      <c r="K97" s="14" t="str">
        <v>D</v>
      </c>
      <c r="L97" s="14" t="str">
        <v>E</v>
      </c>
      <c r="M97" s="14" t="str">
        <v>A</v>
      </c>
      <c r="N97" s="14" t="str">
        <v>H</v>
      </c>
    </row>
    <row r="98" spans="9:14" x14ac:dyDescent="0.25">
      <c r="I98" s="14">
        <v>0</v>
      </c>
      <c r="J98" s="14">
        <v>1256</v>
      </c>
      <c r="K98" s="14" t="str">
        <v>D</v>
      </c>
      <c r="L98" s="14" t="str">
        <v>E</v>
      </c>
      <c r="M98" s="14" t="str">
        <v>B</v>
      </c>
      <c r="N98" s="14" t="str">
        <v>I</v>
      </c>
    </row>
    <row r="99" spans="9:14" x14ac:dyDescent="0.25">
      <c r="I99" s="14">
        <v>0</v>
      </c>
      <c r="J99" s="14">
        <v>1270</v>
      </c>
      <c r="K99" s="14" t="str">
        <v>D</v>
      </c>
      <c r="L99" s="14" t="str">
        <v>E</v>
      </c>
      <c r="M99" s="14" t="str">
        <v>C</v>
      </c>
      <c r="N99" s="14" t="str">
        <v>J</v>
      </c>
    </row>
    <row r="100" spans="9:14" x14ac:dyDescent="0.25">
      <c r="I100" s="14">
        <v>0</v>
      </c>
      <c r="J100" s="14">
        <v>1284</v>
      </c>
      <c r="K100" s="14" t="str">
        <v>D</v>
      </c>
      <c r="L100" s="14" t="str">
        <v>E</v>
      </c>
      <c r="M100" s="14" t="str">
        <v>D</v>
      </c>
      <c r="N100" s="14" t="str">
        <v>K</v>
      </c>
    </row>
    <row r="101" spans="9:14" x14ac:dyDescent="0.25">
      <c r="I101" s="14">
        <v>0</v>
      </c>
      <c r="J101" s="14">
        <v>1298</v>
      </c>
      <c r="K101" s="14" t="str">
        <v>D</v>
      </c>
      <c r="L101" s="14" t="str">
        <v>E</v>
      </c>
      <c r="M101" s="14" t="str">
        <v>E</v>
      </c>
      <c r="N101" s="14" t="str">
        <v>L</v>
      </c>
    </row>
    <row r="102" spans="9:14" x14ac:dyDescent="0.25">
      <c r="I102" s="14">
        <v>181</v>
      </c>
      <c r="J102" s="14">
        <v>1304</v>
      </c>
      <c r="K102" s="14" t="str">
        <v>E</v>
      </c>
      <c r="L102" s="14" t="str">
        <v>A</v>
      </c>
      <c r="M102" s="14" t="str">
        <v>A</v>
      </c>
      <c r="N102" s="14" t="str">
        <v>E</v>
      </c>
    </row>
    <row r="103" spans="9:14" x14ac:dyDescent="0.25">
      <c r="I103" s="14">
        <v>0</v>
      </c>
      <c r="J103" s="14">
        <v>1318</v>
      </c>
      <c r="K103" s="14" t="str">
        <v>E</v>
      </c>
      <c r="L103" s="14" t="str">
        <v>A</v>
      </c>
      <c r="M103" s="14" t="str">
        <v>B</v>
      </c>
      <c r="N103" s="14" t="str">
        <v>F</v>
      </c>
    </row>
    <row r="104" spans="9:14" x14ac:dyDescent="0.25">
      <c r="I104" s="14">
        <v>0</v>
      </c>
      <c r="J104" s="14">
        <v>1332</v>
      </c>
      <c r="K104" s="14" t="str">
        <v>E</v>
      </c>
      <c r="L104" s="14" t="str">
        <v>A</v>
      </c>
      <c r="M104" s="14" t="str">
        <v>C</v>
      </c>
      <c r="N104" s="14" t="str">
        <v>G</v>
      </c>
    </row>
    <row r="105" spans="9:14" x14ac:dyDescent="0.25">
      <c r="I105" s="14">
        <v>0</v>
      </c>
      <c r="J105" s="14">
        <v>1346</v>
      </c>
      <c r="K105" s="14" t="str">
        <v>E</v>
      </c>
      <c r="L105" s="14" t="str">
        <v>A</v>
      </c>
      <c r="M105" s="14" t="str">
        <v>D</v>
      </c>
      <c r="N105" s="14" t="str">
        <v>H</v>
      </c>
    </row>
    <row r="106" spans="9:14" x14ac:dyDescent="0.25">
      <c r="I106" s="14">
        <v>0</v>
      </c>
      <c r="J106" s="14">
        <v>1360</v>
      </c>
      <c r="K106" s="14" t="str">
        <v>E</v>
      </c>
      <c r="L106" s="14" t="str">
        <v>A</v>
      </c>
      <c r="M106" s="14" t="str">
        <v>E</v>
      </c>
      <c r="N106" s="14" t="str">
        <v>I</v>
      </c>
    </row>
    <row r="107" spans="9:14" x14ac:dyDescent="0.25">
      <c r="I107" s="14">
        <v>0</v>
      </c>
      <c r="J107" s="14">
        <v>1370</v>
      </c>
      <c r="K107" s="14" t="str">
        <v>E</v>
      </c>
      <c r="L107" s="14" t="str">
        <v>B</v>
      </c>
      <c r="M107" s="14" t="str">
        <v>A</v>
      </c>
      <c r="N107" s="14" t="str">
        <v>F</v>
      </c>
    </row>
    <row r="108" spans="9:14" x14ac:dyDescent="0.25">
      <c r="I108" s="14">
        <v>190</v>
      </c>
      <c r="J108" s="14">
        <v>1384</v>
      </c>
      <c r="K108" s="14" t="str">
        <v>E</v>
      </c>
      <c r="L108" s="14" t="str">
        <v>B</v>
      </c>
      <c r="M108" s="14" t="str">
        <v>B</v>
      </c>
      <c r="N108" s="14" t="str">
        <v>G</v>
      </c>
    </row>
    <row r="109" spans="9:14" x14ac:dyDescent="0.25">
      <c r="I109" s="14">
        <v>0</v>
      </c>
      <c r="J109" s="14">
        <v>1398</v>
      </c>
      <c r="K109" s="14" t="str">
        <v>E</v>
      </c>
      <c r="L109" s="14" t="str">
        <v>B</v>
      </c>
      <c r="M109" s="14" t="str">
        <v>C</v>
      </c>
      <c r="N109" s="14" t="str">
        <v>H</v>
      </c>
    </row>
    <row r="110" spans="9:14" x14ac:dyDescent="0.25">
      <c r="I110" s="14">
        <v>0</v>
      </c>
      <c r="J110" s="14">
        <v>1412</v>
      </c>
      <c r="K110" s="14" t="str">
        <v>E</v>
      </c>
      <c r="L110" s="14" t="str">
        <v>B</v>
      </c>
      <c r="M110" s="14" t="str">
        <v>D</v>
      </c>
      <c r="N110" s="14" t="str">
        <v>I</v>
      </c>
    </row>
    <row r="111" spans="9:14" x14ac:dyDescent="0.25">
      <c r="I111" s="14">
        <v>0</v>
      </c>
      <c r="J111" s="14">
        <v>1426</v>
      </c>
      <c r="K111" s="14" t="str">
        <v>E</v>
      </c>
      <c r="L111" s="14" t="str">
        <v>B</v>
      </c>
      <c r="M111" s="14" t="str">
        <v>E</v>
      </c>
      <c r="N111" s="14" t="str">
        <v>J</v>
      </c>
    </row>
    <row r="112" spans="9:14" x14ac:dyDescent="0.25">
      <c r="I112" s="14">
        <v>0</v>
      </c>
      <c r="J112" s="14">
        <v>1436</v>
      </c>
      <c r="K112" s="14" t="str">
        <v>E</v>
      </c>
      <c r="L112" s="14" t="str">
        <v>C</v>
      </c>
      <c r="M112" s="14" t="str">
        <v>A</v>
      </c>
      <c r="N112" s="14" t="str">
        <v>G</v>
      </c>
    </row>
    <row r="113" spans="9:14" x14ac:dyDescent="0.25">
      <c r="I113" s="14">
        <v>0</v>
      </c>
      <c r="J113" s="14">
        <v>1450</v>
      </c>
      <c r="K113" s="14" t="str">
        <v>E</v>
      </c>
      <c r="L113" s="14" t="str">
        <v>C</v>
      </c>
      <c r="M113" s="14" t="str">
        <v>B</v>
      </c>
      <c r="N113" s="14" t="str">
        <v>H</v>
      </c>
    </row>
    <row r="114" spans="9:14" x14ac:dyDescent="0.25">
      <c r="I114" s="14">
        <v>36</v>
      </c>
      <c r="J114" s="14">
        <v>1464</v>
      </c>
      <c r="K114" s="14" t="str">
        <v>E</v>
      </c>
      <c r="L114" s="14" t="str">
        <v>C</v>
      </c>
      <c r="M114" s="14" t="str">
        <v>C</v>
      </c>
      <c r="N114" s="14" t="str">
        <v>I</v>
      </c>
    </row>
    <row r="115" spans="9:14" x14ac:dyDescent="0.25">
      <c r="I115" s="14">
        <v>0</v>
      </c>
      <c r="J115" s="14">
        <v>1478</v>
      </c>
      <c r="K115" s="14" t="str">
        <v>E</v>
      </c>
      <c r="L115" s="14" t="str">
        <v>C</v>
      </c>
      <c r="M115" s="14" t="str">
        <v>D</v>
      </c>
      <c r="N115" s="14" t="str">
        <v>J</v>
      </c>
    </row>
    <row r="116" spans="9:14" x14ac:dyDescent="0.25">
      <c r="I116" s="14">
        <v>0</v>
      </c>
      <c r="J116" s="14">
        <v>1492</v>
      </c>
      <c r="K116" s="14" t="str">
        <v>E</v>
      </c>
      <c r="L116" s="14" t="str">
        <v>C</v>
      </c>
      <c r="M116" s="14" t="str">
        <v>E</v>
      </c>
      <c r="N116" s="14" t="str">
        <v>K</v>
      </c>
    </row>
    <row r="117" spans="9:14" x14ac:dyDescent="0.25">
      <c r="I117" s="14">
        <v>0</v>
      </c>
      <c r="J117" s="14">
        <v>1502</v>
      </c>
      <c r="K117" s="14" t="str">
        <v>E</v>
      </c>
      <c r="L117" s="14" t="str">
        <v>D</v>
      </c>
      <c r="M117" s="14" t="str">
        <v>A</v>
      </c>
      <c r="N117" s="14" t="str">
        <v>H</v>
      </c>
    </row>
    <row r="118" spans="9:14" x14ac:dyDescent="0.25">
      <c r="I118" s="14">
        <v>0</v>
      </c>
      <c r="J118" s="14">
        <v>1516</v>
      </c>
      <c r="K118" s="14" t="str">
        <v>E</v>
      </c>
      <c r="L118" s="14" t="str">
        <v>D</v>
      </c>
      <c r="M118" s="14" t="str">
        <v>B</v>
      </c>
      <c r="N118" s="14" t="str">
        <v>I</v>
      </c>
    </row>
    <row r="119" spans="9:14" x14ac:dyDescent="0.25">
      <c r="I119" s="14">
        <v>0</v>
      </c>
      <c r="J119" s="14">
        <v>1530</v>
      </c>
      <c r="K119" s="14" t="str">
        <v>E</v>
      </c>
      <c r="L119" s="14" t="str">
        <v>D</v>
      </c>
      <c r="M119" s="14" t="str">
        <v>C</v>
      </c>
      <c r="N119" s="14" t="str">
        <v>J</v>
      </c>
    </row>
    <row r="120" spans="9:14" x14ac:dyDescent="0.25">
      <c r="I120" s="14">
        <v>0</v>
      </c>
      <c r="J120" s="14">
        <v>1544</v>
      </c>
      <c r="K120" s="14" t="str">
        <v>E</v>
      </c>
      <c r="L120" s="14" t="str">
        <v>D</v>
      </c>
      <c r="M120" s="14" t="str">
        <v>D</v>
      </c>
      <c r="N120" s="14" t="str">
        <v>K</v>
      </c>
    </row>
    <row r="121" spans="9:14" x14ac:dyDescent="0.25">
      <c r="I121" s="14">
        <v>0</v>
      </c>
      <c r="J121" s="14">
        <v>1558</v>
      </c>
      <c r="K121" s="14" t="str">
        <v>E</v>
      </c>
      <c r="L121" s="14" t="str">
        <v>D</v>
      </c>
      <c r="M121" s="14" t="str">
        <v>E</v>
      </c>
      <c r="N121" s="14" t="str">
        <v>L</v>
      </c>
    </row>
    <row r="122" spans="9:14" x14ac:dyDescent="0.25">
      <c r="I122" s="14">
        <v>0</v>
      </c>
      <c r="J122" s="14">
        <v>1568</v>
      </c>
      <c r="K122" s="14" t="str">
        <v>E</v>
      </c>
      <c r="L122" s="14" t="str">
        <v>E</v>
      </c>
      <c r="M122" s="14" t="str">
        <v>A</v>
      </c>
      <c r="N122" s="14" t="str">
        <v>I</v>
      </c>
    </row>
    <row r="123" spans="9:14" x14ac:dyDescent="0.25">
      <c r="I123" s="14">
        <v>0</v>
      </c>
      <c r="J123" s="14">
        <v>1582</v>
      </c>
      <c r="K123" s="14" t="str">
        <v>E</v>
      </c>
      <c r="L123" s="14" t="str">
        <v>E</v>
      </c>
      <c r="M123" s="14" t="str">
        <v>B</v>
      </c>
      <c r="N123" s="14" t="str">
        <v>J</v>
      </c>
    </row>
    <row r="124" spans="9:14" x14ac:dyDescent="0.25">
      <c r="I124" s="14">
        <v>0</v>
      </c>
      <c r="J124" s="14">
        <v>1596</v>
      </c>
      <c r="K124" s="14" t="str">
        <v>E</v>
      </c>
      <c r="L124" s="14" t="str">
        <v>E</v>
      </c>
      <c r="M124" s="14" t="str">
        <v>C</v>
      </c>
      <c r="N124" s="14" t="str">
        <v>K</v>
      </c>
    </row>
    <row r="125" spans="9:14" x14ac:dyDescent="0.25">
      <c r="I125" s="14">
        <v>0</v>
      </c>
      <c r="J125" s="14">
        <v>1610</v>
      </c>
      <c r="K125" s="14" t="str">
        <v>E</v>
      </c>
      <c r="L125" s="14" t="str">
        <v>E</v>
      </c>
      <c r="M125" s="14" t="str">
        <v>D</v>
      </c>
      <c r="N125" s="14" t="str">
        <v>L</v>
      </c>
    </row>
    <row r="126" spans="9:14" x14ac:dyDescent="0.25">
      <c r="I126" s="14">
        <v>0</v>
      </c>
      <c r="J126" s="14">
        <v>1624</v>
      </c>
      <c r="K126" s="14" t="str">
        <v>E</v>
      </c>
      <c r="L126" s="14" t="str">
        <v>E</v>
      </c>
      <c r="M126" s="14" t="str">
        <v>E</v>
      </c>
      <c r="N126" s="14" t="str">
        <v>M</v>
      </c>
    </row>
  </sheetData>
  <autoFilter ref="I1:N126" xr:uid="{2A857DF3-92DB-40A9-BB89-D266C93CB73F}"/>
  <mergeCells count="1">
    <mergeCell ref="A1:E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C44EF-F0FB-4C95-9C07-8EB94F8D1AD4}">
  <sheetPr codeName="Planilha4"/>
  <dimension ref="A1:N126"/>
  <sheetViews>
    <sheetView tabSelected="1" workbookViewId="0">
      <selection activeCell="V12" sqref="V12"/>
    </sheetView>
  </sheetViews>
  <sheetFormatPr defaultRowHeight="15" x14ac:dyDescent="0.25"/>
  <cols>
    <col min="1" max="5" width="9.140625" style="14"/>
    <col min="6" max="6" width="12.140625" style="14" bestFit="1" customWidth="1"/>
    <col min="7" max="7" width="20" style="14" bestFit="1" customWidth="1"/>
    <col min="8" max="8" width="9.140625" style="14"/>
    <col min="9" max="9" width="20.140625" style="14" bestFit="1" customWidth="1"/>
    <col min="10" max="10" width="12.42578125" style="14" customWidth="1"/>
    <col min="11" max="14" width="9.140625" style="14"/>
    <col min="15" max="18" width="9.140625" style="14" customWidth="1"/>
    <col min="19" max="16384" width="9.140625" style="14"/>
  </cols>
  <sheetData>
    <row r="1" spans="1:14" x14ac:dyDescent="0.25">
      <c r="A1" s="65" t="s">
        <v>31</v>
      </c>
      <c r="B1" s="65"/>
      <c r="C1" s="65"/>
      <c r="D1" s="65"/>
      <c r="E1" s="65"/>
      <c r="G1" s="14" t="s">
        <v>39</v>
      </c>
      <c r="I1" s="14" t="s">
        <v>37</v>
      </c>
      <c r="J1" s="14" t="s">
        <v>35</v>
      </c>
      <c r="K1" s="14" t="s">
        <v>19</v>
      </c>
      <c r="L1" s="14" t="s">
        <v>32</v>
      </c>
      <c r="M1" s="14" t="s">
        <v>33</v>
      </c>
      <c r="N1" s="14" t="s">
        <v>34</v>
      </c>
    </row>
    <row r="2" spans="1:14" x14ac:dyDescent="0.25">
      <c r="A2" s="14" t="s">
        <v>22</v>
      </c>
      <c r="B2" s="14" t="s">
        <v>19</v>
      </c>
      <c r="C2" s="14" t="s">
        <v>32</v>
      </c>
      <c r="D2" s="14" t="s">
        <v>33</v>
      </c>
      <c r="G2" s="14">
        <f>SUM(I:I)</f>
        <v>181</v>
      </c>
      <c r="I2" s="14">
        <v>34</v>
      </c>
      <c r="J2" s="14" cm="1">
        <f t="array" ref="J2:J126">_xlfn._xlws.FILTER(Tabela2[Comb],Tabela2[Status]="OK","ERRO")</f>
        <v>0</v>
      </c>
      <c r="K2" s="14" t="str" cm="1">
        <f t="array" ref="K2:K126">_xlfn._xlws.FILTER(Tabela2[OP],Tabela2[Status]="OK","ERRO")</f>
        <v>A</v>
      </c>
      <c r="L2" s="14" t="str" cm="1">
        <f t="array" ref="L2:L126">_xlfn._xlws.FILTER(Tabela2[BICO],Tabela2[Status]="OK","ERRO")</f>
        <v>A</v>
      </c>
      <c r="M2" s="14" t="str" cm="1">
        <f t="array" ref="M2:M126">_xlfn._xlws.FILTER(Tabela2[SPACER],Tabela2[Status]="OK","ERRO")</f>
        <v>A</v>
      </c>
      <c r="N2" s="14" t="str" cm="1">
        <f t="array" ref="N2:N126">_xlfn._xlws.FILTER(Tabela2[AGULHA],Tabela2[Status]="OK","ERRO")</f>
        <v>A</v>
      </c>
    </row>
    <row r="3" spans="1:14" x14ac:dyDescent="0.25">
      <c r="A3" s="14" t="s">
        <v>8</v>
      </c>
      <c r="B3" s="6">
        <f>Simluação!K31</f>
        <v>34</v>
      </c>
      <c r="C3" s="14">
        <f>Geral!C3</f>
        <v>396</v>
      </c>
      <c r="D3" s="14">
        <f>Geral!D3</f>
        <v>374</v>
      </c>
      <c r="G3" s="14">
        <f>G2-SUM(B3:B7)</f>
        <v>0</v>
      </c>
      <c r="I3" s="14">
        <v>0</v>
      </c>
      <c r="J3" s="14">
        <v>14</v>
      </c>
      <c r="K3" s="14" t="str">
        <v>A</v>
      </c>
      <c r="L3" s="14" t="str">
        <v>A</v>
      </c>
      <c r="M3" s="14" t="str">
        <v>B</v>
      </c>
      <c r="N3" s="14" t="str">
        <v>B</v>
      </c>
    </row>
    <row r="4" spans="1:14" x14ac:dyDescent="0.25">
      <c r="A4" s="14" t="s">
        <v>9</v>
      </c>
      <c r="B4" s="6">
        <f>Simluação!K32</f>
        <v>35</v>
      </c>
      <c r="C4" s="14">
        <f>Geral!C4</f>
        <v>384</v>
      </c>
      <c r="D4" s="14">
        <f>Geral!D4</f>
        <v>390</v>
      </c>
      <c r="I4" s="14">
        <v>0</v>
      </c>
      <c r="J4" s="14">
        <v>28</v>
      </c>
      <c r="K4" s="14" t="str">
        <v>A</v>
      </c>
      <c r="L4" s="14" t="str">
        <v>A</v>
      </c>
      <c r="M4" s="14" t="str">
        <v>C</v>
      </c>
      <c r="N4" s="14" t="str">
        <v>C</v>
      </c>
    </row>
    <row r="5" spans="1:14" x14ac:dyDescent="0.25">
      <c r="A5" s="14" t="s">
        <v>10</v>
      </c>
      <c r="B5" s="6">
        <f>Simluação!K33</f>
        <v>44</v>
      </c>
      <c r="C5" s="14">
        <f>Geral!C5</f>
        <v>389</v>
      </c>
      <c r="D5" s="14">
        <f>Geral!D5</f>
        <v>417</v>
      </c>
      <c r="I5" s="14">
        <v>0</v>
      </c>
      <c r="J5" s="14">
        <v>42</v>
      </c>
      <c r="K5" s="14" t="str">
        <v>A</v>
      </c>
      <c r="L5" s="14" t="str">
        <v>A</v>
      </c>
      <c r="M5" s="14" t="str">
        <v>D</v>
      </c>
      <c r="N5" s="14" t="str">
        <v>D</v>
      </c>
    </row>
    <row r="6" spans="1:14" x14ac:dyDescent="0.25">
      <c r="A6" s="14" t="s">
        <v>11</v>
      </c>
      <c r="B6" s="6">
        <f>Simluação!K34</f>
        <v>34</v>
      </c>
      <c r="C6" s="14">
        <f>Geral!C6</f>
        <v>427</v>
      </c>
      <c r="D6" s="14">
        <f>Geral!D6</f>
        <v>397</v>
      </c>
      <c r="I6" s="14">
        <v>0</v>
      </c>
      <c r="J6" s="14">
        <v>56</v>
      </c>
      <c r="K6" s="14" t="str">
        <v>A</v>
      </c>
      <c r="L6" s="14" t="str">
        <v>A</v>
      </c>
      <c r="M6" s="14" t="str">
        <v>E</v>
      </c>
      <c r="N6" s="14" t="str">
        <v>E</v>
      </c>
    </row>
    <row r="7" spans="1:14" x14ac:dyDescent="0.25">
      <c r="A7" s="14" t="s">
        <v>13</v>
      </c>
      <c r="B7" s="6">
        <f>Simluação!K35</f>
        <v>34</v>
      </c>
      <c r="C7" s="14">
        <f>Geral!C7</f>
        <v>404</v>
      </c>
      <c r="D7" s="14">
        <f>Geral!D7</f>
        <v>422</v>
      </c>
      <c r="I7" s="14">
        <v>0</v>
      </c>
      <c r="J7" s="14">
        <v>66</v>
      </c>
      <c r="K7" s="14" t="str">
        <v>A</v>
      </c>
      <c r="L7" s="14" t="str">
        <v>B</v>
      </c>
      <c r="M7" s="14" t="str">
        <v>A</v>
      </c>
      <c r="N7" s="14" t="str">
        <v>B</v>
      </c>
    </row>
    <row r="8" spans="1:14" x14ac:dyDescent="0.25">
      <c r="I8" s="14">
        <v>0</v>
      </c>
      <c r="J8" s="14">
        <v>80</v>
      </c>
      <c r="K8" s="14" t="str">
        <v>A</v>
      </c>
      <c r="L8" s="14" t="str">
        <v>B</v>
      </c>
      <c r="M8" s="14" t="str">
        <v>B</v>
      </c>
      <c r="N8" s="14" t="str">
        <v>C</v>
      </c>
    </row>
    <row r="9" spans="1:14" x14ac:dyDescent="0.25">
      <c r="A9" s="65" t="s">
        <v>38</v>
      </c>
      <c r="B9" s="65"/>
      <c r="I9" s="14">
        <v>0</v>
      </c>
      <c r="J9" s="14">
        <v>94</v>
      </c>
      <c r="K9" s="14" t="str">
        <v>A</v>
      </c>
      <c r="L9" s="14" t="str">
        <v>B</v>
      </c>
      <c r="M9" s="14" t="str">
        <v>C</v>
      </c>
      <c r="N9" s="14" t="str">
        <v>D</v>
      </c>
    </row>
    <row r="10" spans="1:14" x14ac:dyDescent="0.25">
      <c r="A10" s="14" t="s">
        <v>8</v>
      </c>
      <c r="B10" s="14">
        <f t="shared" ref="B10:B22" si="0">SUMIF($K:$K,A10,$I:$I)</f>
        <v>34</v>
      </c>
      <c r="C10" s="14">
        <f t="shared" ref="C10:C22" si="1">SUMIF($L:$L,A10,$I:$I)</f>
        <v>181</v>
      </c>
      <c r="D10" s="14">
        <f t="shared" ref="D10:D22" si="2">SUMIF($M:$M,A10,$I:$I)</f>
        <v>181</v>
      </c>
      <c r="E10" s="14">
        <f t="shared" ref="E10:E22" si="3">SUMIF($N:$N,A10,$I:$I)</f>
        <v>34</v>
      </c>
      <c r="F10" s="14">
        <v>-6</v>
      </c>
      <c r="I10" s="14">
        <v>0</v>
      </c>
      <c r="J10" s="14">
        <v>108</v>
      </c>
      <c r="K10" s="14" t="str">
        <v>A</v>
      </c>
      <c r="L10" s="14" t="str">
        <v>B</v>
      </c>
      <c r="M10" s="14" t="str">
        <v>D</v>
      </c>
      <c r="N10" s="14" t="str">
        <v>E</v>
      </c>
    </row>
    <row r="11" spans="1:14" x14ac:dyDescent="0.25">
      <c r="A11" s="14" t="s">
        <v>9</v>
      </c>
      <c r="B11" s="14">
        <f t="shared" si="0"/>
        <v>35</v>
      </c>
      <c r="C11" s="14">
        <f t="shared" si="1"/>
        <v>0</v>
      </c>
      <c r="D11" s="14">
        <f t="shared" si="2"/>
        <v>0</v>
      </c>
      <c r="E11" s="14">
        <f t="shared" si="3"/>
        <v>35</v>
      </c>
      <c r="F11" s="14">
        <v>-5</v>
      </c>
      <c r="I11" s="14">
        <v>0</v>
      </c>
      <c r="J11" s="14">
        <v>122</v>
      </c>
      <c r="K11" s="14" t="str">
        <v>A</v>
      </c>
      <c r="L11" s="14" t="str">
        <v>B</v>
      </c>
      <c r="M11" s="14" t="str">
        <v>E</v>
      </c>
      <c r="N11" s="14" t="str">
        <v>F</v>
      </c>
    </row>
    <row r="12" spans="1:14" x14ac:dyDescent="0.25">
      <c r="A12" s="14" t="s">
        <v>10</v>
      </c>
      <c r="B12" s="14">
        <f t="shared" si="0"/>
        <v>44</v>
      </c>
      <c r="C12" s="14">
        <f t="shared" si="1"/>
        <v>0</v>
      </c>
      <c r="D12" s="14">
        <f t="shared" si="2"/>
        <v>0</v>
      </c>
      <c r="E12" s="14">
        <f t="shared" si="3"/>
        <v>44</v>
      </c>
      <c r="F12" s="14">
        <v>-4</v>
      </c>
      <c r="I12" s="14">
        <v>0</v>
      </c>
      <c r="J12" s="14">
        <v>132</v>
      </c>
      <c r="K12" s="14" t="str">
        <v>A</v>
      </c>
      <c r="L12" s="14" t="str">
        <v>C</v>
      </c>
      <c r="M12" s="14" t="str">
        <v>A</v>
      </c>
      <c r="N12" s="14" t="str">
        <v>C</v>
      </c>
    </row>
    <row r="13" spans="1:14" x14ac:dyDescent="0.25">
      <c r="A13" s="14" t="s">
        <v>11</v>
      </c>
      <c r="B13" s="14">
        <f t="shared" si="0"/>
        <v>34</v>
      </c>
      <c r="C13" s="14">
        <f t="shared" si="1"/>
        <v>0</v>
      </c>
      <c r="D13" s="14">
        <f t="shared" si="2"/>
        <v>0</v>
      </c>
      <c r="E13" s="14">
        <f t="shared" si="3"/>
        <v>34</v>
      </c>
      <c r="F13" s="14">
        <v>-3</v>
      </c>
      <c r="I13" s="14">
        <v>0</v>
      </c>
      <c r="J13" s="14">
        <v>146</v>
      </c>
      <c r="K13" s="14" t="str">
        <v>A</v>
      </c>
      <c r="L13" s="14" t="str">
        <v>C</v>
      </c>
      <c r="M13" s="14" t="str">
        <v>B</v>
      </c>
      <c r="N13" s="14" t="str">
        <v>D</v>
      </c>
    </row>
    <row r="14" spans="1:14" x14ac:dyDescent="0.25">
      <c r="A14" s="14" t="s">
        <v>13</v>
      </c>
      <c r="B14" s="14">
        <f t="shared" si="0"/>
        <v>34</v>
      </c>
      <c r="C14" s="14">
        <f t="shared" si="1"/>
        <v>0</v>
      </c>
      <c r="D14" s="14">
        <f t="shared" si="2"/>
        <v>0</v>
      </c>
      <c r="E14" s="14">
        <f t="shared" si="3"/>
        <v>34</v>
      </c>
      <c r="F14" s="14">
        <v>-2</v>
      </c>
      <c r="I14" s="14">
        <v>0</v>
      </c>
      <c r="J14" s="14">
        <v>160</v>
      </c>
      <c r="K14" s="14" t="str">
        <v>A</v>
      </c>
      <c r="L14" s="14" t="str">
        <v>C</v>
      </c>
      <c r="M14" s="14" t="str">
        <v>C</v>
      </c>
      <c r="N14" s="14" t="str">
        <v>E</v>
      </c>
    </row>
    <row r="15" spans="1:14" x14ac:dyDescent="0.25">
      <c r="A15" s="14" t="s">
        <v>12</v>
      </c>
      <c r="B15" s="14">
        <f t="shared" si="0"/>
        <v>0</v>
      </c>
      <c r="C15" s="14">
        <f t="shared" si="1"/>
        <v>0</v>
      </c>
      <c r="D15" s="14">
        <f t="shared" si="2"/>
        <v>0</v>
      </c>
      <c r="E15" s="14">
        <f t="shared" si="3"/>
        <v>0</v>
      </c>
      <c r="F15" s="14">
        <v>-1</v>
      </c>
      <c r="I15" s="14">
        <v>0</v>
      </c>
      <c r="J15" s="14">
        <v>174</v>
      </c>
      <c r="K15" s="14" t="str">
        <v>A</v>
      </c>
      <c r="L15" s="14" t="str">
        <v>C</v>
      </c>
      <c r="M15" s="14" t="str">
        <v>D</v>
      </c>
      <c r="N15" s="14" t="str">
        <v>F</v>
      </c>
    </row>
    <row r="16" spans="1:14" x14ac:dyDescent="0.25">
      <c r="A16" s="14" t="s">
        <v>14</v>
      </c>
      <c r="B16" s="14">
        <f t="shared" si="0"/>
        <v>0</v>
      </c>
      <c r="C16" s="14">
        <f t="shared" si="1"/>
        <v>0</v>
      </c>
      <c r="D16" s="14">
        <f t="shared" si="2"/>
        <v>0</v>
      </c>
      <c r="E16" s="14">
        <f t="shared" si="3"/>
        <v>0</v>
      </c>
      <c r="F16" s="14">
        <v>0</v>
      </c>
      <c r="I16" s="14">
        <v>0</v>
      </c>
      <c r="J16" s="14">
        <v>188</v>
      </c>
      <c r="K16" s="14" t="str">
        <v>A</v>
      </c>
      <c r="L16" s="14" t="str">
        <v>C</v>
      </c>
      <c r="M16" s="14" t="str">
        <v>E</v>
      </c>
      <c r="N16" s="14" t="str">
        <v>G</v>
      </c>
    </row>
    <row r="17" spans="1:14" x14ac:dyDescent="0.25">
      <c r="A17" s="14" t="s">
        <v>44</v>
      </c>
      <c r="B17" s="14">
        <f t="shared" si="0"/>
        <v>0</v>
      </c>
      <c r="C17" s="14">
        <f t="shared" si="1"/>
        <v>0</v>
      </c>
      <c r="D17" s="14">
        <f t="shared" si="2"/>
        <v>0</v>
      </c>
      <c r="E17" s="14">
        <f t="shared" si="3"/>
        <v>0</v>
      </c>
      <c r="F17" s="14">
        <v>1</v>
      </c>
      <c r="I17" s="14">
        <v>0</v>
      </c>
      <c r="J17" s="14">
        <v>198</v>
      </c>
      <c r="K17" s="14" t="str">
        <v>A</v>
      </c>
      <c r="L17" s="14" t="str">
        <v>D</v>
      </c>
      <c r="M17" s="14" t="str">
        <v>A</v>
      </c>
      <c r="N17" s="14" t="str">
        <v>D</v>
      </c>
    </row>
    <row r="18" spans="1:14" x14ac:dyDescent="0.25">
      <c r="A18" s="14" t="s">
        <v>45</v>
      </c>
      <c r="B18" s="14">
        <f t="shared" si="0"/>
        <v>0</v>
      </c>
      <c r="C18" s="14">
        <f t="shared" si="1"/>
        <v>0</v>
      </c>
      <c r="D18" s="14">
        <f t="shared" si="2"/>
        <v>0</v>
      </c>
      <c r="E18" s="14">
        <f t="shared" si="3"/>
        <v>0</v>
      </c>
      <c r="F18" s="14">
        <v>2</v>
      </c>
      <c r="I18" s="14">
        <v>0</v>
      </c>
      <c r="J18" s="14">
        <v>212</v>
      </c>
      <c r="K18" s="14" t="str">
        <v>A</v>
      </c>
      <c r="L18" s="14" t="str">
        <v>D</v>
      </c>
      <c r="M18" s="14" t="str">
        <v>B</v>
      </c>
      <c r="N18" s="14" t="str">
        <v>E</v>
      </c>
    </row>
    <row r="19" spans="1:14" x14ac:dyDescent="0.25">
      <c r="A19" s="14" t="s">
        <v>46</v>
      </c>
      <c r="B19" s="14">
        <f t="shared" si="0"/>
        <v>0</v>
      </c>
      <c r="C19" s="14">
        <f t="shared" si="1"/>
        <v>0</v>
      </c>
      <c r="D19" s="14">
        <f t="shared" si="2"/>
        <v>0</v>
      </c>
      <c r="E19" s="14">
        <f t="shared" si="3"/>
        <v>0</v>
      </c>
      <c r="F19" s="14">
        <v>3</v>
      </c>
      <c r="I19" s="14">
        <v>0</v>
      </c>
      <c r="J19" s="14">
        <v>226</v>
      </c>
      <c r="K19" s="14" t="str">
        <v>A</v>
      </c>
      <c r="L19" s="14" t="str">
        <v>D</v>
      </c>
      <c r="M19" s="14" t="str">
        <v>C</v>
      </c>
      <c r="N19" s="14" t="str">
        <v>F</v>
      </c>
    </row>
    <row r="20" spans="1:14" x14ac:dyDescent="0.25">
      <c r="A20" s="14" t="s">
        <v>47</v>
      </c>
      <c r="B20" s="14">
        <f t="shared" si="0"/>
        <v>0</v>
      </c>
      <c r="C20" s="14">
        <f t="shared" si="1"/>
        <v>0</v>
      </c>
      <c r="D20" s="14">
        <f t="shared" si="2"/>
        <v>0</v>
      </c>
      <c r="E20" s="14">
        <f t="shared" si="3"/>
        <v>0</v>
      </c>
      <c r="F20" s="14">
        <v>4</v>
      </c>
      <c r="I20" s="14">
        <v>0</v>
      </c>
      <c r="J20" s="14">
        <v>240</v>
      </c>
      <c r="K20" s="14" t="str">
        <v>A</v>
      </c>
      <c r="L20" s="14" t="str">
        <v>D</v>
      </c>
      <c r="M20" s="14" t="str">
        <v>D</v>
      </c>
      <c r="N20" s="14" t="str">
        <v>G</v>
      </c>
    </row>
    <row r="21" spans="1:14" x14ac:dyDescent="0.25">
      <c r="A21" s="14" t="s">
        <v>48</v>
      </c>
      <c r="B21" s="14">
        <f t="shared" si="0"/>
        <v>0</v>
      </c>
      <c r="C21" s="14">
        <f t="shared" si="1"/>
        <v>0</v>
      </c>
      <c r="D21" s="14">
        <f t="shared" si="2"/>
        <v>0</v>
      </c>
      <c r="E21" s="14">
        <f t="shared" si="3"/>
        <v>0</v>
      </c>
      <c r="F21" s="14">
        <v>5</v>
      </c>
      <c r="I21" s="14">
        <v>0</v>
      </c>
      <c r="J21" s="14">
        <v>254</v>
      </c>
      <c r="K21" s="14" t="str">
        <v>A</v>
      </c>
      <c r="L21" s="14" t="str">
        <v>D</v>
      </c>
      <c r="M21" s="14" t="str">
        <v>E</v>
      </c>
      <c r="N21" s="14" t="str">
        <v>H</v>
      </c>
    </row>
    <row r="22" spans="1:14" x14ac:dyDescent="0.25">
      <c r="A22" s="14" t="s">
        <v>49</v>
      </c>
      <c r="B22" s="14">
        <f t="shared" si="0"/>
        <v>0</v>
      </c>
      <c r="C22" s="14">
        <f t="shared" si="1"/>
        <v>0</v>
      </c>
      <c r="D22" s="14">
        <f t="shared" si="2"/>
        <v>0</v>
      </c>
      <c r="E22" s="14">
        <f t="shared" si="3"/>
        <v>0</v>
      </c>
      <c r="F22" s="14">
        <v>6</v>
      </c>
      <c r="I22" s="14">
        <v>0</v>
      </c>
      <c r="J22" s="14">
        <v>264</v>
      </c>
      <c r="K22" s="14" t="str">
        <v>A</v>
      </c>
      <c r="L22" s="14" t="str">
        <v>E</v>
      </c>
      <c r="M22" s="14" t="str">
        <v>A</v>
      </c>
      <c r="N22" s="14" t="str">
        <v>E</v>
      </c>
    </row>
    <row r="23" spans="1:14" x14ac:dyDescent="0.25">
      <c r="B23" s="14">
        <f>SUM(B10:B22)</f>
        <v>181</v>
      </c>
      <c r="C23" s="14">
        <f>SUM(C10:C22)</f>
        <v>181</v>
      </c>
      <c r="D23" s="14">
        <f>SUM(D10:D22)</f>
        <v>181</v>
      </c>
      <c r="E23" s="14">
        <f>SUM(E10:E22)</f>
        <v>181</v>
      </c>
      <c r="I23" s="14">
        <v>0</v>
      </c>
      <c r="J23" s="14">
        <v>278</v>
      </c>
      <c r="K23" s="14" t="str">
        <v>A</v>
      </c>
      <c r="L23" s="14" t="str">
        <v>E</v>
      </c>
      <c r="M23" s="14" t="str">
        <v>B</v>
      </c>
      <c r="N23" s="14" t="str">
        <v>F</v>
      </c>
    </row>
    <row r="24" spans="1:14" x14ac:dyDescent="0.25">
      <c r="I24" s="14">
        <v>0</v>
      </c>
      <c r="J24" s="14">
        <v>292</v>
      </c>
      <c r="K24" s="14" t="str">
        <v>A</v>
      </c>
      <c r="L24" s="14" t="str">
        <v>E</v>
      </c>
      <c r="M24" s="14" t="str">
        <v>C</v>
      </c>
      <c r="N24" s="14" t="str">
        <v>G</v>
      </c>
    </row>
    <row r="25" spans="1:14" x14ac:dyDescent="0.25">
      <c r="I25" s="14">
        <v>0</v>
      </c>
      <c r="J25" s="14">
        <v>306</v>
      </c>
      <c r="K25" s="14" t="str">
        <v>A</v>
      </c>
      <c r="L25" s="14" t="str">
        <v>E</v>
      </c>
      <c r="M25" s="14" t="str">
        <v>D</v>
      </c>
      <c r="N25" s="14" t="str">
        <v>H</v>
      </c>
    </row>
    <row r="26" spans="1:14" x14ac:dyDescent="0.25">
      <c r="I26" s="14">
        <v>0</v>
      </c>
      <c r="J26" s="14">
        <v>320</v>
      </c>
      <c r="K26" s="14" t="str">
        <v>A</v>
      </c>
      <c r="L26" s="14" t="str">
        <v>E</v>
      </c>
      <c r="M26" s="14" t="str">
        <v>E</v>
      </c>
      <c r="N26" s="14" t="str">
        <v>I</v>
      </c>
    </row>
    <row r="27" spans="1:14" x14ac:dyDescent="0.25">
      <c r="I27" s="14">
        <v>35</v>
      </c>
      <c r="J27" s="14">
        <v>326</v>
      </c>
      <c r="K27" s="14" t="str">
        <v>B</v>
      </c>
      <c r="L27" s="14" t="str">
        <v>A</v>
      </c>
      <c r="M27" s="14" t="str">
        <v>A</v>
      </c>
      <c r="N27" s="14" t="str">
        <v>B</v>
      </c>
    </row>
    <row r="28" spans="1:14" x14ac:dyDescent="0.25">
      <c r="I28" s="14">
        <v>0</v>
      </c>
      <c r="J28" s="14">
        <v>340</v>
      </c>
      <c r="K28" s="14" t="str">
        <v>B</v>
      </c>
      <c r="L28" s="14" t="str">
        <v>A</v>
      </c>
      <c r="M28" s="14" t="str">
        <v>B</v>
      </c>
      <c r="N28" s="14" t="str">
        <v>C</v>
      </c>
    </row>
    <row r="29" spans="1:14" x14ac:dyDescent="0.25">
      <c r="I29" s="14">
        <v>0</v>
      </c>
      <c r="J29" s="14">
        <v>354</v>
      </c>
      <c r="K29" s="14" t="str">
        <v>B</v>
      </c>
      <c r="L29" s="14" t="str">
        <v>A</v>
      </c>
      <c r="M29" s="14" t="str">
        <v>C</v>
      </c>
      <c r="N29" s="14" t="str">
        <v>D</v>
      </c>
    </row>
    <row r="30" spans="1:14" x14ac:dyDescent="0.25">
      <c r="I30" s="14">
        <v>0</v>
      </c>
      <c r="J30" s="14">
        <v>368</v>
      </c>
      <c r="K30" s="14" t="str">
        <v>B</v>
      </c>
      <c r="L30" s="14" t="str">
        <v>A</v>
      </c>
      <c r="M30" s="14" t="str">
        <v>D</v>
      </c>
      <c r="N30" s="14" t="str">
        <v>E</v>
      </c>
    </row>
    <row r="31" spans="1:14" x14ac:dyDescent="0.25">
      <c r="I31" s="14">
        <v>0</v>
      </c>
      <c r="J31" s="14">
        <v>382</v>
      </c>
      <c r="K31" s="14" t="str">
        <v>B</v>
      </c>
      <c r="L31" s="14" t="str">
        <v>A</v>
      </c>
      <c r="M31" s="14" t="str">
        <v>E</v>
      </c>
      <c r="N31" s="14" t="str">
        <v>F</v>
      </c>
    </row>
    <row r="32" spans="1:14" x14ac:dyDescent="0.25">
      <c r="I32" s="14">
        <v>0</v>
      </c>
      <c r="J32" s="14">
        <v>392</v>
      </c>
      <c r="K32" s="14" t="str">
        <v>B</v>
      </c>
      <c r="L32" s="14" t="str">
        <v>B</v>
      </c>
      <c r="M32" s="14" t="str">
        <v>A</v>
      </c>
      <c r="N32" s="14" t="str">
        <v>C</v>
      </c>
    </row>
    <row r="33" spans="9:14" x14ac:dyDescent="0.25">
      <c r="I33" s="14">
        <v>0</v>
      </c>
      <c r="J33" s="14">
        <v>406</v>
      </c>
      <c r="K33" s="14" t="str">
        <v>B</v>
      </c>
      <c r="L33" s="14" t="str">
        <v>B</v>
      </c>
      <c r="M33" s="14" t="str">
        <v>B</v>
      </c>
      <c r="N33" s="14" t="str">
        <v>D</v>
      </c>
    </row>
    <row r="34" spans="9:14" x14ac:dyDescent="0.25">
      <c r="I34" s="14">
        <v>0</v>
      </c>
      <c r="J34" s="14">
        <v>420</v>
      </c>
      <c r="K34" s="14" t="str">
        <v>B</v>
      </c>
      <c r="L34" s="14" t="str">
        <v>B</v>
      </c>
      <c r="M34" s="14" t="str">
        <v>C</v>
      </c>
      <c r="N34" s="14" t="str">
        <v>E</v>
      </c>
    </row>
    <row r="35" spans="9:14" x14ac:dyDescent="0.25">
      <c r="I35" s="14">
        <v>0</v>
      </c>
      <c r="J35" s="14">
        <v>434</v>
      </c>
      <c r="K35" s="14" t="str">
        <v>B</v>
      </c>
      <c r="L35" s="14" t="str">
        <v>B</v>
      </c>
      <c r="M35" s="14" t="str">
        <v>D</v>
      </c>
      <c r="N35" s="14" t="str">
        <v>F</v>
      </c>
    </row>
    <row r="36" spans="9:14" x14ac:dyDescent="0.25">
      <c r="I36" s="14">
        <v>0</v>
      </c>
      <c r="J36" s="14">
        <v>448</v>
      </c>
      <c r="K36" s="14" t="str">
        <v>B</v>
      </c>
      <c r="L36" s="14" t="str">
        <v>B</v>
      </c>
      <c r="M36" s="14" t="str">
        <v>E</v>
      </c>
      <c r="N36" s="14" t="str">
        <v>G</v>
      </c>
    </row>
    <row r="37" spans="9:14" x14ac:dyDescent="0.25">
      <c r="I37" s="14">
        <v>0</v>
      </c>
      <c r="J37" s="14">
        <v>458</v>
      </c>
      <c r="K37" s="14" t="str">
        <v>B</v>
      </c>
      <c r="L37" s="14" t="str">
        <v>C</v>
      </c>
      <c r="M37" s="14" t="str">
        <v>A</v>
      </c>
      <c r="N37" s="14" t="str">
        <v>D</v>
      </c>
    </row>
    <row r="38" spans="9:14" x14ac:dyDescent="0.25">
      <c r="I38" s="14">
        <v>0</v>
      </c>
      <c r="J38" s="14">
        <v>472</v>
      </c>
      <c r="K38" s="14" t="str">
        <v>B</v>
      </c>
      <c r="L38" s="14" t="str">
        <v>C</v>
      </c>
      <c r="M38" s="14" t="str">
        <v>B</v>
      </c>
      <c r="N38" s="14" t="str">
        <v>E</v>
      </c>
    </row>
    <row r="39" spans="9:14" x14ac:dyDescent="0.25">
      <c r="I39" s="14">
        <v>0</v>
      </c>
      <c r="J39" s="14">
        <v>486</v>
      </c>
      <c r="K39" s="14" t="str">
        <v>B</v>
      </c>
      <c r="L39" s="14" t="str">
        <v>C</v>
      </c>
      <c r="M39" s="14" t="str">
        <v>C</v>
      </c>
      <c r="N39" s="14" t="str">
        <v>F</v>
      </c>
    </row>
    <row r="40" spans="9:14" x14ac:dyDescent="0.25">
      <c r="I40" s="14">
        <v>0</v>
      </c>
      <c r="J40" s="14">
        <v>500</v>
      </c>
      <c r="K40" s="14" t="str">
        <v>B</v>
      </c>
      <c r="L40" s="14" t="str">
        <v>C</v>
      </c>
      <c r="M40" s="14" t="str">
        <v>D</v>
      </c>
      <c r="N40" s="14" t="str">
        <v>G</v>
      </c>
    </row>
    <row r="41" spans="9:14" x14ac:dyDescent="0.25">
      <c r="I41" s="14">
        <v>0</v>
      </c>
      <c r="J41" s="14">
        <v>514</v>
      </c>
      <c r="K41" s="14" t="str">
        <v>B</v>
      </c>
      <c r="L41" s="14" t="str">
        <v>C</v>
      </c>
      <c r="M41" s="14" t="str">
        <v>E</v>
      </c>
      <c r="N41" s="14" t="str">
        <v>H</v>
      </c>
    </row>
    <row r="42" spans="9:14" x14ac:dyDescent="0.25">
      <c r="I42" s="14">
        <v>0</v>
      </c>
      <c r="J42" s="14">
        <v>524</v>
      </c>
      <c r="K42" s="14" t="str">
        <v>B</v>
      </c>
      <c r="L42" s="14" t="str">
        <v>D</v>
      </c>
      <c r="M42" s="14" t="str">
        <v>A</v>
      </c>
      <c r="N42" s="14" t="str">
        <v>E</v>
      </c>
    </row>
    <row r="43" spans="9:14" x14ac:dyDescent="0.25">
      <c r="I43" s="14">
        <v>0</v>
      </c>
      <c r="J43" s="14">
        <v>538</v>
      </c>
      <c r="K43" s="14" t="str">
        <v>B</v>
      </c>
      <c r="L43" s="14" t="str">
        <v>D</v>
      </c>
      <c r="M43" s="14" t="str">
        <v>B</v>
      </c>
      <c r="N43" s="14" t="str">
        <v>F</v>
      </c>
    </row>
    <row r="44" spans="9:14" x14ac:dyDescent="0.25">
      <c r="I44" s="14">
        <v>0</v>
      </c>
      <c r="J44" s="14">
        <v>552</v>
      </c>
      <c r="K44" s="14" t="str">
        <v>B</v>
      </c>
      <c r="L44" s="14" t="str">
        <v>D</v>
      </c>
      <c r="M44" s="14" t="str">
        <v>C</v>
      </c>
      <c r="N44" s="14" t="str">
        <v>G</v>
      </c>
    </row>
    <row r="45" spans="9:14" x14ac:dyDescent="0.25">
      <c r="I45" s="14">
        <v>0</v>
      </c>
      <c r="J45" s="14">
        <v>566</v>
      </c>
      <c r="K45" s="14" t="str">
        <v>B</v>
      </c>
      <c r="L45" s="14" t="str">
        <v>D</v>
      </c>
      <c r="M45" s="14" t="str">
        <v>D</v>
      </c>
      <c r="N45" s="14" t="str">
        <v>H</v>
      </c>
    </row>
    <row r="46" spans="9:14" x14ac:dyDescent="0.25">
      <c r="I46" s="14">
        <v>0</v>
      </c>
      <c r="J46" s="14">
        <v>580</v>
      </c>
      <c r="K46" s="14" t="str">
        <v>B</v>
      </c>
      <c r="L46" s="14" t="str">
        <v>D</v>
      </c>
      <c r="M46" s="14" t="str">
        <v>E</v>
      </c>
      <c r="N46" s="14" t="str">
        <v>I</v>
      </c>
    </row>
    <row r="47" spans="9:14" x14ac:dyDescent="0.25">
      <c r="I47" s="14">
        <v>0</v>
      </c>
      <c r="J47" s="14">
        <v>590</v>
      </c>
      <c r="K47" s="14" t="str">
        <v>B</v>
      </c>
      <c r="L47" s="14" t="str">
        <v>E</v>
      </c>
      <c r="M47" s="14" t="str">
        <v>A</v>
      </c>
      <c r="N47" s="14" t="str">
        <v>F</v>
      </c>
    </row>
    <row r="48" spans="9:14" x14ac:dyDescent="0.25">
      <c r="I48" s="14">
        <v>0</v>
      </c>
      <c r="J48" s="14">
        <v>604</v>
      </c>
      <c r="K48" s="14" t="str">
        <v>B</v>
      </c>
      <c r="L48" s="14" t="str">
        <v>E</v>
      </c>
      <c r="M48" s="14" t="str">
        <v>B</v>
      </c>
      <c r="N48" s="14" t="str">
        <v>G</v>
      </c>
    </row>
    <row r="49" spans="9:14" x14ac:dyDescent="0.25">
      <c r="I49" s="14">
        <v>0</v>
      </c>
      <c r="J49" s="14">
        <v>618</v>
      </c>
      <c r="K49" s="14" t="str">
        <v>B</v>
      </c>
      <c r="L49" s="14" t="str">
        <v>E</v>
      </c>
      <c r="M49" s="14" t="str">
        <v>C</v>
      </c>
      <c r="N49" s="14" t="str">
        <v>H</v>
      </c>
    </row>
    <row r="50" spans="9:14" x14ac:dyDescent="0.25">
      <c r="I50" s="14">
        <v>0</v>
      </c>
      <c r="J50" s="14">
        <v>632</v>
      </c>
      <c r="K50" s="14" t="str">
        <v>B</v>
      </c>
      <c r="L50" s="14" t="str">
        <v>E</v>
      </c>
      <c r="M50" s="14" t="str">
        <v>D</v>
      </c>
      <c r="N50" s="14" t="str">
        <v>I</v>
      </c>
    </row>
    <row r="51" spans="9:14" x14ac:dyDescent="0.25">
      <c r="I51" s="14">
        <v>0</v>
      </c>
      <c r="J51" s="14">
        <v>646</v>
      </c>
      <c r="K51" s="14" t="str">
        <v>B</v>
      </c>
      <c r="L51" s="14" t="str">
        <v>E</v>
      </c>
      <c r="M51" s="14" t="str">
        <v>E</v>
      </c>
      <c r="N51" s="14" t="str">
        <v>J</v>
      </c>
    </row>
    <row r="52" spans="9:14" x14ac:dyDescent="0.25">
      <c r="I52" s="14">
        <v>44</v>
      </c>
      <c r="J52" s="14">
        <v>652</v>
      </c>
      <c r="K52" s="14" t="str">
        <v>C</v>
      </c>
      <c r="L52" s="14" t="str">
        <v>A</v>
      </c>
      <c r="M52" s="14" t="str">
        <v>A</v>
      </c>
      <c r="N52" s="14" t="str">
        <v>C</v>
      </c>
    </row>
    <row r="53" spans="9:14" x14ac:dyDescent="0.25">
      <c r="I53" s="14">
        <v>0</v>
      </c>
      <c r="J53" s="14">
        <v>666</v>
      </c>
      <c r="K53" s="14" t="str">
        <v>C</v>
      </c>
      <c r="L53" s="14" t="str">
        <v>A</v>
      </c>
      <c r="M53" s="14" t="str">
        <v>B</v>
      </c>
      <c r="N53" s="14" t="str">
        <v>D</v>
      </c>
    </row>
    <row r="54" spans="9:14" x14ac:dyDescent="0.25">
      <c r="I54" s="14">
        <v>0</v>
      </c>
      <c r="J54" s="14">
        <v>680</v>
      </c>
      <c r="K54" s="14" t="str">
        <v>C</v>
      </c>
      <c r="L54" s="14" t="str">
        <v>A</v>
      </c>
      <c r="M54" s="14" t="str">
        <v>C</v>
      </c>
      <c r="N54" s="14" t="str">
        <v>E</v>
      </c>
    </row>
    <row r="55" spans="9:14" x14ac:dyDescent="0.25">
      <c r="I55" s="14">
        <v>0</v>
      </c>
      <c r="J55" s="14">
        <v>694</v>
      </c>
      <c r="K55" s="14" t="str">
        <v>C</v>
      </c>
      <c r="L55" s="14" t="str">
        <v>A</v>
      </c>
      <c r="M55" s="14" t="str">
        <v>D</v>
      </c>
      <c r="N55" s="14" t="str">
        <v>F</v>
      </c>
    </row>
    <row r="56" spans="9:14" x14ac:dyDescent="0.25">
      <c r="I56" s="14">
        <v>0</v>
      </c>
      <c r="J56" s="14">
        <v>708</v>
      </c>
      <c r="K56" s="14" t="str">
        <v>C</v>
      </c>
      <c r="L56" s="14" t="str">
        <v>A</v>
      </c>
      <c r="M56" s="14" t="str">
        <v>E</v>
      </c>
      <c r="N56" s="14" t="str">
        <v>G</v>
      </c>
    </row>
    <row r="57" spans="9:14" x14ac:dyDescent="0.25">
      <c r="I57" s="14">
        <v>0</v>
      </c>
      <c r="J57" s="14">
        <v>718</v>
      </c>
      <c r="K57" s="14" t="str">
        <v>C</v>
      </c>
      <c r="L57" s="14" t="str">
        <v>B</v>
      </c>
      <c r="M57" s="14" t="str">
        <v>A</v>
      </c>
      <c r="N57" s="14" t="str">
        <v>D</v>
      </c>
    </row>
    <row r="58" spans="9:14" x14ac:dyDescent="0.25">
      <c r="I58" s="14">
        <v>0</v>
      </c>
      <c r="J58" s="14">
        <v>732</v>
      </c>
      <c r="K58" s="14" t="str">
        <v>C</v>
      </c>
      <c r="L58" s="14" t="str">
        <v>B</v>
      </c>
      <c r="M58" s="14" t="str">
        <v>B</v>
      </c>
      <c r="N58" s="14" t="str">
        <v>E</v>
      </c>
    </row>
    <row r="59" spans="9:14" x14ac:dyDescent="0.25">
      <c r="I59" s="14">
        <v>0</v>
      </c>
      <c r="J59" s="14">
        <v>746</v>
      </c>
      <c r="K59" s="14" t="str">
        <v>C</v>
      </c>
      <c r="L59" s="14" t="str">
        <v>B</v>
      </c>
      <c r="M59" s="14" t="str">
        <v>C</v>
      </c>
      <c r="N59" s="14" t="str">
        <v>F</v>
      </c>
    </row>
    <row r="60" spans="9:14" x14ac:dyDescent="0.25">
      <c r="I60" s="14">
        <v>0</v>
      </c>
      <c r="J60" s="14">
        <v>760</v>
      </c>
      <c r="K60" s="14" t="str">
        <v>C</v>
      </c>
      <c r="L60" s="14" t="str">
        <v>B</v>
      </c>
      <c r="M60" s="14" t="str">
        <v>D</v>
      </c>
      <c r="N60" s="14" t="str">
        <v>G</v>
      </c>
    </row>
    <row r="61" spans="9:14" x14ac:dyDescent="0.25">
      <c r="I61" s="14">
        <v>0</v>
      </c>
      <c r="J61" s="14">
        <v>774</v>
      </c>
      <c r="K61" s="14" t="str">
        <v>C</v>
      </c>
      <c r="L61" s="14" t="str">
        <v>B</v>
      </c>
      <c r="M61" s="14" t="str">
        <v>E</v>
      </c>
      <c r="N61" s="14" t="str">
        <v>H</v>
      </c>
    </row>
    <row r="62" spans="9:14" x14ac:dyDescent="0.25">
      <c r="I62" s="14">
        <v>0</v>
      </c>
      <c r="J62" s="14">
        <v>784</v>
      </c>
      <c r="K62" s="14" t="str">
        <v>C</v>
      </c>
      <c r="L62" s="14" t="str">
        <v>C</v>
      </c>
      <c r="M62" s="14" t="str">
        <v>A</v>
      </c>
      <c r="N62" s="14" t="str">
        <v>E</v>
      </c>
    </row>
    <row r="63" spans="9:14" x14ac:dyDescent="0.25">
      <c r="I63" s="14">
        <v>0</v>
      </c>
      <c r="J63" s="14">
        <v>798</v>
      </c>
      <c r="K63" s="14" t="str">
        <v>C</v>
      </c>
      <c r="L63" s="14" t="str">
        <v>C</v>
      </c>
      <c r="M63" s="14" t="str">
        <v>B</v>
      </c>
      <c r="N63" s="14" t="str">
        <v>F</v>
      </c>
    </row>
    <row r="64" spans="9:14" x14ac:dyDescent="0.25">
      <c r="I64" s="14">
        <v>0</v>
      </c>
      <c r="J64" s="14">
        <v>812</v>
      </c>
      <c r="K64" s="14" t="str">
        <v>C</v>
      </c>
      <c r="L64" s="14" t="str">
        <v>C</v>
      </c>
      <c r="M64" s="14" t="str">
        <v>C</v>
      </c>
      <c r="N64" s="14" t="str">
        <v>G</v>
      </c>
    </row>
    <row r="65" spans="9:14" x14ac:dyDescent="0.25">
      <c r="I65" s="14">
        <v>0</v>
      </c>
      <c r="J65" s="14">
        <v>826</v>
      </c>
      <c r="K65" s="14" t="str">
        <v>C</v>
      </c>
      <c r="L65" s="14" t="str">
        <v>C</v>
      </c>
      <c r="M65" s="14" t="str">
        <v>D</v>
      </c>
      <c r="N65" s="14" t="str">
        <v>H</v>
      </c>
    </row>
    <row r="66" spans="9:14" x14ac:dyDescent="0.25">
      <c r="I66" s="14">
        <v>0</v>
      </c>
      <c r="J66" s="14">
        <v>840</v>
      </c>
      <c r="K66" s="14" t="str">
        <v>C</v>
      </c>
      <c r="L66" s="14" t="str">
        <v>C</v>
      </c>
      <c r="M66" s="14" t="str">
        <v>E</v>
      </c>
      <c r="N66" s="14" t="str">
        <v>I</v>
      </c>
    </row>
    <row r="67" spans="9:14" x14ac:dyDescent="0.25">
      <c r="I67" s="14">
        <v>0</v>
      </c>
      <c r="J67" s="14">
        <v>850</v>
      </c>
      <c r="K67" s="14" t="str">
        <v>C</v>
      </c>
      <c r="L67" s="14" t="str">
        <v>D</v>
      </c>
      <c r="M67" s="14" t="str">
        <v>A</v>
      </c>
      <c r="N67" s="14" t="str">
        <v>F</v>
      </c>
    </row>
    <row r="68" spans="9:14" x14ac:dyDescent="0.25">
      <c r="I68" s="14">
        <v>0</v>
      </c>
      <c r="J68" s="14">
        <v>864</v>
      </c>
      <c r="K68" s="14" t="str">
        <v>C</v>
      </c>
      <c r="L68" s="14" t="str">
        <v>D</v>
      </c>
      <c r="M68" s="14" t="str">
        <v>B</v>
      </c>
      <c r="N68" s="14" t="str">
        <v>G</v>
      </c>
    </row>
    <row r="69" spans="9:14" x14ac:dyDescent="0.25">
      <c r="I69" s="14">
        <v>0</v>
      </c>
      <c r="J69" s="14">
        <v>878</v>
      </c>
      <c r="K69" s="14" t="str">
        <v>C</v>
      </c>
      <c r="L69" s="14" t="str">
        <v>D</v>
      </c>
      <c r="M69" s="14" t="str">
        <v>C</v>
      </c>
      <c r="N69" s="14" t="str">
        <v>H</v>
      </c>
    </row>
    <row r="70" spans="9:14" x14ac:dyDescent="0.25">
      <c r="I70" s="14">
        <v>0</v>
      </c>
      <c r="J70" s="14">
        <v>892</v>
      </c>
      <c r="K70" s="14" t="str">
        <v>C</v>
      </c>
      <c r="L70" s="14" t="str">
        <v>D</v>
      </c>
      <c r="M70" s="14" t="str">
        <v>D</v>
      </c>
      <c r="N70" s="14" t="str">
        <v>I</v>
      </c>
    </row>
    <row r="71" spans="9:14" x14ac:dyDescent="0.25">
      <c r="I71" s="14">
        <v>0</v>
      </c>
      <c r="J71" s="14">
        <v>906</v>
      </c>
      <c r="K71" s="14" t="str">
        <v>C</v>
      </c>
      <c r="L71" s="14" t="str">
        <v>D</v>
      </c>
      <c r="M71" s="14" t="str">
        <v>E</v>
      </c>
      <c r="N71" s="14" t="str">
        <v>J</v>
      </c>
    </row>
    <row r="72" spans="9:14" x14ac:dyDescent="0.25">
      <c r="I72" s="14">
        <v>0</v>
      </c>
      <c r="J72" s="14">
        <v>916</v>
      </c>
      <c r="K72" s="14" t="str">
        <v>C</v>
      </c>
      <c r="L72" s="14" t="str">
        <v>E</v>
      </c>
      <c r="M72" s="14" t="str">
        <v>A</v>
      </c>
      <c r="N72" s="14" t="str">
        <v>G</v>
      </c>
    </row>
    <row r="73" spans="9:14" x14ac:dyDescent="0.25">
      <c r="I73" s="14">
        <v>0</v>
      </c>
      <c r="J73" s="14">
        <v>930</v>
      </c>
      <c r="K73" s="14" t="str">
        <v>C</v>
      </c>
      <c r="L73" s="14" t="str">
        <v>E</v>
      </c>
      <c r="M73" s="14" t="str">
        <v>B</v>
      </c>
      <c r="N73" s="14" t="str">
        <v>H</v>
      </c>
    </row>
    <row r="74" spans="9:14" x14ac:dyDescent="0.25">
      <c r="I74" s="14">
        <v>0</v>
      </c>
      <c r="J74" s="14">
        <v>944</v>
      </c>
      <c r="K74" s="14" t="str">
        <v>C</v>
      </c>
      <c r="L74" s="14" t="str">
        <v>E</v>
      </c>
      <c r="M74" s="14" t="str">
        <v>C</v>
      </c>
      <c r="N74" s="14" t="str">
        <v>I</v>
      </c>
    </row>
    <row r="75" spans="9:14" x14ac:dyDescent="0.25">
      <c r="I75" s="14">
        <v>0</v>
      </c>
      <c r="J75" s="14">
        <v>958</v>
      </c>
      <c r="K75" s="14" t="str">
        <v>C</v>
      </c>
      <c r="L75" s="14" t="str">
        <v>E</v>
      </c>
      <c r="M75" s="14" t="str">
        <v>D</v>
      </c>
      <c r="N75" s="14" t="str">
        <v>J</v>
      </c>
    </row>
    <row r="76" spans="9:14" x14ac:dyDescent="0.25">
      <c r="I76" s="14">
        <v>0</v>
      </c>
      <c r="J76" s="14">
        <v>972</v>
      </c>
      <c r="K76" s="14" t="str">
        <v>C</v>
      </c>
      <c r="L76" s="14" t="str">
        <v>E</v>
      </c>
      <c r="M76" s="14" t="str">
        <v>E</v>
      </c>
      <c r="N76" s="14" t="str">
        <v>K</v>
      </c>
    </row>
    <row r="77" spans="9:14" x14ac:dyDescent="0.25">
      <c r="I77" s="14">
        <v>34</v>
      </c>
      <c r="J77" s="14">
        <v>978</v>
      </c>
      <c r="K77" s="14" t="str">
        <v>D</v>
      </c>
      <c r="L77" s="14" t="str">
        <v>A</v>
      </c>
      <c r="M77" s="14" t="str">
        <v>A</v>
      </c>
      <c r="N77" s="14" t="str">
        <v>D</v>
      </c>
    </row>
    <row r="78" spans="9:14" x14ac:dyDescent="0.25">
      <c r="I78" s="14">
        <v>0</v>
      </c>
      <c r="J78" s="14">
        <v>992</v>
      </c>
      <c r="K78" s="14" t="str">
        <v>D</v>
      </c>
      <c r="L78" s="14" t="str">
        <v>A</v>
      </c>
      <c r="M78" s="14" t="str">
        <v>B</v>
      </c>
      <c r="N78" s="14" t="str">
        <v>E</v>
      </c>
    </row>
    <row r="79" spans="9:14" x14ac:dyDescent="0.25">
      <c r="I79" s="14">
        <v>0</v>
      </c>
      <c r="J79" s="14">
        <v>1006</v>
      </c>
      <c r="K79" s="14" t="str">
        <v>D</v>
      </c>
      <c r="L79" s="14" t="str">
        <v>A</v>
      </c>
      <c r="M79" s="14" t="str">
        <v>C</v>
      </c>
      <c r="N79" s="14" t="str">
        <v>F</v>
      </c>
    </row>
    <row r="80" spans="9:14" x14ac:dyDescent="0.25">
      <c r="I80" s="14">
        <v>0</v>
      </c>
      <c r="J80" s="14">
        <v>1020</v>
      </c>
      <c r="K80" s="14" t="str">
        <v>D</v>
      </c>
      <c r="L80" s="14" t="str">
        <v>A</v>
      </c>
      <c r="M80" s="14" t="str">
        <v>D</v>
      </c>
      <c r="N80" s="14" t="str">
        <v>G</v>
      </c>
    </row>
    <row r="81" spans="9:14" x14ac:dyDescent="0.25">
      <c r="I81" s="14">
        <v>0</v>
      </c>
      <c r="J81" s="14">
        <v>1034</v>
      </c>
      <c r="K81" s="14" t="str">
        <v>D</v>
      </c>
      <c r="L81" s="14" t="str">
        <v>A</v>
      </c>
      <c r="M81" s="14" t="str">
        <v>E</v>
      </c>
      <c r="N81" s="14" t="str">
        <v>H</v>
      </c>
    </row>
    <row r="82" spans="9:14" x14ac:dyDescent="0.25">
      <c r="I82" s="14">
        <v>0</v>
      </c>
      <c r="J82" s="14">
        <v>1044</v>
      </c>
      <c r="K82" s="14" t="str">
        <v>D</v>
      </c>
      <c r="L82" s="14" t="str">
        <v>B</v>
      </c>
      <c r="M82" s="14" t="str">
        <v>A</v>
      </c>
      <c r="N82" s="14" t="str">
        <v>E</v>
      </c>
    </row>
    <row r="83" spans="9:14" x14ac:dyDescent="0.25">
      <c r="I83" s="14">
        <v>0</v>
      </c>
      <c r="J83" s="14">
        <v>1058</v>
      </c>
      <c r="K83" s="14" t="str">
        <v>D</v>
      </c>
      <c r="L83" s="14" t="str">
        <v>B</v>
      </c>
      <c r="M83" s="14" t="str">
        <v>B</v>
      </c>
      <c r="N83" s="14" t="str">
        <v>F</v>
      </c>
    </row>
    <row r="84" spans="9:14" x14ac:dyDescent="0.25">
      <c r="I84" s="14">
        <v>0</v>
      </c>
      <c r="J84" s="14">
        <v>1072</v>
      </c>
      <c r="K84" s="14" t="str">
        <v>D</v>
      </c>
      <c r="L84" s="14" t="str">
        <v>B</v>
      </c>
      <c r="M84" s="14" t="str">
        <v>C</v>
      </c>
      <c r="N84" s="14" t="str">
        <v>G</v>
      </c>
    </row>
    <row r="85" spans="9:14" x14ac:dyDescent="0.25">
      <c r="I85" s="14">
        <v>0</v>
      </c>
      <c r="J85" s="14">
        <v>1086</v>
      </c>
      <c r="K85" s="14" t="str">
        <v>D</v>
      </c>
      <c r="L85" s="14" t="str">
        <v>B</v>
      </c>
      <c r="M85" s="14" t="str">
        <v>D</v>
      </c>
      <c r="N85" s="14" t="str">
        <v>H</v>
      </c>
    </row>
    <row r="86" spans="9:14" x14ac:dyDescent="0.25">
      <c r="I86" s="14">
        <v>0</v>
      </c>
      <c r="J86" s="14">
        <v>1100</v>
      </c>
      <c r="K86" s="14" t="str">
        <v>D</v>
      </c>
      <c r="L86" s="14" t="str">
        <v>B</v>
      </c>
      <c r="M86" s="14" t="str">
        <v>E</v>
      </c>
      <c r="N86" s="14" t="str">
        <v>I</v>
      </c>
    </row>
    <row r="87" spans="9:14" x14ac:dyDescent="0.25">
      <c r="I87" s="14">
        <v>0</v>
      </c>
      <c r="J87" s="14">
        <v>1110</v>
      </c>
      <c r="K87" s="14" t="str">
        <v>D</v>
      </c>
      <c r="L87" s="14" t="str">
        <v>C</v>
      </c>
      <c r="M87" s="14" t="str">
        <v>A</v>
      </c>
      <c r="N87" s="14" t="str">
        <v>F</v>
      </c>
    </row>
    <row r="88" spans="9:14" x14ac:dyDescent="0.25">
      <c r="I88" s="14">
        <v>0</v>
      </c>
      <c r="J88" s="14">
        <v>1124</v>
      </c>
      <c r="K88" s="14" t="str">
        <v>D</v>
      </c>
      <c r="L88" s="14" t="str">
        <v>C</v>
      </c>
      <c r="M88" s="14" t="str">
        <v>B</v>
      </c>
      <c r="N88" s="14" t="str">
        <v>G</v>
      </c>
    </row>
    <row r="89" spans="9:14" x14ac:dyDescent="0.25">
      <c r="I89" s="14">
        <v>0</v>
      </c>
      <c r="J89" s="14">
        <v>1138</v>
      </c>
      <c r="K89" s="14" t="str">
        <v>D</v>
      </c>
      <c r="L89" s="14" t="str">
        <v>C</v>
      </c>
      <c r="M89" s="14" t="str">
        <v>C</v>
      </c>
      <c r="N89" s="14" t="str">
        <v>H</v>
      </c>
    </row>
    <row r="90" spans="9:14" x14ac:dyDescent="0.25">
      <c r="I90" s="14">
        <v>0</v>
      </c>
      <c r="J90" s="14">
        <v>1152</v>
      </c>
      <c r="K90" s="14" t="str">
        <v>D</v>
      </c>
      <c r="L90" s="14" t="str">
        <v>C</v>
      </c>
      <c r="M90" s="14" t="str">
        <v>D</v>
      </c>
      <c r="N90" s="14" t="str">
        <v>I</v>
      </c>
    </row>
    <row r="91" spans="9:14" x14ac:dyDescent="0.25">
      <c r="I91" s="14">
        <v>0</v>
      </c>
      <c r="J91" s="14">
        <v>1166</v>
      </c>
      <c r="K91" s="14" t="str">
        <v>D</v>
      </c>
      <c r="L91" s="14" t="str">
        <v>C</v>
      </c>
      <c r="M91" s="14" t="str">
        <v>E</v>
      </c>
      <c r="N91" s="14" t="str">
        <v>J</v>
      </c>
    </row>
    <row r="92" spans="9:14" x14ac:dyDescent="0.25">
      <c r="I92" s="14">
        <v>0</v>
      </c>
      <c r="J92" s="14">
        <v>1176</v>
      </c>
      <c r="K92" s="14" t="str">
        <v>D</v>
      </c>
      <c r="L92" s="14" t="str">
        <v>D</v>
      </c>
      <c r="M92" s="14" t="str">
        <v>A</v>
      </c>
      <c r="N92" s="14" t="str">
        <v>G</v>
      </c>
    </row>
    <row r="93" spans="9:14" x14ac:dyDescent="0.25">
      <c r="I93" s="14">
        <v>0</v>
      </c>
      <c r="J93" s="14">
        <v>1190</v>
      </c>
      <c r="K93" s="14" t="str">
        <v>D</v>
      </c>
      <c r="L93" s="14" t="str">
        <v>D</v>
      </c>
      <c r="M93" s="14" t="str">
        <v>B</v>
      </c>
      <c r="N93" s="14" t="str">
        <v>H</v>
      </c>
    </row>
    <row r="94" spans="9:14" x14ac:dyDescent="0.25">
      <c r="I94" s="14">
        <v>0</v>
      </c>
      <c r="J94" s="14">
        <v>1204</v>
      </c>
      <c r="K94" s="14" t="str">
        <v>D</v>
      </c>
      <c r="L94" s="14" t="str">
        <v>D</v>
      </c>
      <c r="M94" s="14" t="str">
        <v>C</v>
      </c>
      <c r="N94" s="14" t="str">
        <v>I</v>
      </c>
    </row>
    <row r="95" spans="9:14" x14ac:dyDescent="0.25">
      <c r="I95" s="14">
        <v>0</v>
      </c>
      <c r="J95" s="14">
        <v>1218</v>
      </c>
      <c r="K95" s="14" t="str">
        <v>D</v>
      </c>
      <c r="L95" s="14" t="str">
        <v>D</v>
      </c>
      <c r="M95" s="14" t="str">
        <v>D</v>
      </c>
      <c r="N95" s="14" t="str">
        <v>J</v>
      </c>
    </row>
    <row r="96" spans="9:14" x14ac:dyDescent="0.25">
      <c r="I96" s="14">
        <v>0</v>
      </c>
      <c r="J96" s="14">
        <v>1232</v>
      </c>
      <c r="K96" s="14" t="str">
        <v>D</v>
      </c>
      <c r="L96" s="14" t="str">
        <v>D</v>
      </c>
      <c r="M96" s="14" t="str">
        <v>E</v>
      </c>
      <c r="N96" s="14" t="str">
        <v>K</v>
      </c>
    </row>
    <row r="97" spans="9:14" x14ac:dyDescent="0.25">
      <c r="I97" s="14">
        <v>0</v>
      </c>
      <c r="J97" s="14">
        <v>1242</v>
      </c>
      <c r="K97" s="14" t="str">
        <v>D</v>
      </c>
      <c r="L97" s="14" t="str">
        <v>E</v>
      </c>
      <c r="M97" s="14" t="str">
        <v>A</v>
      </c>
      <c r="N97" s="14" t="str">
        <v>H</v>
      </c>
    </row>
    <row r="98" spans="9:14" x14ac:dyDescent="0.25">
      <c r="I98" s="14">
        <v>0</v>
      </c>
      <c r="J98" s="14">
        <v>1256</v>
      </c>
      <c r="K98" s="14" t="str">
        <v>D</v>
      </c>
      <c r="L98" s="14" t="str">
        <v>E</v>
      </c>
      <c r="M98" s="14" t="str">
        <v>B</v>
      </c>
      <c r="N98" s="14" t="str">
        <v>I</v>
      </c>
    </row>
    <row r="99" spans="9:14" x14ac:dyDescent="0.25">
      <c r="I99" s="14">
        <v>0</v>
      </c>
      <c r="J99" s="14">
        <v>1270</v>
      </c>
      <c r="K99" s="14" t="str">
        <v>D</v>
      </c>
      <c r="L99" s="14" t="str">
        <v>E</v>
      </c>
      <c r="M99" s="14" t="str">
        <v>C</v>
      </c>
      <c r="N99" s="14" t="str">
        <v>J</v>
      </c>
    </row>
    <row r="100" spans="9:14" x14ac:dyDescent="0.25">
      <c r="I100" s="14">
        <v>0</v>
      </c>
      <c r="J100" s="14">
        <v>1284</v>
      </c>
      <c r="K100" s="14" t="str">
        <v>D</v>
      </c>
      <c r="L100" s="14" t="str">
        <v>E</v>
      </c>
      <c r="M100" s="14" t="str">
        <v>D</v>
      </c>
      <c r="N100" s="14" t="str">
        <v>K</v>
      </c>
    </row>
    <row r="101" spans="9:14" x14ac:dyDescent="0.25">
      <c r="I101" s="14">
        <v>0</v>
      </c>
      <c r="J101" s="14">
        <v>1298</v>
      </c>
      <c r="K101" s="14" t="str">
        <v>D</v>
      </c>
      <c r="L101" s="14" t="str">
        <v>E</v>
      </c>
      <c r="M101" s="14" t="str">
        <v>E</v>
      </c>
      <c r="N101" s="14" t="str">
        <v>L</v>
      </c>
    </row>
    <row r="102" spans="9:14" x14ac:dyDescent="0.25">
      <c r="I102" s="14">
        <v>34</v>
      </c>
      <c r="J102" s="14">
        <v>1304</v>
      </c>
      <c r="K102" s="14" t="str">
        <v>E</v>
      </c>
      <c r="L102" s="14" t="str">
        <v>A</v>
      </c>
      <c r="M102" s="14" t="str">
        <v>A</v>
      </c>
      <c r="N102" s="14" t="str">
        <v>E</v>
      </c>
    </row>
    <row r="103" spans="9:14" x14ac:dyDescent="0.25">
      <c r="I103" s="14">
        <v>0</v>
      </c>
      <c r="J103" s="14">
        <v>1318</v>
      </c>
      <c r="K103" s="14" t="str">
        <v>E</v>
      </c>
      <c r="L103" s="14" t="str">
        <v>A</v>
      </c>
      <c r="M103" s="14" t="str">
        <v>B</v>
      </c>
      <c r="N103" s="14" t="str">
        <v>F</v>
      </c>
    </row>
    <row r="104" spans="9:14" x14ac:dyDescent="0.25">
      <c r="I104" s="14">
        <v>0</v>
      </c>
      <c r="J104" s="14">
        <v>1332</v>
      </c>
      <c r="K104" s="14" t="str">
        <v>E</v>
      </c>
      <c r="L104" s="14" t="str">
        <v>A</v>
      </c>
      <c r="M104" s="14" t="str">
        <v>C</v>
      </c>
      <c r="N104" s="14" t="str">
        <v>G</v>
      </c>
    </row>
    <row r="105" spans="9:14" x14ac:dyDescent="0.25">
      <c r="I105" s="14">
        <v>0</v>
      </c>
      <c r="J105" s="14">
        <v>1346</v>
      </c>
      <c r="K105" s="14" t="str">
        <v>E</v>
      </c>
      <c r="L105" s="14" t="str">
        <v>A</v>
      </c>
      <c r="M105" s="14" t="str">
        <v>D</v>
      </c>
      <c r="N105" s="14" t="str">
        <v>H</v>
      </c>
    </row>
    <row r="106" spans="9:14" x14ac:dyDescent="0.25">
      <c r="I106" s="14">
        <v>0</v>
      </c>
      <c r="J106" s="14">
        <v>1360</v>
      </c>
      <c r="K106" s="14" t="str">
        <v>E</v>
      </c>
      <c r="L106" s="14" t="str">
        <v>A</v>
      </c>
      <c r="M106" s="14" t="str">
        <v>E</v>
      </c>
      <c r="N106" s="14" t="str">
        <v>I</v>
      </c>
    </row>
    <row r="107" spans="9:14" x14ac:dyDescent="0.25">
      <c r="I107" s="14">
        <v>0</v>
      </c>
      <c r="J107" s="14">
        <v>1370</v>
      </c>
      <c r="K107" s="14" t="str">
        <v>E</v>
      </c>
      <c r="L107" s="14" t="str">
        <v>B</v>
      </c>
      <c r="M107" s="14" t="str">
        <v>A</v>
      </c>
      <c r="N107" s="14" t="str">
        <v>F</v>
      </c>
    </row>
    <row r="108" spans="9:14" x14ac:dyDescent="0.25">
      <c r="I108" s="14">
        <v>0</v>
      </c>
      <c r="J108" s="14">
        <v>1384</v>
      </c>
      <c r="K108" s="14" t="str">
        <v>E</v>
      </c>
      <c r="L108" s="14" t="str">
        <v>B</v>
      </c>
      <c r="M108" s="14" t="str">
        <v>B</v>
      </c>
      <c r="N108" s="14" t="str">
        <v>G</v>
      </c>
    </row>
    <row r="109" spans="9:14" x14ac:dyDescent="0.25">
      <c r="I109" s="14">
        <v>0</v>
      </c>
      <c r="J109" s="14">
        <v>1398</v>
      </c>
      <c r="K109" s="14" t="str">
        <v>E</v>
      </c>
      <c r="L109" s="14" t="str">
        <v>B</v>
      </c>
      <c r="M109" s="14" t="str">
        <v>C</v>
      </c>
      <c r="N109" s="14" t="str">
        <v>H</v>
      </c>
    </row>
    <row r="110" spans="9:14" x14ac:dyDescent="0.25">
      <c r="I110" s="14">
        <v>0</v>
      </c>
      <c r="J110" s="14">
        <v>1412</v>
      </c>
      <c r="K110" s="14" t="str">
        <v>E</v>
      </c>
      <c r="L110" s="14" t="str">
        <v>B</v>
      </c>
      <c r="M110" s="14" t="str">
        <v>D</v>
      </c>
      <c r="N110" s="14" t="str">
        <v>I</v>
      </c>
    </row>
    <row r="111" spans="9:14" x14ac:dyDescent="0.25">
      <c r="I111" s="14">
        <v>0</v>
      </c>
      <c r="J111" s="14">
        <v>1426</v>
      </c>
      <c r="K111" s="14" t="str">
        <v>E</v>
      </c>
      <c r="L111" s="14" t="str">
        <v>B</v>
      </c>
      <c r="M111" s="14" t="str">
        <v>E</v>
      </c>
      <c r="N111" s="14" t="str">
        <v>J</v>
      </c>
    </row>
    <row r="112" spans="9:14" x14ac:dyDescent="0.25">
      <c r="I112" s="14">
        <v>0</v>
      </c>
      <c r="J112" s="14">
        <v>1436</v>
      </c>
      <c r="K112" s="14" t="str">
        <v>E</v>
      </c>
      <c r="L112" s="14" t="str">
        <v>C</v>
      </c>
      <c r="M112" s="14" t="str">
        <v>A</v>
      </c>
      <c r="N112" s="14" t="str">
        <v>G</v>
      </c>
    </row>
    <row r="113" spans="9:14" x14ac:dyDescent="0.25">
      <c r="I113" s="14">
        <v>0</v>
      </c>
      <c r="J113" s="14">
        <v>1450</v>
      </c>
      <c r="K113" s="14" t="str">
        <v>E</v>
      </c>
      <c r="L113" s="14" t="str">
        <v>C</v>
      </c>
      <c r="M113" s="14" t="str">
        <v>B</v>
      </c>
      <c r="N113" s="14" t="str">
        <v>H</v>
      </c>
    </row>
    <row r="114" spans="9:14" x14ac:dyDescent="0.25">
      <c r="I114" s="14">
        <v>0</v>
      </c>
      <c r="J114" s="14">
        <v>1464</v>
      </c>
      <c r="K114" s="14" t="str">
        <v>E</v>
      </c>
      <c r="L114" s="14" t="str">
        <v>C</v>
      </c>
      <c r="M114" s="14" t="str">
        <v>C</v>
      </c>
      <c r="N114" s="14" t="str">
        <v>I</v>
      </c>
    </row>
    <row r="115" spans="9:14" x14ac:dyDescent="0.25">
      <c r="I115" s="14">
        <v>0</v>
      </c>
      <c r="J115" s="14">
        <v>1478</v>
      </c>
      <c r="K115" s="14" t="str">
        <v>E</v>
      </c>
      <c r="L115" s="14" t="str">
        <v>C</v>
      </c>
      <c r="M115" s="14" t="str">
        <v>D</v>
      </c>
      <c r="N115" s="14" t="str">
        <v>J</v>
      </c>
    </row>
    <row r="116" spans="9:14" x14ac:dyDescent="0.25">
      <c r="I116" s="14">
        <v>0</v>
      </c>
      <c r="J116" s="14">
        <v>1492</v>
      </c>
      <c r="K116" s="14" t="str">
        <v>E</v>
      </c>
      <c r="L116" s="14" t="str">
        <v>C</v>
      </c>
      <c r="M116" s="14" t="str">
        <v>E</v>
      </c>
      <c r="N116" s="14" t="str">
        <v>K</v>
      </c>
    </row>
    <row r="117" spans="9:14" x14ac:dyDescent="0.25">
      <c r="I117" s="14">
        <v>0</v>
      </c>
      <c r="J117" s="14">
        <v>1502</v>
      </c>
      <c r="K117" s="14" t="str">
        <v>E</v>
      </c>
      <c r="L117" s="14" t="str">
        <v>D</v>
      </c>
      <c r="M117" s="14" t="str">
        <v>A</v>
      </c>
      <c r="N117" s="14" t="str">
        <v>H</v>
      </c>
    </row>
    <row r="118" spans="9:14" x14ac:dyDescent="0.25">
      <c r="I118" s="14">
        <v>0</v>
      </c>
      <c r="J118" s="14">
        <v>1516</v>
      </c>
      <c r="K118" s="14" t="str">
        <v>E</v>
      </c>
      <c r="L118" s="14" t="str">
        <v>D</v>
      </c>
      <c r="M118" s="14" t="str">
        <v>B</v>
      </c>
      <c r="N118" s="14" t="str">
        <v>I</v>
      </c>
    </row>
    <row r="119" spans="9:14" x14ac:dyDescent="0.25">
      <c r="I119" s="14">
        <v>0</v>
      </c>
      <c r="J119" s="14">
        <v>1530</v>
      </c>
      <c r="K119" s="14" t="str">
        <v>E</v>
      </c>
      <c r="L119" s="14" t="str">
        <v>D</v>
      </c>
      <c r="M119" s="14" t="str">
        <v>C</v>
      </c>
      <c r="N119" s="14" t="str">
        <v>J</v>
      </c>
    </row>
    <row r="120" spans="9:14" x14ac:dyDescent="0.25">
      <c r="I120" s="14">
        <v>0</v>
      </c>
      <c r="J120" s="14">
        <v>1544</v>
      </c>
      <c r="K120" s="14" t="str">
        <v>E</v>
      </c>
      <c r="L120" s="14" t="str">
        <v>D</v>
      </c>
      <c r="M120" s="14" t="str">
        <v>D</v>
      </c>
      <c r="N120" s="14" t="str">
        <v>K</v>
      </c>
    </row>
    <row r="121" spans="9:14" x14ac:dyDescent="0.25">
      <c r="I121" s="14">
        <v>0</v>
      </c>
      <c r="J121" s="14">
        <v>1558</v>
      </c>
      <c r="K121" s="14" t="str">
        <v>E</v>
      </c>
      <c r="L121" s="14" t="str">
        <v>D</v>
      </c>
      <c r="M121" s="14" t="str">
        <v>E</v>
      </c>
      <c r="N121" s="14" t="str">
        <v>L</v>
      </c>
    </row>
    <row r="122" spans="9:14" x14ac:dyDescent="0.25">
      <c r="I122" s="14">
        <v>0</v>
      </c>
      <c r="J122" s="14">
        <v>1568</v>
      </c>
      <c r="K122" s="14" t="str">
        <v>E</v>
      </c>
      <c r="L122" s="14" t="str">
        <v>E</v>
      </c>
      <c r="M122" s="14" t="str">
        <v>A</v>
      </c>
      <c r="N122" s="14" t="str">
        <v>I</v>
      </c>
    </row>
    <row r="123" spans="9:14" x14ac:dyDescent="0.25">
      <c r="I123" s="14">
        <v>0</v>
      </c>
      <c r="J123" s="14">
        <v>1582</v>
      </c>
      <c r="K123" s="14" t="str">
        <v>E</v>
      </c>
      <c r="L123" s="14" t="str">
        <v>E</v>
      </c>
      <c r="M123" s="14" t="str">
        <v>B</v>
      </c>
      <c r="N123" s="14" t="str">
        <v>J</v>
      </c>
    </row>
    <row r="124" spans="9:14" x14ac:dyDescent="0.25">
      <c r="I124" s="14">
        <v>0</v>
      </c>
      <c r="J124" s="14">
        <v>1596</v>
      </c>
      <c r="K124" s="14" t="str">
        <v>E</v>
      </c>
      <c r="L124" s="14" t="str">
        <v>E</v>
      </c>
      <c r="M124" s="14" t="str">
        <v>C</v>
      </c>
      <c r="N124" s="14" t="str">
        <v>K</v>
      </c>
    </row>
    <row r="125" spans="9:14" x14ac:dyDescent="0.25">
      <c r="I125" s="14">
        <v>0</v>
      </c>
      <c r="J125" s="14">
        <v>1610</v>
      </c>
      <c r="K125" s="14" t="str">
        <v>E</v>
      </c>
      <c r="L125" s="14" t="str">
        <v>E</v>
      </c>
      <c r="M125" s="14" t="str">
        <v>D</v>
      </c>
      <c r="N125" s="14" t="str">
        <v>L</v>
      </c>
    </row>
    <row r="126" spans="9:14" x14ac:dyDescent="0.25">
      <c r="I126" s="14">
        <v>0</v>
      </c>
      <c r="J126" s="14">
        <v>1624</v>
      </c>
      <c r="K126" s="14" t="str">
        <v>E</v>
      </c>
      <c r="L126" s="14" t="str">
        <v>E</v>
      </c>
      <c r="M126" s="14" t="str">
        <v>E</v>
      </c>
      <c r="N126" s="14" t="str">
        <v>M</v>
      </c>
    </row>
  </sheetData>
  <autoFilter ref="I1:N126" xr:uid="{0F9C44EF-F0FB-4C95-9C07-8EB94F8D1AD4}"/>
  <mergeCells count="2">
    <mergeCell ref="A1:E1"/>
    <mergeCell ref="A9:B9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EB818-5083-455F-864C-8383FB86D28E}">
  <sheetPr codeName="Planilha5"/>
  <dimension ref="A1:N126"/>
  <sheetViews>
    <sheetView workbookViewId="0">
      <selection activeCell="C3" sqref="C3"/>
    </sheetView>
  </sheetViews>
  <sheetFormatPr defaultRowHeight="15" x14ac:dyDescent="0.25"/>
  <cols>
    <col min="1" max="5" width="9.140625" style="14"/>
    <col min="6" max="6" width="12.140625" style="14" bestFit="1" customWidth="1"/>
    <col min="7" max="7" width="20" style="14" bestFit="1" customWidth="1"/>
    <col min="8" max="8" width="9.140625" style="14"/>
    <col min="9" max="9" width="20.140625" style="14" bestFit="1" customWidth="1"/>
    <col min="10" max="14" width="9.140625" style="14"/>
    <col min="15" max="18" width="9.140625" style="14" customWidth="1"/>
    <col min="19" max="16384" width="9.140625" style="14"/>
  </cols>
  <sheetData>
    <row r="1" spans="1:14" x14ac:dyDescent="0.25">
      <c r="A1" s="65" t="s">
        <v>31</v>
      </c>
      <c r="B1" s="65"/>
      <c r="C1" s="65"/>
      <c r="D1" s="65"/>
      <c r="E1" s="65"/>
      <c r="G1" s="14" t="s">
        <v>39</v>
      </c>
      <c r="I1" s="14" t="s">
        <v>37</v>
      </c>
      <c r="J1" s="14" t="s">
        <v>35</v>
      </c>
      <c r="K1" s="14" t="s">
        <v>19</v>
      </c>
      <c r="L1" s="14" t="s">
        <v>32</v>
      </c>
      <c r="M1" s="14" t="s">
        <v>33</v>
      </c>
      <c r="N1" s="14" t="s">
        <v>34</v>
      </c>
    </row>
    <row r="2" spans="1:14" x14ac:dyDescent="0.25">
      <c r="A2" s="14" t="s">
        <v>22</v>
      </c>
      <c r="B2" s="14" t="s">
        <v>19</v>
      </c>
      <c r="C2" s="14" t="s">
        <v>32</v>
      </c>
      <c r="D2" s="14" t="s">
        <v>33</v>
      </c>
      <c r="G2" s="14">
        <f>SUM(I:I)</f>
        <v>199</v>
      </c>
      <c r="I2" s="14">
        <v>35</v>
      </c>
      <c r="J2" s="14" cm="1">
        <f t="array" ref="J2:J126">_xlfn._xlws.FILTER(Tabela2[Comb],Tabela2[Status]="OK","ERRO")</f>
        <v>0</v>
      </c>
      <c r="K2" s="14" t="str" cm="1">
        <f t="array" ref="K2:K126">_xlfn._xlws.FILTER(Tabela2[OP],Tabela2[Status]="OK","ERRO")</f>
        <v>A</v>
      </c>
      <c r="L2" s="14" t="str" cm="1">
        <f t="array" ref="L2:L126">_xlfn._xlws.FILTER(Tabela2[BICO],Tabela2[Status]="OK","ERRO")</f>
        <v>A</v>
      </c>
      <c r="M2" s="14" t="str" cm="1">
        <f t="array" ref="M2:M126">_xlfn._xlws.FILTER(Tabela2[SPACER],Tabela2[Status]="OK","ERRO")</f>
        <v>A</v>
      </c>
      <c r="N2" s="14" t="str" cm="1">
        <f t="array" ref="N2:N126">_xlfn._xlws.FILTER(Tabela2[AGULHA],Tabela2[Status]="OK","ERRO")</f>
        <v>A</v>
      </c>
    </row>
    <row r="3" spans="1:14" x14ac:dyDescent="0.25">
      <c r="A3" s="14" t="s">
        <v>8</v>
      </c>
      <c r="B3" s="6">
        <f>Simluação!L31</f>
        <v>41</v>
      </c>
      <c r="C3" s="14">
        <f>'Lote 1'!C3-'Lote 1'!C10</f>
        <v>215</v>
      </c>
      <c r="D3" s="14">
        <f>'Lote 1'!D3-'Lote 1'!D10</f>
        <v>193</v>
      </c>
      <c r="G3" s="14">
        <f>G2-SUM(B3:B7)</f>
        <v>0</v>
      </c>
      <c r="I3" s="14">
        <v>6</v>
      </c>
      <c r="J3" s="14">
        <v>14</v>
      </c>
      <c r="K3" s="14" t="str">
        <v>A</v>
      </c>
      <c r="L3" s="14" t="str">
        <v>A</v>
      </c>
      <c r="M3" s="14" t="str">
        <v>B</v>
      </c>
      <c r="N3" s="14" t="str">
        <v>B</v>
      </c>
    </row>
    <row r="4" spans="1:14" x14ac:dyDescent="0.25">
      <c r="A4" s="14" t="s">
        <v>9</v>
      </c>
      <c r="B4" s="6">
        <f>Simluação!L32</f>
        <v>37</v>
      </c>
      <c r="C4" s="14">
        <f>'Lote 1'!C4-'Lote 1'!C11</f>
        <v>384</v>
      </c>
      <c r="D4" s="14">
        <f>'Lote 1'!D4-'Lote 1'!D11</f>
        <v>390</v>
      </c>
      <c r="I4" s="14">
        <v>0</v>
      </c>
      <c r="J4" s="14">
        <v>28</v>
      </c>
      <c r="K4" s="14" t="str">
        <v>A</v>
      </c>
      <c r="L4" s="14" t="str">
        <v>A</v>
      </c>
      <c r="M4" s="14" t="str">
        <v>C</v>
      </c>
      <c r="N4" s="14" t="str">
        <v>C</v>
      </c>
    </row>
    <row r="5" spans="1:14" x14ac:dyDescent="0.25">
      <c r="A5" s="14" t="s">
        <v>10</v>
      </c>
      <c r="B5" s="6">
        <f>Simluação!L33</f>
        <v>31</v>
      </c>
      <c r="C5" s="14">
        <f>'Lote 1'!C5-'Lote 1'!C12</f>
        <v>389</v>
      </c>
      <c r="D5" s="14">
        <f>'Lote 1'!D5-'Lote 1'!D12</f>
        <v>417</v>
      </c>
      <c r="I5" s="14">
        <v>0</v>
      </c>
      <c r="J5" s="14">
        <v>42</v>
      </c>
      <c r="K5" s="14" t="str">
        <v>A</v>
      </c>
      <c r="L5" s="14" t="str">
        <v>A</v>
      </c>
      <c r="M5" s="14" t="str">
        <v>D</v>
      </c>
      <c r="N5" s="14" t="str">
        <v>D</v>
      </c>
    </row>
    <row r="6" spans="1:14" x14ac:dyDescent="0.25">
      <c r="A6" s="14" t="s">
        <v>11</v>
      </c>
      <c r="B6" s="6">
        <f>Simluação!L34</f>
        <v>46</v>
      </c>
      <c r="C6" s="14">
        <f>'Lote 1'!C6-'Lote 1'!C13</f>
        <v>427</v>
      </c>
      <c r="D6" s="14">
        <f>'Lote 1'!D6-'Lote 1'!D13</f>
        <v>397</v>
      </c>
      <c r="I6" s="14">
        <v>0</v>
      </c>
      <c r="J6" s="14">
        <v>56</v>
      </c>
      <c r="K6" s="14" t="str">
        <v>A</v>
      </c>
      <c r="L6" s="14" t="str">
        <v>A</v>
      </c>
      <c r="M6" s="14" t="str">
        <v>E</v>
      </c>
      <c r="N6" s="14" t="str">
        <v>E</v>
      </c>
    </row>
    <row r="7" spans="1:14" x14ac:dyDescent="0.25">
      <c r="A7" s="14" t="s">
        <v>13</v>
      </c>
      <c r="B7" s="6">
        <f>Simluação!L35</f>
        <v>44</v>
      </c>
      <c r="C7" s="14">
        <f>'Lote 1'!C7-'Lote 1'!C14</f>
        <v>404</v>
      </c>
      <c r="D7" s="14">
        <f>'Lote 1'!D7-'Lote 1'!D14</f>
        <v>422</v>
      </c>
      <c r="I7" s="14">
        <v>0</v>
      </c>
      <c r="J7" s="14">
        <v>66</v>
      </c>
      <c r="K7" s="14" t="str">
        <v>A</v>
      </c>
      <c r="L7" s="14" t="str">
        <v>B</v>
      </c>
      <c r="M7" s="14" t="str">
        <v>A</v>
      </c>
      <c r="N7" s="14" t="str">
        <v>B</v>
      </c>
    </row>
    <row r="8" spans="1:14" x14ac:dyDescent="0.25">
      <c r="I8" s="14">
        <v>0</v>
      </c>
      <c r="J8" s="14">
        <v>80</v>
      </c>
      <c r="K8" s="14" t="str">
        <v>A</v>
      </c>
      <c r="L8" s="14" t="str">
        <v>B</v>
      </c>
      <c r="M8" s="14" t="str">
        <v>B</v>
      </c>
      <c r="N8" s="14" t="str">
        <v>C</v>
      </c>
    </row>
    <row r="9" spans="1:14" x14ac:dyDescent="0.25">
      <c r="A9" s="14" t="s">
        <v>38</v>
      </c>
      <c r="I9" s="14">
        <v>0</v>
      </c>
      <c r="J9" s="14">
        <v>94</v>
      </c>
      <c r="K9" s="14" t="str">
        <v>A</v>
      </c>
      <c r="L9" s="14" t="str">
        <v>B</v>
      </c>
      <c r="M9" s="14" t="str">
        <v>C</v>
      </c>
      <c r="N9" s="14" t="str">
        <v>D</v>
      </c>
    </row>
    <row r="10" spans="1:14" x14ac:dyDescent="0.25">
      <c r="A10" s="14" t="s">
        <v>8</v>
      </c>
      <c r="B10" s="14">
        <f t="shared" ref="B10:B22" si="0">SUMIF($K:$K,A10,$I:$I)</f>
        <v>41</v>
      </c>
      <c r="C10" s="14">
        <f t="shared" ref="C10:C22" si="1">SUMIF($L:$L,A10,$I:$I)</f>
        <v>199</v>
      </c>
      <c r="D10" s="14">
        <f t="shared" ref="D10:D22" si="2">SUMIF($M:$M,A10,$I:$I)</f>
        <v>193</v>
      </c>
      <c r="E10" s="14">
        <f t="shared" ref="E10:E22" si="3">SUMIF($N:$N,A10,$I:$I)</f>
        <v>35</v>
      </c>
      <c r="F10" s="14">
        <v>-6</v>
      </c>
      <c r="I10" s="14">
        <v>0</v>
      </c>
      <c r="J10" s="14">
        <v>108</v>
      </c>
      <c r="K10" s="14" t="str">
        <v>A</v>
      </c>
      <c r="L10" s="14" t="str">
        <v>B</v>
      </c>
      <c r="M10" s="14" t="str">
        <v>D</v>
      </c>
      <c r="N10" s="14" t="str">
        <v>E</v>
      </c>
    </row>
    <row r="11" spans="1:14" x14ac:dyDescent="0.25">
      <c r="A11" s="14" t="s">
        <v>9</v>
      </c>
      <c r="B11" s="14">
        <f t="shared" si="0"/>
        <v>37</v>
      </c>
      <c r="C11" s="14">
        <f t="shared" si="1"/>
        <v>0</v>
      </c>
      <c r="D11" s="14">
        <f t="shared" si="2"/>
        <v>6</v>
      </c>
      <c r="E11" s="14">
        <f t="shared" si="3"/>
        <v>43</v>
      </c>
      <c r="F11" s="14">
        <v>-5</v>
      </c>
      <c r="I11" s="14">
        <v>0</v>
      </c>
      <c r="J11" s="14">
        <v>122</v>
      </c>
      <c r="K11" s="14" t="str">
        <v>A</v>
      </c>
      <c r="L11" s="14" t="str">
        <v>B</v>
      </c>
      <c r="M11" s="14" t="str">
        <v>E</v>
      </c>
      <c r="N11" s="14" t="str">
        <v>F</v>
      </c>
    </row>
    <row r="12" spans="1:14" x14ac:dyDescent="0.25">
      <c r="A12" s="14" t="s">
        <v>10</v>
      </c>
      <c r="B12" s="14">
        <f t="shared" si="0"/>
        <v>31</v>
      </c>
      <c r="C12" s="14">
        <f t="shared" si="1"/>
        <v>0</v>
      </c>
      <c r="D12" s="14">
        <f t="shared" si="2"/>
        <v>0</v>
      </c>
      <c r="E12" s="14">
        <f t="shared" si="3"/>
        <v>31</v>
      </c>
      <c r="F12" s="14">
        <v>-4</v>
      </c>
      <c r="I12" s="14">
        <v>0</v>
      </c>
      <c r="J12" s="14">
        <v>132</v>
      </c>
      <c r="K12" s="14" t="str">
        <v>A</v>
      </c>
      <c r="L12" s="14" t="str">
        <v>C</v>
      </c>
      <c r="M12" s="14" t="str">
        <v>A</v>
      </c>
      <c r="N12" s="14" t="str">
        <v>C</v>
      </c>
    </row>
    <row r="13" spans="1:14" x14ac:dyDescent="0.25">
      <c r="A13" s="14" t="s">
        <v>11</v>
      </c>
      <c r="B13" s="14">
        <f t="shared" si="0"/>
        <v>46</v>
      </c>
      <c r="C13" s="14">
        <f t="shared" si="1"/>
        <v>0</v>
      </c>
      <c r="D13" s="14">
        <f t="shared" si="2"/>
        <v>0</v>
      </c>
      <c r="E13" s="14">
        <f t="shared" si="3"/>
        <v>46</v>
      </c>
      <c r="F13" s="14">
        <v>-3</v>
      </c>
      <c r="I13" s="14">
        <v>0</v>
      </c>
      <c r="J13" s="14">
        <v>146</v>
      </c>
      <c r="K13" s="14" t="str">
        <v>A</v>
      </c>
      <c r="L13" s="14" t="str">
        <v>C</v>
      </c>
      <c r="M13" s="14" t="str">
        <v>B</v>
      </c>
      <c r="N13" s="14" t="str">
        <v>D</v>
      </c>
    </row>
    <row r="14" spans="1:14" x14ac:dyDescent="0.25">
      <c r="A14" s="14" t="s">
        <v>13</v>
      </c>
      <c r="B14" s="14">
        <f t="shared" si="0"/>
        <v>44</v>
      </c>
      <c r="C14" s="14">
        <f t="shared" si="1"/>
        <v>0</v>
      </c>
      <c r="D14" s="14">
        <f t="shared" si="2"/>
        <v>0</v>
      </c>
      <c r="E14" s="14">
        <f t="shared" si="3"/>
        <v>44</v>
      </c>
      <c r="F14" s="14">
        <v>-2</v>
      </c>
      <c r="I14" s="14">
        <v>0</v>
      </c>
      <c r="J14" s="14">
        <v>160</v>
      </c>
      <c r="K14" s="14" t="str">
        <v>A</v>
      </c>
      <c r="L14" s="14" t="str">
        <v>C</v>
      </c>
      <c r="M14" s="14" t="str">
        <v>C</v>
      </c>
      <c r="N14" s="14" t="str">
        <v>E</v>
      </c>
    </row>
    <row r="15" spans="1:14" x14ac:dyDescent="0.25">
      <c r="A15" s="14" t="s">
        <v>12</v>
      </c>
      <c r="B15" s="14">
        <f t="shared" si="0"/>
        <v>0</v>
      </c>
      <c r="C15" s="14">
        <f t="shared" si="1"/>
        <v>0</v>
      </c>
      <c r="D15" s="14">
        <f t="shared" si="2"/>
        <v>0</v>
      </c>
      <c r="E15" s="14">
        <f t="shared" si="3"/>
        <v>0</v>
      </c>
      <c r="F15" s="14">
        <v>-1</v>
      </c>
      <c r="I15" s="14">
        <v>0</v>
      </c>
      <c r="J15" s="14">
        <v>174</v>
      </c>
      <c r="K15" s="14" t="str">
        <v>A</v>
      </c>
      <c r="L15" s="14" t="str">
        <v>C</v>
      </c>
      <c r="M15" s="14" t="str">
        <v>D</v>
      </c>
      <c r="N15" s="14" t="str">
        <v>F</v>
      </c>
    </row>
    <row r="16" spans="1:14" x14ac:dyDescent="0.25">
      <c r="A16" s="14" t="s">
        <v>14</v>
      </c>
      <c r="B16" s="14">
        <f t="shared" si="0"/>
        <v>0</v>
      </c>
      <c r="C16" s="14">
        <f t="shared" si="1"/>
        <v>0</v>
      </c>
      <c r="D16" s="14">
        <f t="shared" si="2"/>
        <v>0</v>
      </c>
      <c r="E16" s="14">
        <f t="shared" si="3"/>
        <v>0</v>
      </c>
      <c r="F16" s="14">
        <v>0</v>
      </c>
      <c r="I16" s="14">
        <v>0</v>
      </c>
      <c r="J16" s="14">
        <v>188</v>
      </c>
      <c r="K16" s="14" t="str">
        <v>A</v>
      </c>
      <c r="L16" s="14" t="str">
        <v>C</v>
      </c>
      <c r="M16" s="14" t="str">
        <v>E</v>
      </c>
      <c r="N16" s="14" t="str">
        <v>G</v>
      </c>
    </row>
    <row r="17" spans="1:14" x14ac:dyDescent="0.25">
      <c r="A17" s="14" t="s">
        <v>44</v>
      </c>
      <c r="B17" s="14">
        <f t="shared" si="0"/>
        <v>0</v>
      </c>
      <c r="C17" s="14">
        <f t="shared" si="1"/>
        <v>0</v>
      </c>
      <c r="D17" s="14">
        <f t="shared" si="2"/>
        <v>0</v>
      </c>
      <c r="E17" s="14">
        <f t="shared" si="3"/>
        <v>0</v>
      </c>
      <c r="F17" s="14">
        <v>1</v>
      </c>
      <c r="I17" s="14">
        <v>0</v>
      </c>
      <c r="J17" s="14">
        <v>198</v>
      </c>
      <c r="K17" s="14" t="str">
        <v>A</v>
      </c>
      <c r="L17" s="14" t="str">
        <v>D</v>
      </c>
      <c r="M17" s="14" t="str">
        <v>A</v>
      </c>
      <c r="N17" s="14" t="str">
        <v>D</v>
      </c>
    </row>
    <row r="18" spans="1:14" x14ac:dyDescent="0.25">
      <c r="A18" s="14" t="s">
        <v>45</v>
      </c>
      <c r="B18" s="14">
        <f t="shared" si="0"/>
        <v>0</v>
      </c>
      <c r="C18" s="14">
        <f t="shared" si="1"/>
        <v>0</v>
      </c>
      <c r="D18" s="14">
        <f t="shared" si="2"/>
        <v>0</v>
      </c>
      <c r="E18" s="14">
        <f t="shared" si="3"/>
        <v>0</v>
      </c>
      <c r="F18" s="14">
        <v>2</v>
      </c>
      <c r="I18" s="14">
        <v>0</v>
      </c>
      <c r="J18" s="14">
        <v>212</v>
      </c>
      <c r="K18" s="14" t="str">
        <v>A</v>
      </c>
      <c r="L18" s="14" t="str">
        <v>D</v>
      </c>
      <c r="M18" s="14" t="str">
        <v>B</v>
      </c>
      <c r="N18" s="14" t="str">
        <v>E</v>
      </c>
    </row>
    <row r="19" spans="1:14" x14ac:dyDescent="0.25">
      <c r="A19" s="14" t="s">
        <v>46</v>
      </c>
      <c r="B19" s="14">
        <f t="shared" si="0"/>
        <v>0</v>
      </c>
      <c r="C19" s="14">
        <f t="shared" si="1"/>
        <v>0</v>
      </c>
      <c r="D19" s="14">
        <f t="shared" si="2"/>
        <v>0</v>
      </c>
      <c r="E19" s="14">
        <f t="shared" si="3"/>
        <v>0</v>
      </c>
      <c r="F19" s="14">
        <v>3</v>
      </c>
      <c r="I19" s="14">
        <v>0</v>
      </c>
      <c r="J19" s="14">
        <v>226</v>
      </c>
      <c r="K19" s="14" t="str">
        <v>A</v>
      </c>
      <c r="L19" s="14" t="str">
        <v>D</v>
      </c>
      <c r="M19" s="14" t="str">
        <v>C</v>
      </c>
      <c r="N19" s="14" t="str">
        <v>F</v>
      </c>
    </row>
    <row r="20" spans="1:14" x14ac:dyDescent="0.25">
      <c r="A20" s="14" t="s">
        <v>47</v>
      </c>
      <c r="B20" s="14">
        <f t="shared" si="0"/>
        <v>0</v>
      </c>
      <c r="C20" s="14">
        <f t="shared" si="1"/>
        <v>0</v>
      </c>
      <c r="D20" s="14">
        <f t="shared" si="2"/>
        <v>0</v>
      </c>
      <c r="E20" s="14">
        <f t="shared" si="3"/>
        <v>0</v>
      </c>
      <c r="F20" s="14">
        <v>4</v>
      </c>
      <c r="I20" s="14">
        <v>0</v>
      </c>
      <c r="J20" s="14">
        <v>240</v>
      </c>
      <c r="K20" s="14" t="str">
        <v>A</v>
      </c>
      <c r="L20" s="14" t="str">
        <v>D</v>
      </c>
      <c r="M20" s="14" t="str">
        <v>D</v>
      </c>
      <c r="N20" s="14" t="str">
        <v>G</v>
      </c>
    </row>
    <row r="21" spans="1:14" x14ac:dyDescent="0.25">
      <c r="A21" s="14" t="s">
        <v>48</v>
      </c>
      <c r="B21" s="14">
        <f t="shared" si="0"/>
        <v>0</v>
      </c>
      <c r="C21" s="14">
        <f t="shared" si="1"/>
        <v>0</v>
      </c>
      <c r="D21" s="14">
        <f t="shared" si="2"/>
        <v>0</v>
      </c>
      <c r="E21" s="14">
        <f t="shared" si="3"/>
        <v>0</v>
      </c>
      <c r="F21" s="14">
        <v>5</v>
      </c>
      <c r="I21" s="14">
        <v>0</v>
      </c>
      <c r="J21" s="14">
        <v>254</v>
      </c>
      <c r="K21" s="14" t="str">
        <v>A</v>
      </c>
      <c r="L21" s="14" t="str">
        <v>D</v>
      </c>
      <c r="M21" s="14" t="str">
        <v>E</v>
      </c>
      <c r="N21" s="14" t="str">
        <v>H</v>
      </c>
    </row>
    <row r="22" spans="1:14" x14ac:dyDescent="0.25">
      <c r="A22" s="14" t="s">
        <v>49</v>
      </c>
      <c r="B22" s="14">
        <f t="shared" si="0"/>
        <v>0</v>
      </c>
      <c r="C22" s="14">
        <f t="shared" si="1"/>
        <v>0</v>
      </c>
      <c r="D22" s="14">
        <f t="shared" si="2"/>
        <v>0</v>
      </c>
      <c r="E22" s="14">
        <f t="shared" si="3"/>
        <v>0</v>
      </c>
      <c r="F22" s="14">
        <v>6</v>
      </c>
      <c r="I22" s="14">
        <v>0</v>
      </c>
      <c r="J22" s="14">
        <v>264</v>
      </c>
      <c r="K22" s="14" t="str">
        <v>A</v>
      </c>
      <c r="L22" s="14" t="str">
        <v>E</v>
      </c>
      <c r="M22" s="14" t="str">
        <v>A</v>
      </c>
      <c r="N22" s="14" t="str">
        <v>E</v>
      </c>
    </row>
    <row r="23" spans="1:14" x14ac:dyDescent="0.25">
      <c r="B23" s="14">
        <f>SUM(B10:B22)</f>
        <v>199</v>
      </c>
      <c r="C23" s="14">
        <f>SUM(C10:C22)</f>
        <v>199</v>
      </c>
      <c r="D23" s="14">
        <f>SUM(D10:D22)</f>
        <v>199</v>
      </c>
      <c r="E23" s="14">
        <f>SUM(E10:E22)</f>
        <v>199</v>
      </c>
      <c r="I23" s="14">
        <v>0</v>
      </c>
      <c r="J23" s="14">
        <v>278</v>
      </c>
      <c r="K23" s="14" t="str">
        <v>A</v>
      </c>
      <c r="L23" s="14" t="str">
        <v>E</v>
      </c>
      <c r="M23" s="14" t="str">
        <v>B</v>
      </c>
      <c r="N23" s="14" t="str">
        <v>F</v>
      </c>
    </row>
    <row r="24" spans="1:14" x14ac:dyDescent="0.25">
      <c r="I24" s="14">
        <v>0</v>
      </c>
      <c r="J24" s="14">
        <v>292</v>
      </c>
      <c r="K24" s="14" t="str">
        <v>A</v>
      </c>
      <c r="L24" s="14" t="str">
        <v>E</v>
      </c>
      <c r="M24" s="14" t="str">
        <v>C</v>
      </c>
      <c r="N24" s="14" t="str">
        <v>G</v>
      </c>
    </row>
    <row r="25" spans="1:14" x14ac:dyDescent="0.25">
      <c r="I25" s="14">
        <v>0</v>
      </c>
      <c r="J25" s="14">
        <v>306</v>
      </c>
      <c r="K25" s="14" t="str">
        <v>A</v>
      </c>
      <c r="L25" s="14" t="str">
        <v>E</v>
      </c>
      <c r="M25" s="14" t="str">
        <v>D</v>
      </c>
      <c r="N25" s="14" t="str">
        <v>H</v>
      </c>
    </row>
    <row r="26" spans="1:14" x14ac:dyDescent="0.25">
      <c r="I26" s="14">
        <v>0</v>
      </c>
      <c r="J26" s="14">
        <v>320</v>
      </c>
      <c r="K26" s="14" t="str">
        <v>A</v>
      </c>
      <c r="L26" s="14" t="str">
        <v>E</v>
      </c>
      <c r="M26" s="14" t="str">
        <v>E</v>
      </c>
      <c r="N26" s="14" t="str">
        <v>I</v>
      </c>
    </row>
    <row r="27" spans="1:14" x14ac:dyDescent="0.25">
      <c r="I27" s="14">
        <v>37</v>
      </c>
      <c r="J27" s="14">
        <v>326</v>
      </c>
      <c r="K27" s="14" t="str">
        <v>B</v>
      </c>
      <c r="L27" s="14" t="str">
        <v>A</v>
      </c>
      <c r="M27" s="14" t="str">
        <v>A</v>
      </c>
      <c r="N27" s="14" t="str">
        <v>B</v>
      </c>
    </row>
    <row r="28" spans="1:14" x14ac:dyDescent="0.25">
      <c r="I28" s="14">
        <v>0</v>
      </c>
      <c r="J28" s="14">
        <v>340</v>
      </c>
      <c r="K28" s="14" t="str">
        <v>B</v>
      </c>
      <c r="L28" s="14" t="str">
        <v>A</v>
      </c>
      <c r="M28" s="14" t="str">
        <v>B</v>
      </c>
      <c r="N28" s="14" t="str">
        <v>C</v>
      </c>
    </row>
    <row r="29" spans="1:14" x14ac:dyDescent="0.25">
      <c r="I29" s="14">
        <v>0</v>
      </c>
      <c r="J29" s="14">
        <v>354</v>
      </c>
      <c r="K29" s="14" t="str">
        <v>B</v>
      </c>
      <c r="L29" s="14" t="str">
        <v>A</v>
      </c>
      <c r="M29" s="14" t="str">
        <v>C</v>
      </c>
      <c r="N29" s="14" t="str">
        <v>D</v>
      </c>
    </row>
    <row r="30" spans="1:14" x14ac:dyDescent="0.25">
      <c r="I30" s="14">
        <v>0</v>
      </c>
      <c r="J30" s="14">
        <v>368</v>
      </c>
      <c r="K30" s="14" t="str">
        <v>B</v>
      </c>
      <c r="L30" s="14" t="str">
        <v>A</v>
      </c>
      <c r="M30" s="14" t="str">
        <v>D</v>
      </c>
      <c r="N30" s="14" t="str">
        <v>E</v>
      </c>
    </row>
    <row r="31" spans="1:14" x14ac:dyDescent="0.25">
      <c r="I31" s="14">
        <v>0</v>
      </c>
      <c r="J31" s="14">
        <v>382</v>
      </c>
      <c r="K31" s="14" t="str">
        <v>B</v>
      </c>
      <c r="L31" s="14" t="str">
        <v>A</v>
      </c>
      <c r="M31" s="14" t="str">
        <v>E</v>
      </c>
      <c r="N31" s="14" t="str">
        <v>F</v>
      </c>
    </row>
    <row r="32" spans="1:14" x14ac:dyDescent="0.25">
      <c r="I32" s="14">
        <v>0</v>
      </c>
      <c r="J32" s="14">
        <v>392</v>
      </c>
      <c r="K32" s="14" t="str">
        <v>B</v>
      </c>
      <c r="L32" s="14" t="str">
        <v>B</v>
      </c>
      <c r="M32" s="14" t="str">
        <v>A</v>
      </c>
      <c r="N32" s="14" t="str">
        <v>C</v>
      </c>
    </row>
    <row r="33" spans="9:14" x14ac:dyDescent="0.25">
      <c r="I33" s="14">
        <v>0</v>
      </c>
      <c r="J33" s="14">
        <v>406</v>
      </c>
      <c r="K33" s="14" t="str">
        <v>B</v>
      </c>
      <c r="L33" s="14" t="str">
        <v>B</v>
      </c>
      <c r="M33" s="14" t="str">
        <v>B</v>
      </c>
      <c r="N33" s="14" t="str">
        <v>D</v>
      </c>
    </row>
    <row r="34" spans="9:14" x14ac:dyDescent="0.25">
      <c r="I34" s="14">
        <v>0</v>
      </c>
      <c r="J34" s="14">
        <v>420</v>
      </c>
      <c r="K34" s="14" t="str">
        <v>B</v>
      </c>
      <c r="L34" s="14" t="str">
        <v>B</v>
      </c>
      <c r="M34" s="14" t="str">
        <v>C</v>
      </c>
      <c r="N34" s="14" t="str">
        <v>E</v>
      </c>
    </row>
    <row r="35" spans="9:14" x14ac:dyDescent="0.25">
      <c r="I35" s="14">
        <v>0</v>
      </c>
      <c r="J35" s="14">
        <v>434</v>
      </c>
      <c r="K35" s="14" t="str">
        <v>B</v>
      </c>
      <c r="L35" s="14" t="str">
        <v>B</v>
      </c>
      <c r="M35" s="14" t="str">
        <v>D</v>
      </c>
      <c r="N35" s="14" t="str">
        <v>F</v>
      </c>
    </row>
    <row r="36" spans="9:14" x14ac:dyDescent="0.25">
      <c r="I36" s="14">
        <v>0</v>
      </c>
      <c r="J36" s="14">
        <v>448</v>
      </c>
      <c r="K36" s="14" t="str">
        <v>B</v>
      </c>
      <c r="L36" s="14" t="str">
        <v>B</v>
      </c>
      <c r="M36" s="14" t="str">
        <v>E</v>
      </c>
      <c r="N36" s="14" t="str">
        <v>G</v>
      </c>
    </row>
    <row r="37" spans="9:14" x14ac:dyDescent="0.25">
      <c r="I37" s="14">
        <v>0</v>
      </c>
      <c r="J37" s="14">
        <v>458</v>
      </c>
      <c r="K37" s="14" t="str">
        <v>B</v>
      </c>
      <c r="L37" s="14" t="str">
        <v>C</v>
      </c>
      <c r="M37" s="14" t="str">
        <v>A</v>
      </c>
      <c r="N37" s="14" t="str">
        <v>D</v>
      </c>
    </row>
    <row r="38" spans="9:14" x14ac:dyDescent="0.25">
      <c r="I38" s="14">
        <v>0</v>
      </c>
      <c r="J38" s="14">
        <v>472</v>
      </c>
      <c r="K38" s="14" t="str">
        <v>B</v>
      </c>
      <c r="L38" s="14" t="str">
        <v>C</v>
      </c>
      <c r="M38" s="14" t="str">
        <v>B</v>
      </c>
      <c r="N38" s="14" t="str">
        <v>E</v>
      </c>
    </row>
    <row r="39" spans="9:14" x14ac:dyDescent="0.25">
      <c r="I39" s="14">
        <v>0</v>
      </c>
      <c r="J39" s="14">
        <v>486</v>
      </c>
      <c r="K39" s="14" t="str">
        <v>B</v>
      </c>
      <c r="L39" s="14" t="str">
        <v>C</v>
      </c>
      <c r="M39" s="14" t="str">
        <v>C</v>
      </c>
      <c r="N39" s="14" t="str">
        <v>F</v>
      </c>
    </row>
    <row r="40" spans="9:14" x14ac:dyDescent="0.25">
      <c r="I40" s="14">
        <v>0</v>
      </c>
      <c r="J40" s="14">
        <v>500</v>
      </c>
      <c r="K40" s="14" t="str">
        <v>B</v>
      </c>
      <c r="L40" s="14" t="str">
        <v>C</v>
      </c>
      <c r="M40" s="14" t="str">
        <v>D</v>
      </c>
      <c r="N40" s="14" t="str">
        <v>G</v>
      </c>
    </row>
    <row r="41" spans="9:14" x14ac:dyDescent="0.25">
      <c r="I41" s="14">
        <v>0</v>
      </c>
      <c r="J41" s="14">
        <v>514</v>
      </c>
      <c r="K41" s="14" t="str">
        <v>B</v>
      </c>
      <c r="L41" s="14" t="str">
        <v>C</v>
      </c>
      <c r="M41" s="14" t="str">
        <v>E</v>
      </c>
      <c r="N41" s="14" t="str">
        <v>H</v>
      </c>
    </row>
    <row r="42" spans="9:14" x14ac:dyDescent="0.25">
      <c r="I42" s="14">
        <v>0</v>
      </c>
      <c r="J42" s="14">
        <v>524</v>
      </c>
      <c r="K42" s="14" t="str">
        <v>B</v>
      </c>
      <c r="L42" s="14" t="str">
        <v>D</v>
      </c>
      <c r="M42" s="14" t="str">
        <v>A</v>
      </c>
      <c r="N42" s="14" t="str">
        <v>E</v>
      </c>
    </row>
    <row r="43" spans="9:14" x14ac:dyDescent="0.25">
      <c r="I43" s="14">
        <v>0</v>
      </c>
      <c r="J43" s="14">
        <v>538</v>
      </c>
      <c r="K43" s="14" t="str">
        <v>B</v>
      </c>
      <c r="L43" s="14" t="str">
        <v>D</v>
      </c>
      <c r="M43" s="14" t="str">
        <v>B</v>
      </c>
      <c r="N43" s="14" t="str">
        <v>F</v>
      </c>
    </row>
    <row r="44" spans="9:14" x14ac:dyDescent="0.25">
      <c r="I44" s="14">
        <v>0</v>
      </c>
      <c r="J44" s="14">
        <v>552</v>
      </c>
      <c r="K44" s="14" t="str">
        <v>B</v>
      </c>
      <c r="L44" s="14" t="str">
        <v>D</v>
      </c>
      <c r="M44" s="14" t="str">
        <v>C</v>
      </c>
      <c r="N44" s="14" t="str">
        <v>G</v>
      </c>
    </row>
    <row r="45" spans="9:14" x14ac:dyDescent="0.25">
      <c r="I45" s="14">
        <v>0</v>
      </c>
      <c r="J45" s="14">
        <v>566</v>
      </c>
      <c r="K45" s="14" t="str">
        <v>B</v>
      </c>
      <c r="L45" s="14" t="str">
        <v>D</v>
      </c>
      <c r="M45" s="14" t="str">
        <v>D</v>
      </c>
      <c r="N45" s="14" t="str">
        <v>H</v>
      </c>
    </row>
    <row r="46" spans="9:14" x14ac:dyDescent="0.25">
      <c r="I46" s="14">
        <v>0</v>
      </c>
      <c r="J46" s="14">
        <v>580</v>
      </c>
      <c r="K46" s="14" t="str">
        <v>B</v>
      </c>
      <c r="L46" s="14" t="str">
        <v>D</v>
      </c>
      <c r="M46" s="14" t="str">
        <v>E</v>
      </c>
      <c r="N46" s="14" t="str">
        <v>I</v>
      </c>
    </row>
    <row r="47" spans="9:14" x14ac:dyDescent="0.25">
      <c r="I47" s="14">
        <v>0</v>
      </c>
      <c r="J47" s="14">
        <v>590</v>
      </c>
      <c r="K47" s="14" t="str">
        <v>B</v>
      </c>
      <c r="L47" s="14" t="str">
        <v>E</v>
      </c>
      <c r="M47" s="14" t="str">
        <v>A</v>
      </c>
      <c r="N47" s="14" t="str">
        <v>F</v>
      </c>
    </row>
    <row r="48" spans="9:14" x14ac:dyDescent="0.25">
      <c r="I48" s="14">
        <v>0</v>
      </c>
      <c r="J48" s="14">
        <v>604</v>
      </c>
      <c r="K48" s="14" t="str">
        <v>B</v>
      </c>
      <c r="L48" s="14" t="str">
        <v>E</v>
      </c>
      <c r="M48" s="14" t="str">
        <v>B</v>
      </c>
      <c r="N48" s="14" t="str">
        <v>G</v>
      </c>
    </row>
    <row r="49" spans="9:14" x14ac:dyDescent="0.25">
      <c r="I49" s="14">
        <v>0</v>
      </c>
      <c r="J49" s="14">
        <v>618</v>
      </c>
      <c r="K49" s="14" t="str">
        <v>B</v>
      </c>
      <c r="L49" s="14" t="str">
        <v>E</v>
      </c>
      <c r="M49" s="14" t="str">
        <v>C</v>
      </c>
      <c r="N49" s="14" t="str">
        <v>H</v>
      </c>
    </row>
    <row r="50" spans="9:14" x14ac:dyDescent="0.25">
      <c r="I50" s="14">
        <v>0</v>
      </c>
      <c r="J50" s="14">
        <v>632</v>
      </c>
      <c r="K50" s="14" t="str">
        <v>B</v>
      </c>
      <c r="L50" s="14" t="str">
        <v>E</v>
      </c>
      <c r="M50" s="14" t="str">
        <v>D</v>
      </c>
      <c r="N50" s="14" t="str">
        <v>I</v>
      </c>
    </row>
    <row r="51" spans="9:14" x14ac:dyDescent="0.25">
      <c r="I51" s="14">
        <v>0</v>
      </c>
      <c r="J51" s="14">
        <v>646</v>
      </c>
      <c r="K51" s="14" t="str">
        <v>B</v>
      </c>
      <c r="L51" s="14" t="str">
        <v>E</v>
      </c>
      <c r="M51" s="14" t="str">
        <v>E</v>
      </c>
      <c r="N51" s="14" t="str">
        <v>J</v>
      </c>
    </row>
    <row r="52" spans="9:14" x14ac:dyDescent="0.25">
      <c r="I52" s="14">
        <v>31</v>
      </c>
      <c r="J52" s="14">
        <v>652</v>
      </c>
      <c r="K52" s="14" t="str">
        <v>C</v>
      </c>
      <c r="L52" s="14" t="str">
        <v>A</v>
      </c>
      <c r="M52" s="14" t="str">
        <v>A</v>
      </c>
      <c r="N52" s="14" t="str">
        <v>C</v>
      </c>
    </row>
    <row r="53" spans="9:14" x14ac:dyDescent="0.25">
      <c r="I53" s="14">
        <v>0</v>
      </c>
      <c r="J53" s="14">
        <v>666</v>
      </c>
      <c r="K53" s="14" t="str">
        <v>C</v>
      </c>
      <c r="L53" s="14" t="str">
        <v>A</v>
      </c>
      <c r="M53" s="14" t="str">
        <v>B</v>
      </c>
      <c r="N53" s="14" t="str">
        <v>D</v>
      </c>
    </row>
    <row r="54" spans="9:14" x14ac:dyDescent="0.25">
      <c r="I54" s="14">
        <v>0</v>
      </c>
      <c r="J54" s="14">
        <v>680</v>
      </c>
      <c r="K54" s="14" t="str">
        <v>C</v>
      </c>
      <c r="L54" s="14" t="str">
        <v>A</v>
      </c>
      <c r="M54" s="14" t="str">
        <v>C</v>
      </c>
      <c r="N54" s="14" t="str">
        <v>E</v>
      </c>
    </row>
    <row r="55" spans="9:14" x14ac:dyDescent="0.25">
      <c r="I55" s="14">
        <v>0</v>
      </c>
      <c r="J55" s="14">
        <v>694</v>
      </c>
      <c r="K55" s="14" t="str">
        <v>C</v>
      </c>
      <c r="L55" s="14" t="str">
        <v>A</v>
      </c>
      <c r="M55" s="14" t="str">
        <v>D</v>
      </c>
      <c r="N55" s="14" t="str">
        <v>F</v>
      </c>
    </row>
    <row r="56" spans="9:14" x14ac:dyDescent="0.25">
      <c r="I56" s="14">
        <v>0</v>
      </c>
      <c r="J56" s="14">
        <v>708</v>
      </c>
      <c r="K56" s="14" t="str">
        <v>C</v>
      </c>
      <c r="L56" s="14" t="str">
        <v>A</v>
      </c>
      <c r="M56" s="14" t="str">
        <v>E</v>
      </c>
      <c r="N56" s="14" t="str">
        <v>G</v>
      </c>
    </row>
    <row r="57" spans="9:14" x14ac:dyDescent="0.25">
      <c r="I57" s="14">
        <v>0</v>
      </c>
      <c r="J57" s="14">
        <v>718</v>
      </c>
      <c r="K57" s="14" t="str">
        <v>C</v>
      </c>
      <c r="L57" s="14" t="str">
        <v>B</v>
      </c>
      <c r="M57" s="14" t="str">
        <v>A</v>
      </c>
      <c r="N57" s="14" t="str">
        <v>D</v>
      </c>
    </row>
    <row r="58" spans="9:14" x14ac:dyDescent="0.25">
      <c r="I58" s="14">
        <v>0</v>
      </c>
      <c r="J58" s="14">
        <v>732</v>
      </c>
      <c r="K58" s="14" t="str">
        <v>C</v>
      </c>
      <c r="L58" s="14" t="str">
        <v>B</v>
      </c>
      <c r="M58" s="14" t="str">
        <v>B</v>
      </c>
      <c r="N58" s="14" t="str">
        <v>E</v>
      </c>
    </row>
    <row r="59" spans="9:14" x14ac:dyDescent="0.25">
      <c r="I59" s="14">
        <v>0</v>
      </c>
      <c r="J59" s="14">
        <v>746</v>
      </c>
      <c r="K59" s="14" t="str">
        <v>C</v>
      </c>
      <c r="L59" s="14" t="str">
        <v>B</v>
      </c>
      <c r="M59" s="14" t="str">
        <v>C</v>
      </c>
      <c r="N59" s="14" t="str">
        <v>F</v>
      </c>
    </row>
    <row r="60" spans="9:14" x14ac:dyDescent="0.25">
      <c r="I60" s="14">
        <v>0</v>
      </c>
      <c r="J60" s="14">
        <v>760</v>
      </c>
      <c r="K60" s="14" t="str">
        <v>C</v>
      </c>
      <c r="L60" s="14" t="str">
        <v>B</v>
      </c>
      <c r="M60" s="14" t="str">
        <v>D</v>
      </c>
      <c r="N60" s="14" t="str">
        <v>G</v>
      </c>
    </row>
    <row r="61" spans="9:14" x14ac:dyDescent="0.25">
      <c r="I61" s="14">
        <v>0</v>
      </c>
      <c r="J61" s="14">
        <v>774</v>
      </c>
      <c r="K61" s="14" t="str">
        <v>C</v>
      </c>
      <c r="L61" s="14" t="str">
        <v>B</v>
      </c>
      <c r="M61" s="14" t="str">
        <v>E</v>
      </c>
      <c r="N61" s="14" t="str">
        <v>H</v>
      </c>
    </row>
    <row r="62" spans="9:14" x14ac:dyDescent="0.25">
      <c r="I62" s="14">
        <v>0</v>
      </c>
      <c r="J62" s="14">
        <v>784</v>
      </c>
      <c r="K62" s="14" t="str">
        <v>C</v>
      </c>
      <c r="L62" s="14" t="str">
        <v>C</v>
      </c>
      <c r="M62" s="14" t="str">
        <v>A</v>
      </c>
      <c r="N62" s="14" t="str">
        <v>E</v>
      </c>
    </row>
    <row r="63" spans="9:14" x14ac:dyDescent="0.25">
      <c r="I63" s="14">
        <v>0</v>
      </c>
      <c r="J63" s="14">
        <v>798</v>
      </c>
      <c r="K63" s="14" t="str">
        <v>C</v>
      </c>
      <c r="L63" s="14" t="str">
        <v>C</v>
      </c>
      <c r="M63" s="14" t="str">
        <v>B</v>
      </c>
      <c r="N63" s="14" t="str">
        <v>F</v>
      </c>
    </row>
    <row r="64" spans="9:14" x14ac:dyDescent="0.25">
      <c r="I64" s="14">
        <v>0</v>
      </c>
      <c r="J64" s="14">
        <v>812</v>
      </c>
      <c r="K64" s="14" t="str">
        <v>C</v>
      </c>
      <c r="L64" s="14" t="str">
        <v>C</v>
      </c>
      <c r="M64" s="14" t="str">
        <v>C</v>
      </c>
      <c r="N64" s="14" t="str">
        <v>G</v>
      </c>
    </row>
    <row r="65" spans="9:14" x14ac:dyDescent="0.25">
      <c r="I65" s="14">
        <v>0</v>
      </c>
      <c r="J65" s="14">
        <v>826</v>
      </c>
      <c r="K65" s="14" t="str">
        <v>C</v>
      </c>
      <c r="L65" s="14" t="str">
        <v>C</v>
      </c>
      <c r="M65" s="14" t="str">
        <v>D</v>
      </c>
      <c r="N65" s="14" t="str">
        <v>H</v>
      </c>
    </row>
    <row r="66" spans="9:14" x14ac:dyDescent="0.25">
      <c r="I66" s="14">
        <v>0</v>
      </c>
      <c r="J66" s="14">
        <v>840</v>
      </c>
      <c r="K66" s="14" t="str">
        <v>C</v>
      </c>
      <c r="L66" s="14" t="str">
        <v>C</v>
      </c>
      <c r="M66" s="14" t="str">
        <v>E</v>
      </c>
      <c r="N66" s="14" t="str">
        <v>I</v>
      </c>
    </row>
    <row r="67" spans="9:14" x14ac:dyDescent="0.25">
      <c r="I67" s="14">
        <v>0</v>
      </c>
      <c r="J67" s="14">
        <v>850</v>
      </c>
      <c r="K67" s="14" t="str">
        <v>C</v>
      </c>
      <c r="L67" s="14" t="str">
        <v>D</v>
      </c>
      <c r="M67" s="14" t="str">
        <v>A</v>
      </c>
      <c r="N67" s="14" t="str">
        <v>F</v>
      </c>
    </row>
    <row r="68" spans="9:14" x14ac:dyDescent="0.25">
      <c r="I68" s="14">
        <v>0</v>
      </c>
      <c r="J68" s="14">
        <v>864</v>
      </c>
      <c r="K68" s="14" t="str">
        <v>C</v>
      </c>
      <c r="L68" s="14" t="str">
        <v>D</v>
      </c>
      <c r="M68" s="14" t="str">
        <v>B</v>
      </c>
      <c r="N68" s="14" t="str">
        <v>G</v>
      </c>
    </row>
    <row r="69" spans="9:14" x14ac:dyDescent="0.25">
      <c r="I69" s="14">
        <v>0</v>
      </c>
      <c r="J69" s="14">
        <v>878</v>
      </c>
      <c r="K69" s="14" t="str">
        <v>C</v>
      </c>
      <c r="L69" s="14" t="str">
        <v>D</v>
      </c>
      <c r="M69" s="14" t="str">
        <v>C</v>
      </c>
      <c r="N69" s="14" t="str">
        <v>H</v>
      </c>
    </row>
    <row r="70" spans="9:14" x14ac:dyDescent="0.25">
      <c r="I70" s="14">
        <v>0</v>
      </c>
      <c r="J70" s="14">
        <v>892</v>
      </c>
      <c r="K70" s="14" t="str">
        <v>C</v>
      </c>
      <c r="L70" s="14" t="str">
        <v>D</v>
      </c>
      <c r="M70" s="14" t="str">
        <v>D</v>
      </c>
      <c r="N70" s="14" t="str">
        <v>I</v>
      </c>
    </row>
    <row r="71" spans="9:14" x14ac:dyDescent="0.25">
      <c r="I71" s="14">
        <v>0</v>
      </c>
      <c r="J71" s="14">
        <v>906</v>
      </c>
      <c r="K71" s="14" t="str">
        <v>C</v>
      </c>
      <c r="L71" s="14" t="str">
        <v>D</v>
      </c>
      <c r="M71" s="14" t="str">
        <v>E</v>
      </c>
      <c r="N71" s="14" t="str">
        <v>J</v>
      </c>
    </row>
    <row r="72" spans="9:14" x14ac:dyDescent="0.25">
      <c r="I72" s="14">
        <v>0</v>
      </c>
      <c r="J72" s="14">
        <v>916</v>
      </c>
      <c r="K72" s="14" t="str">
        <v>C</v>
      </c>
      <c r="L72" s="14" t="str">
        <v>E</v>
      </c>
      <c r="M72" s="14" t="str">
        <v>A</v>
      </c>
      <c r="N72" s="14" t="str">
        <v>G</v>
      </c>
    </row>
    <row r="73" spans="9:14" x14ac:dyDescent="0.25">
      <c r="I73" s="14">
        <v>0</v>
      </c>
      <c r="J73" s="14">
        <v>930</v>
      </c>
      <c r="K73" s="14" t="str">
        <v>C</v>
      </c>
      <c r="L73" s="14" t="str">
        <v>E</v>
      </c>
      <c r="M73" s="14" t="str">
        <v>B</v>
      </c>
      <c r="N73" s="14" t="str">
        <v>H</v>
      </c>
    </row>
    <row r="74" spans="9:14" x14ac:dyDescent="0.25">
      <c r="I74" s="14">
        <v>0</v>
      </c>
      <c r="J74" s="14">
        <v>944</v>
      </c>
      <c r="K74" s="14" t="str">
        <v>C</v>
      </c>
      <c r="L74" s="14" t="str">
        <v>E</v>
      </c>
      <c r="M74" s="14" t="str">
        <v>C</v>
      </c>
      <c r="N74" s="14" t="str">
        <v>I</v>
      </c>
    </row>
    <row r="75" spans="9:14" x14ac:dyDescent="0.25">
      <c r="I75" s="14">
        <v>0</v>
      </c>
      <c r="J75" s="14">
        <v>958</v>
      </c>
      <c r="K75" s="14" t="str">
        <v>C</v>
      </c>
      <c r="L75" s="14" t="str">
        <v>E</v>
      </c>
      <c r="M75" s="14" t="str">
        <v>D</v>
      </c>
      <c r="N75" s="14" t="str">
        <v>J</v>
      </c>
    </row>
    <row r="76" spans="9:14" x14ac:dyDescent="0.25">
      <c r="I76" s="14">
        <v>0</v>
      </c>
      <c r="J76" s="14">
        <v>972</v>
      </c>
      <c r="K76" s="14" t="str">
        <v>C</v>
      </c>
      <c r="L76" s="14" t="str">
        <v>E</v>
      </c>
      <c r="M76" s="14" t="str">
        <v>E</v>
      </c>
      <c r="N76" s="14" t="str">
        <v>K</v>
      </c>
    </row>
    <row r="77" spans="9:14" x14ac:dyDescent="0.25">
      <c r="I77" s="14">
        <v>46</v>
      </c>
      <c r="J77" s="14">
        <v>978</v>
      </c>
      <c r="K77" s="14" t="str">
        <v>D</v>
      </c>
      <c r="L77" s="14" t="str">
        <v>A</v>
      </c>
      <c r="M77" s="14" t="str">
        <v>A</v>
      </c>
      <c r="N77" s="14" t="str">
        <v>D</v>
      </c>
    </row>
    <row r="78" spans="9:14" x14ac:dyDescent="0.25">
      <c r="I78" s="14">
        <v>0</v>
      </c>
      <c r="J78" s="14">
        <v>992</v>
      </c>
      <c r="K78" s="14" t="str">
        <v>D</v>
      </c>
      <c r="L78" s="14" t="str">
        <v>A</v>
      </c>
      <c r="M78" s="14" t="str">
        <v>B</v>
      </c>
      <c r="N78" s="14" t="str">
        <v>E</v>
      </c>
    </row>
    <row r="79" spans="9:14" x14ac:dyDescent="0.25">
      <c r="I79" s="14">
        <v>0</v>
      </c>
      <c r="J79" s="14">
        <v>1006</v>
      </c>
      <c r="K79" s="14" t="str">
        <v>D</v>
      </c>
      <c r="L79" s="14" t="str">
        <v>A</v>
      </c>
      <c r="M79" s="14" t="str">
        <v>C</v>
      </c>
      <c r="N79" s="14" t="str">
        <v>F</v>
      </c>
    </row>
    <row r="80" spans="9:14" x14ac:dyDescent="0.25">
      <c r="I80" s="14">
        <v>0</v>
      </c>
      <c r="J80" s="14">
        <v>1020</v>
      </c>
      <c r="K80" s="14" t="str">
        <v>D</v>
      </c>
      <c r="L80" s="14" t="str">
        <v>A</v>
      </c>
      <c r="M80" s="14" t="str">
        <v>D</v>
      </c>
      <c r="N80" s="14" t="str">
        <v>G</v>
      </c>
    </row>
    <row r="81" spans="9:14" x14ac:dyDescent="0.25">
      <c r="I81" s="14">
        <v>0</v>
      </c>
      <c r="J81" s="14">
        <v>1034</v>
      </c>
      <c r="K81" s="14" t="str">
        <v>D</v>
      </c>
      <c r="L81" s="14" t="str">
        <v>A</v>
      </c>
      <c r="M81" s="14" t="str">
        <v>E</v>
      </c>
      <c r="N81" s="14" t="str">
        <v>H</v>
      </c>
    </row>
    <row r="82" spans="9:14" x14ac:dyDescent="0.25">
      <c r="I82" s="14">
        <v>0</v>
      </c>
      <c r="J82" s="14">
        <v>1044</v>
      </c>
      <c r="K82" s="14" t="str">
        <v>D</v>
      </c>
      <c r="L82" s="14" t="str">
        <v>B</v>
      </c>
      <c r="M82" s="14" t="str">
        <v>A</v>
      </c>
      <c r="N82" s="14" t="str">
        <v>E</v>
      </c>
    </row>
    <row r="83" spans="9:14" x14ac:dyDescent="0.25">
      <c r="I83" s="14">
        <v>0</v>
      </c>
      <c r="J83" s="14">
        <v>1058</v>
      </c>
      <c r="K83" s="14" t="str">
        <v>D</v>
      </c>
      <c r="L83" s="14" t="str">
        <v>B</v>
      </c>
      <c r="M83" s="14" t="str">
        <v>B</v>
      </c>
      <c r="N83" s="14" t="str">
        <v>F</v>
      </c>
    </row>
    <row r="84" spans="9:14" x14ac:dyDescent="0.25">
      <c r="I84" s="14">
        <v>0</v>
      </c>
      <c r="J84" s="14">
        <v>1072</v>
      </c>
      <c r="K84" s="14" t="str">
        <v>D</v>
      </c>
      <c r="L84" s="14" t="str">
        <v>B</v>
      </c>
      <c r="M84" s="14" t="str">
        <v>C</v>
      </c>
      <c r="N84" s="14" t="str">
        <v>G</v>
      </c>
    </row>
    <row r="85" spans="9:14" x14ac:dyDescent="0.25">
      <c r="I85" s="14">
        <v>0</v>
      </c>
      <c r="J85" s="14">
        <v>1086</v>
      </c>
      <c r="K85" s="14" t="str">
        <v>D</v>
      </c>
      <c r="L85" s="14" t="str">
        <v>B</v>
      </c>
      <c r="M85" s="14" t="str">
        <v>D</v>
      </c>
      <c r="N85" s="14" t="str">
        <v>H</v>
      </c>
    </row>
    <row r="86" spans="9:14" x14ac:dyDescent="0.25">
      <c r="I86" s="14">
        <v>0</v>
      </c>
      <c r="J86" s="14">
        <v>1100</v>
      </c>
      <c r="K86" s="14" t="str">
        <v>D</v>
      </c>
      <c r="L86" s="14" t="str">
        <v>B</v>
      </c>
      <c r="M86" s="14" t="str">
        <v>E</v>
      </c>
      <c r="N86" s="14" t="str">
        <v>I</v>
      </c>
    </row>
    <row r="87" spans="9:14" x14ac:dyDescent="0.25">
      <c r="I87" s="14">
        <v>0</v>
      </c>
      <c r="J87" s="14">
        <v>1110</v>
      </c>
      <c r="K87" s="14" t="str">
        <v>D</v>
      </c>
      <c r="L87" s="14" t="str">
        <v>C</v>
      </c>
      <c r="M87" s="14" t="str">
        <v>A</v>
      </c>
      <c r="N87" s="14" t="str">
        <v>F</v>
      </c>
    </row>
    <row r="88" spans="9:14" x14ac:dyDescent="0.25">
      <c r="I88" s="14">
        <v>0</v>
      </c>
      <c r="J88" s="14">
        <v>1124</v>
      </c>
      <c r="K88" s="14" t="str">
        <v>D</v>
      </c>
      <c r="L88" s="14" t="str">
        <v>C</v>
      </c>
      <c r="M88" s="14" t="str">
        <v>B</v>
      </c>
      <c r="N88" s="14" t="str">
        <v>G</v>
      </c>
    </row>
    <row r="89" spans="9:14" x14ac:dyDescent="0.25">
      <c r="I89" s="14">
        <v>0</v>
      </c>
      <c r="J89" s="14">
        <v>1138</v>
      </c>
      <c r="K89" s="14" t="str">
        <v>D</v>
      </c>
      <c r="L89" s="14" t="str">
        <v>C</v>
      </c>
      <c r="M89" s="14" t="str">
        <v>C</v>
      </c>
      <c r="N89" s="14" t="str">
        <v>H</v>
      </c>
    </row>
    <row r="90" spans="9:14" x14ac:dyDescent="0.25">
      <c r="I90" s="14">
        <v>0</v>
      </c>
      <c r="J90" s="14">
        <v>1152</v>
      </c>
      <c r="K90" s="14" t="str">
        <v>D</v>
      </c>
      <c r="L90" s="14" t="str">
        <v>C</v>
      </c>
      <c r="M90" s="14" t="str">
        <v>D</v>
      </c>
      <c r="N90" s="14" t="str">
        <v>I</v>
      </c>
    </row>
    <row r="91" spans="9:14" x14ac:dyDescent="0.25">
      <c r="I91" s="14">
        <v>0</v>
      </c>
      <c r="J91" s="14">
        <v>1166</v>
      </c>
      <c r="K91" s="14" t="str">
        <v>D</v>
      </c>
      <c r="L91" s="14" t="str">
        <v>C</v>
      </c>
      <c r="M91" s="14" t="str">
        <v>E</v>
      </c>
      <c r="N91" s="14" t="str">
        <v>J</v>
      </c>
    </row>
    <row r="92" spans="9:14" x14ac:dyDescent="0.25">
      <c r="I92" s="14">
        <v>0</v>
      </c>
      <c r="J92" s="14">
        <v>1176</v>
      </c>
      <c r="K92" s="14" t="str">
        <v>D</v>
      </c>
      <c r="L92" s="14" t="str">
        <v>D</v>
      </c>
      <c r="M92" s="14" t="str">
        <v>A</v>
      </c>
      <c r="N92" s="14" t="str">
        <v>G</v>
      </c>
    </row>
    <row r="93" spans="9:14" x14ac:dyDescent="0.25">
      <c r="I93" s="14">
        <v>0</v>
      </c>
      <c r="J93" s="14">
        <v>1190</v>
      </c>
      <c r="K93" s="14" t="str">
        <v>D</v>
      </c>
      <c r="L93" s="14" t="str">
        <v>D</v>
      </c>
      <c r="M93" s="14" t="str">
        <v>B</v>
      </c>
      <c r="N93" s="14" t="str">
        <v>H</v>
      </c>
    </row>
    <row r="94" spans="9:14" x14ac:dyDescent="0.25">
      <c r="I94" s="14">
        <v>0</v>
      </c>
      <c r="J94" s="14">
        <v>1204</v>
      </c>
      <c r="K94" s="14" t="str">
        <v>D</v>
      </c>
      <c r="L94" s="14" t="str">
        <v>D</v>
      </c>
      <c r="M94" s="14" t="str">
        <v>C</v>
      </c>
      <c r="N94" s="14" t="str">
        <v>I</v>
      </c>
    </row>
    <row r="95" spans="9:14" x14ac:dyDescent="0.25">
      <c r="I95" s="14">
        <v>0</v>
      </c>
      <c r="J95" s="14">
        <v>1218</v>
      </c>
      <c r="K95" s="14" t="str">
        <v>D</v>
      </c>
      <c r="L95" s="14" t="str">
        <v>D</v>
      </c>
      <c r="M95" s="14" t="str">
        <v>D</v>
      </c>
      <c r="N95" s="14" t="str">
        <v>J</v>
      </c>
    </row>
    <row r="96" spans="9:14" x14ac:dyDescent="0.25">
      <c r="I96" s="14">
        <v>0</v>
      </c>
      <c r="J96" s="14">
        <v>1232</v>
      </c>
      <c r="K96" s="14" t="str">
        <v>D</v>
      </c>
      <c r="L96" s="14" t="str">
        <v>D</v>
      </c>
      <c r="M96" s="14" t="str">
        <v>E</v>
      </c>
      <c r="N96" s="14" t="str">
        <v>K</v>
      </c>
    </row>
    <row r="97" spans="9:14" x14ac:dyDescent="0.25">
      <c r="I97" s="14">
        <v>0</v>
      </c>
      <c r="J97" s="14">
        <v>1242</v>
      </c>
      <c r="K97" s="14" t="str">
        <v>D</v>
      </c>
      <c r="L97" s="14" t="str">
        <v>E</v>
      </c>
      <c r="M97" s="14" t="str">
        <v>A</v>
      </c>
      <c r="N97" s="14" t="str">
        <v>H</v>
      </c>
    </row>
    <row r="98" spans="9:14" x14ac:dyDescent="0.25">
      <c r="I98" s="14">
        <v>0</v>
      </c>
      <c r="J98" s="14">
        <v>1256</v>
      </c>
      <c r="K98" s="14" t="str">
        <v>D</v>
      </c>
      <c r="L98" s="14" t="str">
        <v>E</v>
      </c>
      <c r="M98" s="14" t="str">
        <v>B</v>
      </c>
      <c r="N98" s="14" t="str">
        <v>I</v>
      </c>
    </row>
    <row r="99" spans="9:14" x14ac:dyDescent="0.25">
      <c r="I99" s="14">
        <v>0</v>
      </c>
      <c r="J99" s="14">
        <v>1270</v>
      </c>
      <c r="K99" s="14" t="str">
        <v>D</v>
      </c>
      <c r="L99" s="14" t="str">
        <v>E</v>
      </c>
      <c r="M99" s="14" t="str">
        <v>C</v>
      </c>
      <c r="N99" s="14" t="str">
        <v>J</v>
      </c>
    </row>
    <row r="100" spans="9:14" x14ac:dyDescent="0.25">
      <c r="I100" s="14">
        <v>0</v>
      </c>
      <c r="J100" s="14">
        <v>1284</v>
      </c>
      <c r="K100" s="14" t="str">
        <v>D</v>
      </c>
      <c r="L100" s="14" t="str">
        <v>E</v>
      </c>
      <c r="M100" s="14" t="str">
        <v>D</v>
      </c>
      <c r="N100" s="14" t="str">
        <v>K</v>
      </c>
    </row>
    <row r="101" spans="9:14" x14ac:dyDescent="0.25">
      <c r="I101" s="14">
        <v>0</v>
      </c>
      <c r="J101" s="14">
        <v>1298</v>
      </c>
      <c r="K101" s="14" t="str">
        <v>D</v>
      </c>
      <c r="L101" s="14" t="str">
        <v>E</v>
      </c>
      <c r="M101" s="14" t="str">
        <v>E</v>
      </c>
      <c r="N101" s="14" t="str">
        <v>L</v>
      </c>
    </row>
    <row r="102" spans="9:14" x14ac:dyDescent="0.25">
      <c r="I102" s="14">
        <v>44</v>
      </c>
      <c r="J102" s="14">
        <v>1304</v>
      </c>
      <c r="K102" s="14" t="str">
        <v>E</v>
      </c>
      <c r="L102" s="14" t="str">
        <v>A</v>
      </c>
      <c r="M102" s="14" t="str">
        <v>A</v>
      </c>
      <c r="N102" s="14" t="str">
        <v>E</v>
      </c>
    </row>
    <row r="103" spans="9:14" x14ac:dyDescent="0.25">
      <c r="I103" s="14">
        <v>0</v>
      </c>
      <c r="J103" s="14">
        <v>1318</v>
      </c>
      <c r="K103" s="14" t="str">
        <v>E</v>
      </c>
      <c r="L103" s="14" t="str">
        <v>A</v>
      </c>
      <c r="M103" s="14" t="str">
        <v>B</v>
      </c>
      <c r="N103" s="14" t="str">
        <v>F</v>
      </c>
    </row>
    <row r="104" spans="9:14" x14ac:dyDescent="0.25">
      <c r="I104" s="14">
        <v>0</v>
      </c>
      <c r="J104" s="14">
        <v>1332</v>
      </c>
      <c r="K104" s="14" t="str">
        <v>E</v>
      </c>
      <c r="L104" s="14" t="str">
        <v>A</v>
      </c>
      <c r="M104" s="14" t="str">
        <v>C</v>
      </c>
      <c r="N104" s="14" t="str">
        <v>G</v>
      </c>
    </row>
    <row r="105" spans="9:14" x14ac:dyDescent="0.25">
      <c r="I105" s="14">
        <v>0</v>
      </c>
      <c r="J105" s="14">
        <v>1346</v>
      </c>
      <c r="K105" s="14" t="str">
        <v>E</v>
      </c>
      <c r="L105" s="14" t="str">
        <v>A</v>
      </c>
      <c r="M105" s="14" t="str">
        <v>D</v>
      </c>
      <c r="N105" s="14" t="str">
        <v>H</v>
      </c>
    </row>
    <row r="106" spans="9:14" x14ac:dyDescent="0.25">
      <c r="I106" s="14">
        <v>0</v>
      </c>
      <c r="J106" s="14">
        <v>1360</v>
      </c>
      <c r="K106" s="14" t="str">
        <v>E</v>
      </c>
      <c r="L106" s="14" t="str">
        <v>A</v>
      </c>
      <c r="M106" s="14" t="str">
        <v>E</v>
      </c>
      <c r="N106" s="14" t="str">
        <v>I</v>
      </c>
    </row>
    <row r="107" spans="9:14" x14ac:dyDescent="0.25">
      <c r="I107" s="14">
        <v>0</v>
      </c>
      <c r="J107" s="14">
        <v>1370</v>
      </c>
      <c r="K107" s="14" t="str">
        <v>E</v>
      </c>
      <c r="L107" s="14" t="str">
        <v>B</v>
      </c>
      <c r="M107" s="14" t="str">
        <v>A</v>
      </c>
      <c r="N107" s="14" t="str">
        <v>F</v>
      </c>
    </row>
    <row r="108" spans="9:14" x14ac:dyDescent="0.25">
      <c r="I108" s="14">
        <v>0</v>
      </c>
      <c r="J108" s="14">
        <v>1384</v>
      </c>
      <c r="K108" s="14" t="str">
        <v>E</v>
      </c>
      <c r="L108" s="14" t="str">
        <v>B</v>
      </c>
      <c r="M108" s="14" t="str">
        <v>B</v>
      </c>
      <c r="N108" s="14" t="str">
        <v>G</v>
      </c>
    </row>
    <row r="109" spans="9:14" x14ac:dyDescent="0.25">
      <c r="I109" s="14">
        <v>0</v>
      </c>
      <c r="J109" s="14">
        <v>1398</v>
      </c>
      <c r="K109" s="14" t="str">
        <v>E</v>
      </c>
      <c r="L109" s="14" t="str">
        <v>B</v>
      </c>
      <c r="M109" s="14" t="str">
        <v>C</v>
      </c>
      <c r="N109" s="14" t="str">
        <v>H</v>
      </c>
    </row>
    <row r="110" spans="9:14" x14ac:dyDescent="0.25">
      <c r="I110" s="14">
        <v>0</v>
      </c>
      <c r="J110" s="14">
        <v>1412</v>
      </c>
      <c r="K110" s="14" t="str">
        <v>E</v>
      </c>
      <c r="L110" s="14" t="str">
        <v>B</v>
      </c>
      <c r="M110" s="14" t="str">
        <v>D</v>
      </c>
      <c r="N110" s="14" t="str">
        <v>I</v>
      </c>
    </row>
    <row r="111" spans="9:14" x14ac:dyDescent="0.25">
      <c r="I111" s="14">
        <v>0</v>
      </c>
      <c r="J111" s="14">
        <v>1426</v>
      </c>
      <c r="K111" s="14" t="str">
        <v>E</v>
      </c>
      <c r="L111" s="14" t="str">
        <v>B</v>
      </c>
      <c r="M111" s="14" t="str">
        <v>E</v>
      </c>
      <c r="N111" s="14" t="str">
        <v>J</v>
      </c>
    </row>
    <row r="112" spans="9:14" x14ac:dyDescent="0.25">
      <c r="I112" s="14">
        <v>0</v>
      </c>
      <c r="J112" s="14">
        <v>1436</v>
      </c>
      <c r="K112" s="14" t="str">
        <v>E</v>
      </c>
      <c r="L112" s="14" t="str">
        <v>C</v>
      </c>
      <c r="M112" s="14" t="str">
        <v>A</v>
      </c>
      <c r="N112" s="14" t="str">
        <v>G</v>
      </c>
    </row>
    <row r="113" spans="9:14" x14ac:dyDescent="0.25">
      <c r="I113" s="14">
        <v>0</v>
      </c>
      <c r="J113" s="14">
        <v>1450</v>
      </c>
      <c r="K113" s="14" t="str">
        <v>E</v>
      </c>
      <c r="L113" s="14" t="str">
        <v>C</v>
      </c>
      <c r="M113" s="14" t="str">
        <v>B</v>
      </c>
      <c r="N113" s="14" t="str">
        <v>H</v>
      </c>
    </row>
    <row r="114" spans="9:14" x14ac:dyDescent="0.25">
      <c r="I114" s="14">
        <v>0</v>
      </c>
      <c r="J114" s="14">
        <v>1464</v>
      </c>
      <c r="K114" s="14" t="str">
        <v>E</v>
      </c>
      <c r="L114" s="14" t="str">
        <v>C</v>
      </c>
      <c r="M114" s="14" t="str">
        <v>C</v>
      </c>
      <c r="N114" s="14" t="str">
        <v>I</v>
      </c>
    </row>
    <row r="115" spans="9:14" x14ac:dyDescent="0.25">
      <c r="I115" s="14">
        <v>0</v>
      </c>
      <c r="J115" s="14">
        <v>1478</v>
      </c>
      <c r="K115" s="14" t="str">
        <v>E</v>
      </c>
      <c r="L115" s="14" t="str">
        <v>C</v>
      </c>
      <c r="M115" s="14" t="str">
        <v>D</v>
      </c>
      <c r="N115" s="14" t="str">
        <v>J</v>
      </c>
    </row>
    <row r="116" spans="9:14" x14ac:dyDescent="0.25">
      <c r="I116" s="14">
        <v>0</v>
      </c>
      <c r="J116" s="14">
        <v>1492</v>
      </c>
      <c r="K116" s="14" t="str">
        <v>E</v>
      </c>
      <c r="L116" s="14" t="str">
        <v>C</v>
      </c>
      <c r="M116" s="14" t="str">
        <v>E</v>
      </c>
      <c r="N116" s="14" t="str">
        <v>K</v>
      </c>
    </row>
    <row r="117" spans="9:14" x14ac:dyDescent="0.25">
      <c r="I117" s="14">
        <v>0</v>
      </c>
      <c r="J117" s="14">
        <v>1502</v>
      </c>
      <c r="K117" s="14" t="str">
        <v>E</v>
      </c>
      <c r="L117" s="14" t="str">
        <v>D</v>
      </c>
      <c r="M117" s="14" t="str">
        <v>A</v>
      </c>
      <c r="N117" s="14" t="str">
        <v>H</v>
      </c>
    </row>
    <row r="118" spans="9:14" x14ac:dyDescent="0.25">
      <c r="I118" s="14">
        <v>0</v>
      </c>
      <c r="J118" s="14">
        <v>1516</v>
      </c>
      <c r="K118" s="14" t="str">
        <v>E</v>
      </c>
      <c r="L118" s="14" t="str">
        <v>D</v>
      </c>
      <c r="M118" s="14" t="str">
        <v>B</v>
      </c>
      <c r="N118" s="14" t="str">
        <v>I</v>
      </c>
    </row>
    <row r="119" spans="9:14" x14ac:dyDescent="0.25">
      <c r="I119" s="14">
        <v>0</v>
      </c>
      <c r="J119" s="14">
        <v>1530</v>
      </c>
      <c r="K119" s="14" t="str">
        <v>E</v>
      </c>
      <c r="L119" s="14" t="str">
        <v>D</v>
      </c>
      <c r="M119" s="14" t="str">
        <v>C</v>
      </c>
      <c r="N119" s="14" t="str">
        <v>J</v>
      </c>
    </row>
    <row r="120" spans="9:14" x14ac:dyDescent="0.25">
      <c r="I120" s="14">
        <v>0</v>
      </c>
      <c r="J120" s="14">
        <v>1544</v>
      </c>
      <c r="K120" s="14" t="str">
        <v>E</v>
      </c>
      <c r="L120" s="14" t="str">
        <v>D</v>
      </c>
      <c r="M120" s="14" t="str">
        <v>D</v>
      </c>
      <c r="N120" s="14" t="str">
        <v>K</v>
      </c>
    </row>
    <row r="121" spans="9:14" x14ac:dyDescent="0.25">
      <c r="I121" s="14">
        <v>0</v>
      </c>
      <c r="J121" s="14">
        <v>1558</v>
      </c>
      <c r="K121" s="14" t="str">
        <v>E</v>
      </c>
      <c r="L121" s="14" t="str">
        <v>D</v>
      </c>
      <c r="M121" s="14" t="str">
        <v>E</v>
      </c>
      <c r="N121" s="14" t="str">
        <v>L</v>
      </c>
    </row>
    <row r="122" spans="9:14" x14ac:dyDescent="0.25">
      <c r="I122" s="14">
        <v>0</v>
      </c>
      <c r="J122" s="14">
        <v>1568</v>
      </c>
      <c r="K122" s="14" t="str">
        <v>E</v>
      </c>
      <c r="L122" s="14" t="str">
        <v>E</v>
      </c>
      <c r="M122" s="14" t="str">
        <v>A</v>
      </c>
      <c r="N122" s="14" t="str">
        <v>I</v>
      </c>
    </row>
    <row r="123" spans="9:14" x14ac:dyDescent="0.25">
      <c r="I123" s="14">
        <v>0</v>
      </c>
      <c r="J123" s="14">
        <v>1582</v>
      </c>
      <c r="K123" s="14" t="str">
        <v>E</v>
      </c>
      <c r="L123" s="14" t="str">
        <v>E</v>
      </c>
      <c r="M123" s="14" t="str">
        <v>B</v>
      </c>
      <c r="N123" s="14" t="str">
        <v>J</v>
      </c>
    </row>
    <row r="124" spans="9:14" x14ac:dyDescent="0.25">
      <c r="I124" s="14">
        <v>0</v>
      </c>
      <c r="J124" s="14">
        <v>1596</v>
      </c>
      <c r="K124" s="14" t="str">
        <v>E</v>
      </c>
      <c r="L124" s="14" t="str">
        <v>E</v>
      </c>
      <c r="M124" s="14" t="str">
        <v>C</v>
      </c>
      <c r="N124" s="14" t="str">
        <v>K</v>
      </c>
    </row>
    <row r="125" spans="9:14" x14ac:dyDescent="0.25">
      <c r="I125" s="14">
        <v>0</v>
      </c>
      <c r="J125" s="14">
        <v>1610</v>
      </c>
      <c r="K125" s="14" t="str">
        <v>E</v>
      </c>
      <c r="L125" s="14" t="str">
        <v>E</v>
      </c>
      <c r="M125" s="14" t="str">
        <v>D</v>
      </c>
      <c r="N125" s="14" t="str">
        <v>L</v>
      </c>
    </row>
    <row r="126" spans="9:14" x14ac:dyDescent="0.25">
      <c r="I126" s="14">
        <v>0</v>
      </c>
      <c r="J126" s="14">
        <v>1624</v>
      </c>
      <c r="K126" s="14" t="str">
        <v>E</v>
      </c>
      <c r="L126" s="14" t="str">
        <v>E</v>
      </c>
      <c r="M126" s="14" t="str">
        <v>E</v>
      </c>
      <c r="N126" s="14" t="str">
        <v>M</v>
      </c>
    </row>
  </sheetData>
  <autoFilter ref="I1:N126" xr:uid="{B12EB818-5083-455F-864C-8383FB86D28E}"/>
  <mergeCells count="1">
    <mergeCell ref="A1:E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398E5-FE6F-4B2D-905F-31D265D7293B}">
  <sheetPr codeName="Planilha6"/>
  <dimension ref="A1:N126"/>
  <sheetViews>
    <sheetView workbookViewId="0">
      <selection activeCell="G18" sqref="G18"/>
    </sheetView>
  </sheetViews>
  <sheetFormatPr defaultRowHeight="15" x14ac:dyDescent="0.25"/>
  <cols>
    <col min="1" max="5" width="9.140625" style="14"/>
    <col min="6" max="6" width="12.140625" style="14" bestFit="1" customWidth="1"/>
    <col min="7" max="7" width="20" style="14" bestFit="1" customWidth="1"/>
    <col min="8" max="8" width="9.140625" style="14"/>
    <col min="9" max="9" width="20.140625" style="14" bestFit="1" customWidth="1"/>
    <col min="10" max="14" width="9.140625" style="14"/>
    <col min="15" max="18" width="9.140625" style="14" customWidth="1"/>
    <col min="19" max="16384" width="9.140625" style="14"/>
  </cols>
  <sheetData>
    <row r="1" spans="1:14" x14ac:dyDescent="0.25">
      <c r="A1" s="65" t="s">
        <v>31</v>
      </c>
      <c r="B1" s="65"/>
      <c r="C1" s="65"/>
      <c r="D1" s="65"/>
      <c r="E1" s="65"/>
      <c r="G1" s="14" t="s">
        <v>39</v>
      </c>
      <c r="I1" s="14" t="s">
        <v>37</v>
      </c>
      <c r="J1" s="14" t="s">
        <v>35</v>
      </c>
      <c r="K1" s="14" t="s">
        <v>19</v>
      </c>
      <c r="L1" s="14" t="s">
        <v>32</v>
      </c>
      <c r="M1" s="14" t="s">
        <v>33</v>
      </c>
      <c r="N1" s="14" t="s">
        <v>34</v>
      </c>
    </row>
    <row r="2" spans="1:14" x14ac:dyDescent="0.25">
      <c r="A2" s="14" t="s">
        <v>22</v>
      </c>
      <c r="B2" s="14" t="s">
        <v>19</v>
      </c>
      <c r="C2" s="14" t="s">
        <v>32</v>
      </c>
      <c r="D2" s="14" t="s">
        <v>33</v>
      </c>
      <c r="G2" s="14">
        <f>SUM(I:I)</f>
        <v>192</v>
      </c>
      <c r="I2" s="14">
        <v>0</v>
      </c>
      <c r="J2" s="14" cm="1">
        <f t="array" ref="J2:J126">_xlfn._xlws.FILTER(Tabela2[Comb],Tabela2[Status]="OK","ERRO")</f>
        <v>0</v>
      </c>
      <c r="K2" s="14" t="str" cm="1">
        <f t="array" ref="K2:K126">_xlfn._xlws.FILTER(Tabela2[OP],Tabela2[Status]="OK","ERRO")</f>
        <v>A</v>
      </c>
      <c r="L2" s="14" t="str" cm="1">
        <f t="array" ref="L2:L126">_xlfn._xlws.FILTER(Tabela2[BICO],Tabela2[Status]="OK","ERRO")</f>
        <v>A</v>
      </c>
      <c r="M2" s="14" t="str" cm="1">
        <f t="array" ref="M2:M126">_xlfn._xlws.FILTER(Tabela2[SPACER],Tabela2[Status]="OK","ERRO")</f>
        <v>A</v>
      </c>
      <c r="N2" s="14" t="str" cm="1">
        <f t="array" ref="N2:N126">_xlfn._xlws.FILTER(Tabela2[AGULHA],Tabela2[Status]="OK","ERRO")</f>
        <v>A</v>
      </c>
    </row>
    <row r="3" spans="1:14" x14ac:dyDescent="0.25">
      <c r="A3" s="14" t="s">
        <v>8</v>
      </c>
      <c r="B3" s="6">
        <f>Simluação!M31</f>
        <v>41</v>
      </c>
      <c r="C3" s="14">
        <f>'Lote 2'!C3-'Lote 2'!C10</f>
        <v>16</v>
      </c>
      <c r="D3" s="14">
        <f>'Lote 2'!D3-'Lote 2'!D10</f>
        <v>0</v>
      </c>
      <c r="G3" s="14">
        <f>G2-SUM(B3:B7)</f>
        <v>0</v>
      </c>
      <c r="I3" s="14">
        <v>0</v>
      </c>
      <c r="J3" s="14">
        <v>14</v>
      </c>
      <c r="K3" s="14" t="str">
        <v>A</v>
      </c>
      <c r="L3" s="14" t="str">
        <v>A</v>
      </c>
      <c r="M3" s="14" t="str">
        <v>B</v>
      </c>
      <c r="N3" s="14" t="str">
        <v>B</v>
      </c>
    </row>
    <row r="4" spans="1:14" x14ac:dyDescent="0.25">
      <c r="A4" s="14" t="s">
        <v>9</v>
      </c>
      <c r="B4" s="6">
        <f>Simluação!M32</f>
        <v>28</v>
      </c>
      <c r="C4" s="14">
        <f>'Lote 2'!C4-'Lote 2'!C11</f>
        <v>384</v>
      </c>
      <c r="D4" s="14">
        <f>'Lote 2'!D4-'Lote 2'!D11</f>
        <v>384</v>
      </c>
      <c r="I4" s="14">
        <v>0</v>
      </c>
      <c r="J4" s="14">
        <v>28</v>
      </c>
      <c r="K4" s="14" t="str">
        <v>A</v>
      </c>
      <c r="L4" s="14" t="str">
        <v>A</v>
      </c>
      <c r="M4" s="14" t="str">
        <v>C</v>
      </c>
      <c r="N4" s="14" t="str">
        <v>C</v>
      </c>
    </row>
    <row r="5" spans="1:14" x14ac:dyDescent="0.25">
      <c r="A5" s="14" t="s">
        <v>10</v>
      </c>
      <c r="B5" s="6">
        <f>Simluação!M33</f>
        <v>44</v>
      </c>
      <c r="C5" s="14">
        <f>'Lote 2'!C5-'Lote 2'!C12</f>
        <v>389</v>
      </c>
      <c r="D5" s="14">
        <f>'Lote 2'!D5-'Lote 2'!D12</f>
        <v>417</v>
      </c>
      <c r="I5" s="14">
        <v>0</v>
      </c>
      <c r="J5" s="14">
        <v>42</v>
      </c>
      <c r="K5" s="14" t="str">
        <v>A</v>
      </c>
      <c r="L5" s="14" t="str">
        <v>A</v>
      </c>
      <c r="M5" s="14" t="str">
        <v>D</v>
      </c>
      <c r="N5" s="14" t="str">
        <v>D</v>
      </c>
    </row>
    <row r="6" spans="1:14" x14ac:dyDescent="0.25">
      <c r="A6" s="14" t="s">
        <v>11</v>
      </c>
      <c r="B6" s="6">
        <f>Simluação!M34</f>
        <v>41</v>
      </c>
      <c r="C6" s="14">
        <f>'Lote 2'!C6-'Lote 2'!C13</f>
        <v>427</v>
      </c>
      <c r="D6" s="14">
        <f>'Lote 2'!D6-'Lote 2'!D13</f>
        <v>397</v>
      </c>
      <c r="I6" s="14">
        <v>0</v>
      </c>
      <c r="J6" s="14">
        <v>56</v>
      </c>
      <c r="K6" s="14" t="str">
        <v>A</v>
      </c>
      <c r="L6" s="14" t="str">
        <v>A</v>
      </c>
      <c r="M6" s="14" t="str">
        <v>E</v>
      </c>
      <c r="N6" s="14" t="str">
        <v>E</v>
      </c>
    </row>
    <row r="7" spans="1:14" x14ac:dyDescent="0.25">
      <c r="A7" s="14" t="s">
        <v>13</v>
      </c>
      <c r="B7" s="6">
        <f>Simluação!M35</f>
        <v>38</v>
      </c>
      <c r="C7" s="14">
        <f>'Lote 2'!C7-'Lote 2'!C14</f>
        <v>404</v>
      </c>
      <c r="D7" s="14">
        <f>'Lote 2'!D7-'Lote 2'!D14</f>
        <v>422</v>
      </c>
      <c r="I7" s="14">
        <v>0</v>
      </c>
      <c r="J7" s="14">
        <v>66</v>
      </c>
      <c r="K7" s="14" t="str">
        <v>A</v>
      </c>
      <c r="L7" s="14" t="str">
        <v>B</v>
      </c>
      <c r="M7" s="14" t="str">
        <v>A</v>
      </c>
      <c r="N7" s="14" t="str">
        <v>B</v>
      </c>
    </row>
    <row r="8" spans="1:14" x14ac:dyDescent="0.25">
      <c r="I8" s="14">
        <v>41</v>
      </c>
      <c r="J8" s="14">
        <v>80</v>
      </c>
      <c r="K8" s="14" t="str">
        <v>A</v>
      </c>
      <c r="L8" s="14" t="str">
        <v>B</v>
      </c>
      <c r="M8" s="14" t="str">
        <v>B</v>
      </c>
      <c r="N8" s="14" t="str">
        <v>C</v>
      </c>
    </row>
    <row r="9" spans="1:14" x14ac:dyDescent="0.25">
      <c r="A9" s="14" t="s">
        <v>38</v>
      </c>
      <c r="I9" s="14">
        <v>0</v>
      </c>
      <c r="J9" s="14">
        <v>94</v>
      </c>
      <c r="K9" s="14" t="str">
        <v>A</v>
      </c>
      <c r="L9" s="14" t="str">
        <v>B</v>
      </c>
      <c r="M9" s="14" t="str">
        <v>C</v>
      </c>
      <c r="N9" s="14" t="str">
        <v>D</v>
      </c>
    </row>
    <row r="10" spans="1:14" x14ac:dyDescent="0.25">
      <c r="A10" s="14" t="s">
        <v>8</v>
      </c>
      <c r="B10" s="14">
        <f t="shared" ref="B10:B22" si="0">SUMIF($K:$K,A10,$I:$I)</f>
        <v>41</v>
      </c>
      <c r="C10" s="14">
        <f t="shared" ref="C10:C22" si="1">SUMIF($L:$L,A10,$I:$I)</f>
        <v>16</v>
      </c>
      <c r="D10" s="14">
        <f t="shared" ref="D10:D22" si="2">SUMIF($M:$M,A10,$I:$I)</f>
        <v>0</v>
      </c>
      <c r="E10" s="14">
        <f t="shared" ref="E10:E22" si="3">SUMIF($N:$N,A10,$I:$I)</f>
        <v>0</v>
      </c>
      <c r="F10" s="14">
        <v>-6</v>
      </c>
      <c r="I10" s="14">
        <v>0</v>
      </c>
      <c r="J10" s="14">
        <v>108</v>
      </c>
      <c r="K10" s="14" t="str">
        <v>A</v>
      </c>
      <c r="L10" s="14" t="str">
        <v>B</v>
      </c>
      <c r="M10" s="14" t="str">
        <v>D</v>
      </c>
      <c r="N10" s="14" t="str">
        <v>E</v>
      </c>
    </row>
    <row r="11" spans="1:14" x14ac:dyDescent="0.25">
      <c r="A11" s="14" t="s">
        <v>9</v>
      </c>
      <c r="B11" s="14">
        <f t="shared" si="0"/>
        <v>28</v>
      </c>
      <c r="C11" s="14">
        <f t="shared" si="1"/>
        <v>176</v>
      </c>
      <c r="D11" s="14">
        <f t="shared" si="2"/>
        <v>192</v>
      </c>
      <c r="E11" s="14">
        <f t="shared" si="3"/>
        <v>0</v>
      </c>
      <c r="F11" s="14">
        <v>-5</v>
      </c>
      <c r="I11" s="14">
        <v>0</v>
      </c>
      <c r="J11" s="14">
        <v>122</v>
      </c>
      <c r="K11" s="14" t="str">
        <v>A</v>
      </c>
      <c r="L11" s="14" t="str">
        <v>B</v>
      </c>
      <c r="M11" s="14" t="str">
        <v>E</v>
      </c>
      <c r="N11" s="14" t="str">
        <v>F</v>
      </c>
    </row>
    <row r="12" spans="1:14" x14ac:dyDescent="0.25">
      <c r="A12" s="14" t="s">
        <v>10</v>
      </c>
      <c r="B12" s="14">
        <f t="shared" si="0"/>
        <v>44</v>
      </c>
      <c r="C12" s="14">
        <f t="shared" si="1"/>
        <v>0</v>
      </c>
      <c r="D12" s="14">
        <f t="shared" si="2"/>
        <v>0</v>
      </c>
      <c r="E12" s="14">
        <f t="shared" si="3"/>
        <v>41</v>
      </c>
      <c r="F12" s="14">
        <v>-4</v>
      </c>
      <c r="I12" s="14">
        <v>0</v>
      </c>
      <c r="J12" s="14">
        <v>132</v>
      </c>
      <c r="K12" s="14" t="str">
        <v>A</v>
      </c>
      <c r="L12" s="14" t="str">
        <v>C</v>
      </c>
      <c r="M12" s="14" t="str">
        <v>A</v>
      </c>
      <c r="N12" s="14" t="str">
        <v>C</v>
      </c>
    </row>
    <row r="13" spans="1:14" x14ac:dyDescent="0.25">
      <c r="A13" s="14" t="s">
        <v>11</v>
      </c>
      <c r="B13" s="14">
        <f t="shared" si="0"/>
        <v>41</v>
      </c>
      <c r="C13" s="14">
        <f t="shared" si="1"/>
        <v>0</v>
      </c>
      <c r="D13" s="14">
        <f t="shared" si="2"/>
        <v>0</v>
      </c>
      <c r="E13" s="14">
        <f t="shared" si="3"/>
        <v>28</v>
      </c>
      <c r="F13" s="14">
        <v>-3</v>
      </c>
      <c r="I13" s="14">
        <v>0</v>
      </c>
      <c r="J13" s="14">
        <v>146</v>
      </c>
      <c r="K13" s="14" t="str">
        <v>A</v>
      </c>
      <c r="L13" s="14" t="str">
        <v>C</v>
      </c>
      <c r="M13" s="14" t="str">
        <v>B</v>
      </c>
      <c r="N13" s="14" t="str">
        <v>D</v>
      </c>
    </row>
    <row r="14" spans="1:14" x14ac:dyDescent="0.25">
      <c r="A14" s="14" t="s">
        <v>13</v>
      </c>
      <c r="B14" s="14">
        <f t="shared" si="0"/>
        <v>38</v>
      </c>
      <c r="C14" s="14">
        <f t="shared" si="1"/>
        <v>0</v>
      </c>
      <c r="D14" s="14">
        <f t="shared" si="2"/>
        <v>0</v>
      </c>
      <c r="E14" s="14">
        <f t="shared" si="3"/>
        <v>44</v>
      </c>
      <c r="F14" s="14">
        <v>-2</v>
      </c>
      <c r="I14" s="14">
        <v>0</v>
      </c>
      <c r="J14" s="14">
        <v>160</v>
      </c>
      <c r="K14" s="14" t="str">
        <v>A</v>
      </c>
      <c r="L14" s="14" t="str">
        <v>C</v>
      </c>
      <c r="M14" s="14" t="str">
        <v>C</v>
      </c>
      <c r="N14" s="14" t="str">
        <v>E</v>
      </c>
    </row>
    <row r="15" spans="1:14" x14ac:dyDescent="0.25">
      <c r="A15" s="14" t="s">
        <v>12</v>
      </c>
      <c r="B15" s="14">
        <f t="shared" si="0"/>
        <v>0</v>
      </c>
      <c r="C15" s="14">
        <f t="shared" si="1"/>
        <v>0</v>
      </c>
      <c r="D15" s="14">
        <f t="shared" si="2"/>
        <v>0</v>
      </c>
      <c r="E15" s="14">
        <f t="shared" si="3"/>
        <v>57</v>
      </c>
      <c r="F15" s="14">
        <v>-1</v>
      </c>
      <c r="I15" s="14">
        <v>0</v>
      </c>
      <c r="J15" s="14">
        <v>174</v>
      </c>
      <c r="K15" s="14" t="str">
        <v>A</v>
      </c>
      <c r="L15" s="14" t="str">
        <v>C</v>
      </c>
      <c r="M15" s="14" t="str">
        <v>D</v>
      </c>
      <c r="N15" s="14" t="str">
        <v>F</v>
      </c>
    </row>
    <row r="16" spans="1:14" x14ac:dyDescent="0.25">
      <c r="A16" s="14" t="s">
        <v>14</v>
      </c>
      <c r="B16" s="14">
        <f t="shared" si="0"/>
        <v>0</v>
      </c>
      <c r="C16" s="14">
        <f t="shared" si="1"/>
        <v>0</v>
      </c>
      <c r="D16" s="14">
        <f t="shared" si="2"/>
        <v>0</v>
      </c>
      <c r="E16" s="14">
        <f t="shared" si="3"/>
        <v>22</v>
      </c>
      <c r="F16" s="14">
        <v>0</v>
      </c>
      <c r="I16" s="14">
        <v>0</v>
      </c>
      <c r="J16" s="14">
        <v>188</v>
      </c>
      <c r="K16" s="14" t="str">
        <v>A</v>
      </c>
      <c r="L16" s="14" t="str">
        <v>C</v>
      </c>
      <c r="M16" s="14" t="str">
        <v>E</v>
      </c>
      <c r="N16" s="14" t="str">
        <v>G</v>
      </c>
    </row>
    <row r="17" spans="1:14" x14ac:dyDescent="0.25">
      <c r="A17" s="14" t="s">
        <v>44</v>
      </c>
      <c r="B17" s="14">
        <f t="shared" si="0"/>
        <v>0</v>
      </c>
      <c r="C17" s="14">
        <f t="shared" si="1"/>
        <v>0</v>
      </c>
      <c r="D17" s="14">
        <f t="shared" si="2"/>
        <v>0</v>
      </c>
      <c r="E17" s="14">
        <f t="shared" si="3"/>
        <v>0</v>
      </c>
      <c r="F17" s="14">
        <v>1</v>
      </c>
      <c r="I17" s="14">
        <v>0</v>
      </c>
      <c r="J17" s="14">
        <v>198</v>
      </c>
      <c r="K17" s="14" t="str">
        <v>A</v>
      </c>
      <c r="L17" s="14" t="str">
        <v>D</v>
      </c>
      <c r="M17" s="14" t="str">
        <v>A</v>
      </c>
      <c r="N17" s="14" t="str">
        <v>D</v>
      </c>
    </row>
    <row r="18" spans="1:14" x14ac:dyDescent="0.25">
      <c r="A18" s="14" t="s">
        <v>45</v>
      </c>
      <c r="B18" s="14">
        <f t="shared" si="0"/>
        <v>0</v>
      </c>
      <c r="C18" s="14">
        <f t="shared" si="1"/>
        <v>0</v>
      </c>
      <c r="D18" s="14">
        <f t="shared" si="2"/>
        <v>0</v>
      </c>
      <c r="E18" s="14">
        <f t="shared" si="3"/>
        <v>0</v>
      </c>
      <c r="F18" s="14">
        <v>2</v>
      </c>
      <c r="I18" s="14">
        <v>0</v>
      </c>
      <c r="J18" s="14">
        <v>212</v>
      </c>
      <c r="K18" s="14" t="str">
        <v>A</v>
      </c>
      <c r="L18" s="14" t="str">
        <v>D</v>
      </c>
      <c r="M18" s="14" t="str">
        <v>B</v>
      </c>
      <c r="N18" s="14" t="str">
        <v>E</v>
      </c>
    </row>
    <row r="19" spans="1:14" x14ac:dyDescent="0.25">
      <c r="A19" s="14" t="s">
        <v>46</v>
      </c>
      <c r="B19" s="14">
        <f t="shared" si="0"/>
        <v>0</v>
      </c>
      <c r="C19" s="14">
        <f t="shared" si="1"/>
        <v>0</v>
      </c>
      <c r="D19" s="14">
        <f t="shared" si="2"/>
        <v>0</v>
      </c>
      <c r="E19" s="14">
        <f t="shared" si="3"/>
        <v>0</v>
      </c>
      <c r="F19" s="14">
        <v>3</v>
      </c>
      <c r="I19" s="14">
        <v>0</v>
      </c>
      <c r="J19" s="14">
        <v>226</v>
      </c>
      <c r="K19" s="14" t="str">
        <v>A</v>
      </c>
      <c r="L19" s="14" t="str">
        <v>D</v>
      </c>
      <c r="M19" s="14" t="str">
        <v>C</v>
      </c>
      <c r="N19" s="14" t="str">
        <v>F</v>
      </c>
    </row>
    <row r="20" spans="1:14" x14ac:dyDescent="0.25">
      <c r="A20" s="14" t="s">
        <v>47</v>
      </c>
      <c r="B20" s="14">
        <f t="shared" si="0"/>
        <v>0</v>
      </c>
      <c r="C20" s="14">
        <f t="shared" si="1"/>
        <v>0</v>
      </c>
      <c r="D20" s="14">
        <f t="shared" si="2"/>
        <v>0</v>
      </c>
      <c r="E20" s="14">
        <f t="shared" si="3"/>
        <v>0</v>
      </c>
      <c r="F20" s="14">
        <v>4</v>
      </c>
      <c r="I20" s="14">
        <v>0</v>
      </c>
      <c r="J20" s="14">
        <v>240</v>
      </c>
      <c r="K20" s="14" t="str">
        <v>A</v>
      </c>
      <c r="L20" s="14" t="str">
        <v>D</v>
      </c>
      <c r="M20" s="14" t="str">
        <v>D</v>
      </c>
      <c r="N20" s="14" t="str">
        <v>G</v>
      </c>
    </row>
    <row r="21" spans="1:14" x14ac:dyDescent="0.25">
      <c r="A21" s="14" t="s">
        <v>48</v>
      </c>
      <c r="B21" s="14">
        <f t="shared" si="0"/>
        <v>0</v>
      </c>
      <c r="C21" s="14">
        <f t="shared" si="1"/>
        <v>0</v>
      </c>
      <c r="D21" s="14">
        <f t="shared" si="2"/>
        <v>0</v>
      </c>
      <c r="E21" s="14">
        <f t="shared" si="3"/>
        <v>0</v>
      </c>
      <c r="F21" s="14">
        <v>5</v>
      </c>
      <c r="I21" s="14">
        <v>0</v>
      </c>
      <c r="J21" s="14">
        <v>254</v>
      </c>
      <c r="K21" s="14" t="str">
        <v>A</v>
      </c>
      <c r="L21" s="14" t="str">
        <v>D</v>
      </c>
      <c r="M21" s="14" t="str">
        <v>E</v>
      </c>
      <c r="N21" s="14" t="str">
        <v>H</v>
      </c>
    </row>
    <row r="22" spans="1:14" x14ac:dyDescent="0.25">
      <c r="A22" s="14" t="s">
        <v>49</v>
      </c>
      <c r="B22" s="14">
        <f t="shared" si="0"/>
        <v>0</v>
      </c>
      <c r="C22" s="14">
        <f t="shared" si="1"/>
        <v>0</v>
      </c>
      <c r="D22" s="14">
        <f t="shared" si="2"/>
        <v>0</v>
      </c>
      <c r="E22" s="14">
        <f t="shared" si="3"/>
        <v>0</v>
      </c>
      <c r="F22" s="14">
        <v>6</v>
      </c>
      <c r="I22" s="14">
        <v>0</v>
      </c>
      <c r="J22" s="14">
        <v>264</v>
      </c>
      <c r="K22" s="14" t="str">
        <v>A</v>
      </c>
      <c r="L22" s="14" t="str">
        <v>E</v>
      </c>
      <c r="M22" s="14" t="str">
        <v>A</v>
      </c>
      <c r="N22" s="14" t="str">
        <v>E</v>
      </c>
    </row>
    <row r="23" spans="1:14" x14ac:dyDescent="0.25">
      <c r="B23" s="14">
        <f>SUM(B10:B22)</f>
        <v>192</v>
      </c>
      <c r="C23" s="14">
        <f>SUM(C10:C22)</f>
        <v>192</v>
      </c>
      <c r="D23" s="14">
        <f>SUM(D10:D22)</f>
        <v>192</v>
      </c>
      <c r="E23" s="14">
        <f>SUM(E10:E22)</f>
        <v>192</v>
      </c>
      <c r="I23" s="14">
        <v>0</v>
      </c>
      <c r="J23" s="14">
        <v>278</v>
      </c>
      <c r="K23" s="14" t="str">
        <v>A</v>
      </c>
      <c r="L23" s="14" t="str">
        <v>E</v>
      </c>
      <c r="M23" s="14" t="str">
        <v>B</v>
      </c>
      <c r="N23" s="14" t="str">
        <v>F</v>
      </c>
    </row>
    <row r="24" spans="1:14" x14ac:dyDescent="0.25">
      <c r="I24" s="14">
        <v>0</v>
      </c>
      <c r="J24" s="14">
        <v>292</v>
      </c>
      <c r="K24" s="14" t="str">
        <v>A</v>
      </c>
      <c r="L24" s="14" t="str">
        <v>E</v>
      </c>
      <c r="M24" s="14" t="str">
        <v>C</v>
      </c>
      <c r="N24" s="14" t="str">
        <v>G</v>
      </c>
    </row>
    <row r="25" spans="1:14" x14ac:dyDescent="0.25">
      <c r="I25" s="14">
        <v>0</v>
      </c>
      <c r="J25" s="14">
        <v>306</v>
      </c>
      <c r="K25" s="14" t="str">
        <v>A</v>
      </c>
      <c r="L25" s="14" t="str">
        <v>E</v>
      </c>
      <c r="M25" s="14" t="str">
        <v>D</v>
      </c>
      <c r="N25" s="14" t="str">
        <v>H</v>
      </c>
    </row>
    <row r="26" spans="1:14" x14ac:dyDescent="0.25">
      <c r="I26" s="14">
        <v>0</v>
      </c>
      <c r="J26" s="14">
        <v>320</v>
      </c>
      <c r="K26" s="14" t="str">
        <v>A</v>
      </c>
      <c r="L26" s="14" t="str">
        <v>E</v>
      </c>
      <c r="M26" s="14" t="str">
        <v>E</v>
      </c>
      <c r="N26" s="14" t="str">
        <v>I</v>
      </c>
    </row>
    <row r="27" spans="1:14" x14ac:dyDescent="0.25">
      <c r="I27" s="14">
        <v>0</v>
      </c>
      <c r="J27" s="14">
        <v>326</v>
      </c>
      <c r="K27" s="14" t="str">
        <v>B</v>
      </c>
      <c r="L27" s="14" t="str">
        <v>A</v>
      </c>
      <c r="M27" s="14" t="str">
        <v>A</v>
      </c>
      <c r="N27" s="14" t="str">
        <v>B</v>
      </c>
    </row>
    <row r="28" spans="1:14" x14ac:dyDescent="0.25">
      <c r="I28" s="14">
        <v>0</v>
      </c>
      <c r="J28" s="14">
        <v>340</v>
      </c>
      <c r="K28" s="14" t="str">
        <v>B</v>
      </c>
      <c r="L28" s="14" t="str">
        <v>A</v>
      </c>
      <c r="M28" s="14" t="str">
        <v>B</v>
      </c>
      <c r="N28" s="14" t="str">
        <v>C</v>
      </c>
    </row>
    <row r="29" spans="1:14" x14ac:dyDescent="0.25">
      <c r="I29" s="14">
        <v>0</v>
      </c>
      <c r="J29" s="14">
        <v>354</v>
      </c>
      <c r="K29" s="14" t="str">
        <v>B</v>
      </c>
      <c r="L29" s="14" t="str">
        <v>A</v>
      </c>
      <c r="M29" s="14" t="str">
        <v>C</v>
      </c>
      <c r="N29" s="14" t="str">
        <v>D</v>
      </c>
    </row>
    <row r="30" spans="1:14" x14ac:dyDescent="0.25">
      <c r="I30" s="14">
        <v>0</v>
      </c>
      <c r="J30" s="14">
        <v>368</v>
      </c>
      <c r="K30" s="14" t="str">
        <v>B</v>
      </c>
      <c r="L30" s="14" t="str">
        <v>A</v>
      </c>
      <c r="M30" s="14" t="str">
        <v>D</v>
      </c>
      <c r="N30" s="14" t="str">
        <v>E</v>
      </c>
    </row>
    <row r="31" spans="1:14" x14ac:dyDescent="0.25">
      <c r="I31" s="14">
        <v>0</v>
      </c>
      <c r="J31" s="14">
        <v>382</v>
      </c>
      <c r="K31" s="14" t="str">
        <v>B</v>
      </c>
      <c r="L31" s="14" t="str">
        <v>A</v>
      </c>
      <c r="M31" s="14" t="str">
        <v>E</v>
      </c>
      <c r="N31" s="14" t="str">
        <v>F</v>
      </c>
    </row>
    <row r="32" spans="1:14" x14ac:dyDescent="0.25">
      <c r="I32" s="14">
        <v>0</v>
      </c>
      <c r="J32" s="14">
        <v>392</v>
      </c>
      <c r="K32" s="14" t="str">
        <v>B</v>
      </c>
      <c r="L32" s="14" t="str">
        <v>B</v>
      </c>
      <c r="M32" s="14" t="str">
        <v>A</v>
      </c>
      <c r="N32" s="14" t="str">
        <v>C</v>
      </c>
    </row>
    <row r="33" spans="9:14" x14ac:dyDescent="0.25">
      <c r="I33" s="14">
        <v>28</v>
      </c>
      <c r="J33" s="14">
        <v>406</v>
      </c>
      <c r="K33" s="14" t="str">
        <v>B</v>
      </c>
      <c r="L33" s="14" t="str">
        <v>B</v>
      </c>
      <c r="M33" s="14" t="str">
        <v>B</v>
      </c>
      <c r="N33" s="14" t="str">
        <v>D</v>
      </c>
    </row>
    <row r="34" spans="9:14" x14ac:dyDescent="0.25">
      <c r="I34" s="14">
        <v>0</v>
      </c>
      <c r="J34" s="14">
        <v>420</v>
      </c>
      <c r="K34" s="14" t="str">
        <v>B</v>
      </c>
      <c r="L34" s="14" t="str">
        <v>B</v>
      </c>
      <c r="M34" s="14" t="str">
        <v>C</v>
      </c>
      <c r="N34" s="14" t="str">
        <v>E</v>
      </c>
    </row>
    <row r="35" spans="9:14" x14ac:dyDescent="0.25">
      <c r="I35" s="14">
        <v>0</v>
      </c>
      <c r="J35" s="14">
        <v>434</v>
      </c>
      <c r="K35" s="14" t="str">
        <v>B</v>
      </c>
      <c r="L35" s="14" t="str">
        <v>B</v>
      </c>
      <c r="M35" s="14" t="str">
        <v>D</v>
      </c>
      <c r="N35" s="14" t="str">
        <v>F</v>
      </c>
    </row>
    <row r="36" spans="9:14" x14ac:dyDescent="0.25">
      <c r="I36" s="14">
        <v>0</v>
      </c>
      <c r="J36" s="14">
        <v>448</v>
      </c>
      <c r="K36" s="14" t="str">
        <v>B</v>
      </c>
      <c r="L36" s="14" t="str">
        <v>B</v>
      </c>
      <c r="M36" s="14" t="str">
        <v>E</v>
      </c>
      <c r="N36" s="14" t="str">
        <v>G</v>
      </c>
    </row>
    <row r="37" spans="9:14" x14ac:dyDescent="0.25">
      <c r="I37" s="14">
        <v>0</v>
      </c>
      <c r="J37" s="14">
        <v>458</v>
      </c>
      <c r="K37" s="14" t="str">
        <v>B</v>
      </c>
      <c r="L37" s="14" t="str">
        <v>C</v>
      </c>
      <c r="M37" s="14" t="str">
        <v>A</v>
      </c>
      <c r="N37" s="14" t="str">
        <v>D</v>
      </c>
    </row>
    <row r="38" spans="9:14" x14ac:dyDescent="0.25">
      <c r="I38" s="14">
        <v>0</v>
      </c>
      <c r="J38" s="14">
        <v>472</v>
      </c>
      <c r="K38" s="14" t="str">
        <v>B</v>
      </c>
      <c r="L38" s="14" t="str">
        <v>C</v>
      </c>
      <c r="M38" s="14" t="str">
        <v>B</v>
      </c>
      <c r="N38" s="14" t="str">
        <v>E</v>
      </c>
    </row>
    <row r="39" spans="9:14" x14ac:dyDescent="0.25">
      <c r="I39" s="14">
        <v>0</v>
      </c>
      <c r="J39" s="14">
        <v>486</v>
      </c>
      <c r="K39" s="14" t="str">
        <v>B</v>
      </c>
      <c r="L39" s="14" t="str">
        <v>C</v>
      </c>
      <c r="M39" s="14" t="str">
        <v>C</v>
      </c>
      <c r="N39" s="14" t="str">
        <v>F</v>
      </c>
    </row>
    <row r="40" spans="9:14" x14ac:dyDescent="0.25">
      <c r="I40" s="14">
        <v>0</v>
      </c>
      <c r="J40" s="14">
        <v>500</v>
      </c>
      <c r="K40" s="14" t="str">
        <v>B</v>
      </c>
      <c r="L40" s="14" t="str">
        <v>C</v>
      </c>
      <c r="M40" s="14" t="str">
        <v>D</v>
      </c>
      <c r="N40" s="14" t="str">
        <v>G</v>
      </c>
    </row>
    <row r="41" spans="9:14" x14ac:dyDescent="0.25">
      <c r="I41" s="14">
        <v>0</v>
      </c>
      <c r="J41" s="14">
        <v>514</v>
      </c>
      <c r="K41" s="14" t="str">
        <v>B</v>
      </c>
      <c r="L41" s="14" t="str">
        <v>C</v>
      </c>
      <c r="M41" s="14" t="str">
        <v>E</v>
      </c>
      <c r="N41" s="14" t="str">
        <v>H</v>
      </c>
    </row>
    <row r="42" spans="9:14" x14ac:dyDescent="0.25">
      <c r="I42" s="14">
        <v>0</v>
      </c>
      <c r="J42" s="14">
        <v>524</v>
      </c>
      <c r="K42" s="14" t="str">
        <v>B</v>
      </c>
      <c r="L42" s="14" t="str">
        <v>D</v>
      </c>
      <c r="M42" s="14" t="str">
        <v>A</v>
      </c>
      <c r="N42" s="14" t="str">
        <v>E</v>
      </c>
    </row>
    <row r="43" spans="9:14" x14ac:dyDescent="0.25">
      <c r="I43" s="14">
        <v>0</v>
      </c>
      <c r="J43" s="14">
        <v>538</v>
      </c>
      <c r="K43" s="14" t="str">
        <v>B</v>
      </c>
      <c r="L43" s="14" t="str">
        <v>D</v>
      </c>
      <c r="M43" s="14" t="str">
        <v>B</v>
      </c>
      <c r="N43" s="14" t="str">
        <v>F</v>
      </c>
    </row>
    <row r="44" spans="9:14" x14ac:dyDescent="0.25">
      <c r="I44" s="14">
        <v>0</v>
      </c>
      <c r="J44" s="14">
        <v>552</v>
      </c>
      <c r="K44" s="14" t="str">
        <v>B</v>
      </c>
      <c r="L44" s="14" t="str">
        <v>D</v>
      </c>
      <c r="M44" s="14" t="str">
        <v>C</v>
      </c>
      <c r="N44" s="14" t="str">
        <v>G</v>
      </c>
    </row>
    <row r="45" spans="9:14" x14ac:dyDescent="0.25">
      <c r="I45" s="14">
        <v>0</v>
      </c>
      <c r="J45" s="14">
        <v>566</v>
      </c>
      <c r="K45" s="14" t="str">
        <v>B</v>
      </c>
      <c r="L45" s="14" t="str">
        <v>D</v>
      </c>
      <c r="M45" s="14" t="str">
        <v>D</v>
      </c>
      <c r="N45" s="14" t="str">
        <v>H</v>
      </c>
    </row>
    <row r="46" spans="9:14" x14ac:dyDescent="0.25">
      <c r="I46" s="14">
        <v>0</v>
      </c>
      <c r="J46" s="14">
        <v>580</v>
      </c>
      <c r="K46" s="14" t="str">
        <v>B</v>
      </c>
      <c r="L46" s="14" t="str">
        <v>D</v>
      </c>
      <c r="M46" s="14" t="str">
        <v>E</v>
      </c>
      <c r="N46" s="14" t="str">
        <v>I</v>
      </c>
    </row>
    <row r="47" spans="9:14" x14ac:dyDescent="0.25">
      <c r="I47" s="14">
        <v>0</v>
      </c>
      <c r="J47" s="14">
        <v>590</v>
      </c>
      <c r="K47" s="14" t="str">
        <v>B</v>
      </c>
      <c r="L47" s="14" t="str">
        <v>E</v>
      </c>
      <c r="M47" s="14" t="str">
        <v>A</v>
      </c>
      <c r="N47" s="14" t="str">
        <v>F</v>
      </c>
    </row>
    <row r="48" spans="9:14" x14ac:dyDescent="0.25">
      <c r="I48" s="14">
        <v>0</v>
      </c>
      <c r="J48" s="14">
        <v>604</v>
      </c>
      <c r="K48" s="14" t="str">
        <v>B</v>
      </c>
      <c r="L48" s="14" t="str">
        <v>E</v>
      </c>
      <c r="M48" s="14" t="str">
        <v>B</v>
      </c>
      <c r="N48" s="14" t="str">
        <v>G</v>
      </c>
    </row>
    <row r="49" spans="9:14" x14ac:dyDescent="0.25">
      <c r="I49" s="14">
        <v>0</v>
      </c>
      <c r="J49" s="14">
        <v>618</v>
      </c>
      <c r="K49" s="14" t="str">
        <v>B</v>
      </c>
      <c r="L49" s="14" t="str">
        <v>E</v>
      </c>
      <c r="M49" s="14" t="str">
        <v>C</v>
      </c>
      <c r="N49" s="14" t="str">
        <v>H</v>
      </c>
    </row>
    <row r="50" spans="9:14" x14ac:dyDescent="0.25">
      <c r="I50" s="14">
        <v>0</v>
      </c>
      <c r="J50" s="14">
        <v>632</v>
      </c>
      <c r="K50" s="14" t="str">
        <v>B</v>
      </c>
      <c r="L50" s="14" t="str">
        <v>E</v>
      </c>
      <c r="M50" s="14" t="str">
        <v>D</v>
      </c>
      <c r="N50" s="14" t="str">
        <v>I</v>
      </c>
    </row>
    <row r="51" spans="9:14" x14ac:dyDescent="0.25">
      <c r="I51" s="14">
        <v>0</v>
      </c>
      <c r="J51" s="14">
        <v>646</v>
      </c>
      <c r="K51" s="14" t="str">
        <v>B</v>
      </c>
      <c r="L51" s="14" t="str">
        <v>E</v>
      </c>
      <c r="M51" s="14" t="str">
        <v>E</v>
      </c>
      <c r="N51" s="14" t="str">
        <v>J</v>
      </c>
    </row>
    <row r="52" spans="9:14" x14ac:dyDescent="0.25">
      <c r="I52" s="14">
        <v>0</v>
      </c>
      <c r="J52" s="14">
        <v>652</v>
      </c>
      <c r="K52" s="14" t="str">
        <v>C</v>
      </c>
      <c r="L52" s="14" t="str">
        <v>A</v>
      </c>
      <c r="M52" s="14" t="str">
        <v>A</v>
      </c>
      <c r="N52" s="14" t="str">
        <v>C</v>
      </c>
    </row>
    <row r="53" spans="9:14" x14ac:dyDescent="0.25">
      <c r="I53" s="14">
        <v>0</v>
      </c>
      <c r="J53" s="14">
        <v>666</v>
      </c>
      <c r="K53" s="14" t="str">
        <v>C</v>
      </c>
      <c r="L53" s="14" t="str">
        <v>A</v>
      </c>
      <c r="M53" s="14" t="str">
        <v>B</v>
      </c>
      <c r="N53" s="14" t="str">
        <v>D</v>
      </c>
    </row>
    <row r="54" spans="9:14" x14ac:dyDescent="0.25">
      <c r="I54" s="14">
        <v>0</v>
      </c>
      <c r="J54" s="14">
        <v>680</v>
      </c>
      <c r="K54" s="14" t="str">
        <v>C</v>
      </c>
      <c r="L54" s="14" t="str">
        <v>A</v>
      </c>
      <c r="M54" s="14" t="str">
        <v>C</v>
      </c>
      <c r="N54" s="14" t="str">
        <v>E</v>
      </c>
    </row>
    <row r="55" spans="9:14" x14ac:dyDescent="0.25">
      <c r="I55" s="14">
        <v>0</v>
      </c>
      <c r="J55" s="14">
        <v>694</v>
      </c>
      <c r="K55" s="14" t="str">
        <v>C</v>
      </c>
      <c r="L55" s="14" t="str">
        <v>A</v>
      </c>
      <c r="M55" s="14" t="str">
        <v>D</v>
      </c>
      <c r="N55" s="14" t="str">
        <v>F</v>
      </c>
    </row>
    <row r="56" spans="9:14" x14ac:dyDescent="0.25">
      <c r="I56" s="14">
        <v>0</v>
      </c>
      <c r="J56" s="14">
        <v>708</v>
      </c>
      <c r="K56" s="14" t="str">
        <v>C</v>
      </c>
      <c r="L56" s="14" t="str">
        <v>A</v>
      </c>
      <c r="M56" s="14" t="str">
        <v>E</v>
      </c>
      <c r="N56" s="14" t="str">
        <v>G</v>
      </c>
    </row>
    <row r="57" spans="9:14" x14ac:dyDescent="0.25">
      <c r="I57" s="14">
        <v>0</v>
      </c>
      <c r="J57" s="14">
        <v>718</v>
      </c>
      <c r="K57" s="14" t="str">
        <v>C</v>
      </c>
      <c r="L57" s="14" t="str">
        <v>B</v>
      </c>
      <c r="M57" s="14" t="str">
        <v>A</v>
      </c>
      <c r="N57" s="14" t="str">
        <v>D</v>
      </c>
    </row>
    <row r="58" spans="9:14" x14ac:dyDescent="0.25">
      <c r="I58" s="14">
        <v>44</v>
      </c>
      <c r="J58" s="14">
        <v>732</v>
      </c>
      <c r="K58" s="14" t="str">
        <v>C</v>
      </c>
      <c r="L58" s="14" t="str">
        <v>B</v>
      </c>
      <c r="M58" s="14" t="str">
        <v>B</v>
      </c>
      <c r="N58" s="14" t="str">
        <v>E</v>
      </c>
    </row>
    <row r="59" spans="9:14" x14ac:dyDescent="0.25">
      <c r="I59" s="14">
        <v>0</v>
      </c>
      <c r="J59" s="14">
        <v>746</v>
      </c>
      <c r="K59" s="14" t="str">
        <v>C</v>
      </c>
      <c r="L59" s="14" t="str">
        <v>B</v>
      </c>
      <c r="M59" s="14" t="str">
        <v>C</v>
      </c>
      <c r="N59" s="14" t="str">
        <v>F</v>
      </c>
    </row>
    <row r="60" spans="9:14" x14ac:dyDescent="0.25">
      <c r="I60" s="14">
        <v>0</v>
      </c>
      <c r="J60" s="14">
        <v>760</v>
      </c>
      <c r="K60" s="14" t="str">
        <v>C</v>
      </c>
      <c r="L60" s="14" t="str">
        <v>B</v>
      </c>
      <c r="M60" s="14" t="str">
        <v>D</v>
      </c>
      <c r="N60" s="14" t="str">
        <v>G</v>
      </c>
    </row>
    <row r="61" spans="9:14" x14ac:dyDescent="0.25">
      <c r="I61" s="14">
        <v>0</v>
      </c>
      <c r="J61" s="14">
        <v>774</v>
      </c>
      <c r="K61" s="14" t="str">
        <v>C</v>
      </c>
      <c r="L61" s="14" t="str">
        <v>B</v>
      </c>
      <c r="M61" s="14" t="str">
        <v>E</v>
      </c>
      <c r="N61" s="14" t="str">
        <v>H</v>
      </c>
    </row>
    <row r="62" spans="9:14" x14ac:dyDescent="0.25">
      <c r="I62" s="14">
        <v>0</v>
      </c>
      <c r="J62" s="14">
        <v>784</v>
      </c>
      <c r="K62" s="14" t="str">
        <v>C</v>
      </c>
      <c r="L62" s="14" t="str">
        <v>C</v>
      </c>
      <c r="M62" s="14" t="str">
        <v>A</v>
      </c>
      <c r="N62" s="14" t="str">
        <v>E</v>
      </c>
    </row>
    <row r="63" spans="9:14" x14ac:dyDescent="0.25">
      <c r="I63" s="14">
        <v>0</v>
      </c>
      <c r="J63" s="14">
        <v>798</v>
      </c>
      <c r="K63" s="14" t="str">
        <v>C</v>
      </c>
      <c r="L63" s="14" t="str">
        <v>C</v>
      </c>
      <c r="M63" s="14" t="str">
        <v>B</v>
      </c>
      <c r="N63" s="14" t="str">
        <v>F</v>
      </c>
    </row>
    <row r="64" spans="9:14" x14ac:dyDescent="0.25">
      <c r="I64" s="14">
        <v>0</v>
      </c>
      <c r="J64" s="14">
        <v>812</v>
      </c>
      <c r="K64" s="14" t="str">
        <v>C</v>
      </c>
      <c r="L64" s="14" t="str">
        <v>C</v>
      </c>
      <c r="M64" s="14" t="str">
        <v>C</v>
      </c>
      <c r="N64" s="14" t="str">
        <v>G</v>
      </c>
    </row>
    <row r="65" spans="9:14" x14ac:dyDescent="0.25">
      <c r="I65" s="14">
        <v>0</v>
      </c>
      <c r="J65" s="14">
        <v>826</v>
      </c>
      <c r="K65" s="14" t="str">
        <v>C</v>
      </c>
      <c r="L65" s="14" t="str">
        <v>C</v>
      </c>
      <c r="M65" s="14" t="str">
        <v>D</v>
      </c>
      <c r="N65" s="14" t="str">
        <v>H</v>
      </c>
    </row>
    <row r="66" spans="9:14" x14ac:dyDescent="0.25">
      <c r="I66" s="14">
        <v>0</v>
      </c>
      <c r="J66" s="14">
        <v>840</v>
      </c>
      <c r="K66" s="14" t="str">
        <v>C</v>
      </c>
      <c r="L66" s="14" t="str">
        <v>C</v>
      </c>
      <c r="M66" s="14" t="str">
        <v>E</v>
      </c>
      <c r="N66" s="14" t="str">
        <v>I</v>
      </c>
    </row>
    <row r="67" spans="9:14" x14ac:dyDescent="0.25">
      <c r="I67" s="14">
        <v>0</v>
      </c>
      <c r="J67" s="14">
        <v>850</v>
      </c>
      <c r="K67" s="14" t="str">
        <v>C</v>
      </c>
      <c r="L67" s="14" t="str">
        <v>D</v>
      </c>
      <c r="M67" s="14" t="str">
        <v>A</v>
      </c>
      <c r="N67" s="14" t="str">
        <v>F</v>
      </c>
    </row>
    <row r="68" spans="9:14" x14ac:dyDescent="0.25">
      <c r="I68" s="14">
        <v>0</v>
      </c>
      <c r="J68" s="14">
        <v>864</v>
      </c>
      <c r="K68" s="14" t="str">
        <v>C</v>
      </c>
      <c r="L68" s="14" t="str">
        <v>D</v>
      </c>
      <c r="M68" s="14" t="str">
        <v>B</v>
      </c>
      <c r="N68" s="14" t="str">
        <v>G</v>
      </c>
    </row>
    <row r="69" spans="9:14" x14ac:dyDescent="0.25">
      <c r="I69" s="14">
        <v>0</v>
      </c>
      <c r="J69" s="14">
        <v>878</v>
      </c>
      <c r="K69" s="14" t="str">
        <v>C</v>
      </c>
      <c r="L69" s="14" t="str">
        <v>D</v>
      </c>
      <c r="M69" s="14" t="str">
        <v>C</v>
      </c>
      <c r="N69" s="14" t="str">
        <v>H</v>
      </c>
    </row>
    <row r="70" spans="9:14" x14ac:dyDescent="0.25">
      <c r="I70" s="14">
        <v>0</v>
      </c>
      <c r="J70" s="14">
        <v>892</v>
      </c>
      <c r="K70" s="14" t="str">
        <v>C</v>
      </c>
      <c r="L70" s="14" t="str">
        <v>D</v>
      </c>
      <c r="M70" s="14" t="str">
        <v>D</v>
      </c>
      <c r="N70" s="14" t="str">
        <v>I</v>
      </c>
    </row>
    <row r="71" spans="9:14" x14ac:dyDescent="0.25">
      <c r="I71" s="14">
        <v>0</v>
      </c>
      <c r="J71" s="14">
        <v>906</v>
      </c>
      <c r="K71" s="14" t="str">
        <v>C</v>
      </c>
      <c r="L71" s="14" t="str">
        <v>D</v>
      </c>
      <c r="M71" s="14" t="str">
        <v>E</v>
      </c>
      <c r="N71" s="14" t="str">
        <v>J</v>
      </c>
    </row>
    <row r="72" spans="9:14" x14ac:dyDescent="0.25">
      <c r="I72" s="14">
        <v>0</v>
      </c>
      <c r="J72" s="14">
        <v>916</v>
      </c>
      <c r="K72" s="14" t="str">
        <v>C</v>
      </c>
      <c r="L72" s="14" t="str">
        <v>E</v>
      </c>
      <c r="M72" s="14" t="str">
        <v>A</v>
      </c>
      <c r="N72" s="14" t="str">
        <v>G</v>
      </c>
    </row>
    <row r="73" spans="9:14" x14ac:dyDescent="0.25">
      <c r="I73" s="14">
        <v>0</v>
      </c>
      <c r="J73" s="14">
        <v>930</v>
      </c>
      <c r="K73" s="14" t="str">
        <v>C</v>
      </c>
      <c r="L73" s="14" t="str">
        <v>E</v>
      </c>
      <c r="M73" s="14" t="str">
        <v>B</v>
      </c>
      <c r="N73" s="14" t="str">
        <v>H</v>
      </c>
    </row>
    <row r="74" spans="9:14" x14ac:dyDescent="0.25">
      <c r="I74" s="14">
        <v>0</v>
      </c>
      <c r="J74" s="14">
        <v>944</v>
      </c>
      <c r="K74" s="14" t="str">
        <v>C</v>
      </c>
      <c r="L74" s="14" t="str">
        <v>E</v>
      </c>
      <c r="M74" s="14" t="str">
        <v>C</v>
      </c>
      <c r="N74" s="14" t="str">
        <v>I</v>
      </c>
    </row>
    <row r="75" spans="9:14" x14ac:dyDescent="0.25">
      <c r="I75" s="14">
        <v>0</v>
      </c>
      <c r="J75" s="14">
        <v>958</v>
      </c>
      <c r="K75" s="14" t="str">
        <v>C</v>
      </c>
      <c r="L75" s="14" t="str">
        <v>E</v>
      </c>
      <c r="M75" s="14" t="str">
        <v>D</v>
      </c>
      <c r="N75" s="14" t="str">
        <v>J</v>
      </c>
    </row>
    <row r="76" spans="9:14" x14ac:dyDescent="0.25">
      <c r="I76" s="14">
        <v>0</v>
      </c>
      <c r="J76" s="14">
        <v>972</v>
      </c>
      <c r="K76" s="14" t="str">
        <v>C</v>
      </c>
      <c r="L76" s="14" t="str">
        <v>E</v>
      </c>
      <c r="M76" s="14" t="str">
        <v>E</v>
      </c>
      <c r="N76" s="14" t="str">
        <v>K</v>
      </c>
    </row>
    <row r="77" spans="9:14" x14ac:dyDescent="0.25">
      <c r="I77" s="14">
        <v>0</v>
      </c>
      <c r="J77" s="14">
        <v>978</v>
      </c>
      <c r="K77" s="14" t="str">
        <v>D</v>
      </c>
      <c r="L77" s="14" t="str">
        <v>A</v>
      </c>
      <c r="M77" s="14" t="str">
        <v>A</v>
      </c>
      <c r="N77" s="14" t="str">
        <v>D</v>
      </c>
    </row>
    <row r="78" spans="9:14" x14ac:dyDescent="0.25">
      <c r="I78" s="14">
        <v>0</v>
      </c>
      <c r="J78" s="14">
        <v>992</v>
      </c>
      <c r="K78" s="14" t="str">
        <v>D</v>
      </c>
      <c r="L78" s="14" t="str">
        <v>A</v>
      </c>
      <c r="M78" s="14" t="str">
        <v>B</v>
      </c>
      <c r="N78" s="14" t="str">
        <v>E</v>
      </c>
    </row>
    <row r="79" spans="9:14" x14ac:dyDescent="0.25">
      <c r="I79" s="14">
        <v>0</v>
      </c>
      <c r="J79" s="14">
        <v>1006</v>
      </c>
      <c r="K79" s="14" t="str">
        <v>D</v>
      </c>
      <c r="L79" s="14" t="str">
        <v>A</v>
      </c>
      <c r="M79" s="14" t="str">
        <v>C</v>
      </c>
      <c r="N79" s="14" t="str">
        <v>F</v>
      </c>
    </row>
    <row r="80" spans="9:14" x14ac:dyDescent="0.25">
      <c r="I80" s="14">
        <v>0</v>
      </c>
      <c r="J80" s="14">
        <v>1020</v>
      </c>
      <c r="K80" s="14" t="str">
        <v>D</v>
      </c>
      <c r="L80" s="14" t="str">
        <v>A</v>
      </c>
      <c r="M80" s="14" t="str">
        <v>D</v>
      </c>
      <c r="N80" s="14" t="str">
        <v>G</v>
      </c>
    </row>
    <row r="81" spans="9:14" x14ac:dyDescent="0.25">
      <c r="I81" s="14">
        <v>0</v>
      </c>
      <c r="J81" s="14">
        <v>1034</v>
      </c>
      <c r="K81" s="14" t="str">
        <v>D</v>
      </c>
      <c r="L81" s="14" t="str">
        <v>A</v>
      </c>
      <c r="M81" s="14" t="str">
        <v>E</v>
      </c>
      <c r="N81" s="14" t="str">
        <v>H</v>
      </c>
    </row>
    <row r="82" spans="9:14" x14ac:dyDescent="0.25">
      <c r="I82" s="14">
        <v>0</v>
      </c>
      <c r="J82" s="14">
        <v>1044</v>
      </c>
      <c r="K82" s="14" t="str">
        <v>D</v>
      </c>
      <c r="L82" s="14" t="str">
        <v>B</v>
      </c>
      <c r="M82" s="14" t="str">
        <v>A</v>
      </c>
      <c r="N82" s="14" t="str">
        <v>E</v>
      </c>
    </row>
    <row r="83" spans="9:14" x14ac:dyDescent="0.25">
      <c r="I83" s="14">
        <v>41</v>
      </c>
      <c r="J83" s="14">
        <v>1058</v>
      </c>
      <c r="K83" s="14" t="str">
        <v>D</v>
      </c>
      <c r="L83" s="14" t="str">
        <v>B</v>
      </c>
      <c r="M83" s="14" t="str">
        <v>B</v>
      </c>
      <c r="N83" s="14" t="str">
        <v>F</v>
      </c>
    </row>
    <row r="84" spans="9:14" x14ac:dyDescent="0.25">
      <c r="I84" s="14">
        <v>0</v>
      </c>
      <c r="J84" s="14">
        <v>1072</v>
      </c>
      <c r="K84" s="14" t="str">
        <v>D</v>
      </c>
      <c r="L84" s="14" t="str">
        <v>B</v>
      </c>
      <c r="M84" s="14" t="str">
        <v>C</v>
      </c>
      <c r="N84" s="14" t="str">
        <v>G</v>
      </c>
    </row>
    <row r="85" spans="9:14" x14ac:dyDescent="0.25">
      <c r="I85" s="14">
        <v>0</v>
      </c>
      <c r="J85" s="14">
        <v>1086</v>
      </c>
      <c r="K85" s="14" t="str">
        <v>D</v>
      </c>
      <c r="L85" s="14" t="str">
        <v>B</v>
      </c>
      <c r="M85" s="14" t="str">
        <v>D</v>
      </c>
      <c r="N85" s="14" t="str">
        <v>H</v>
      </c>
    </row>
    <row r="86" spans="9:14" x14ac:dyDescent="0.25">
      <c r="I86" s="14">
        <v>0</v>
      </c>
      <c r="J86" s="14">
        <v>1100</v>
      </c>
      <c r="K86" s="14" t="str">
        <v>D</v>
      </c>
      <c r="L86" s="14" t="str">
        <v>B</v>
      </c>
      <c r="M86" s="14" t="str">
        <v>E</v>
      </c>
      <c r="N86" s="14" t="str">
        <v>I</v>
      </c>
    </row>
    <row r="87" spans="9:14" x14ac:dyDescent="0.25">
      <c r="I87" s="14">
        <v>0</v>
      </c>
      <c r="J87" s="14">
        <v>1110</v>
      </c>
      <c r="K87" s="14" t="str">
        <v>D</v>
      </c>
      <c r="L87" s="14" t="str">
        <v>C</v>
      </c>
      <c r="M87" s="14" t="str">
        <v>A</v>
      </c>
      <c r="N87" s="14" t="str">
        <v>F</v>
      </c>
    </row>
    <row r="88" spans="9:14" x14ac:dyDescent="0.25">
      <c r="I88" s="14">
        <v>0</v>
      </c>
      <c r="J88" s="14">
        <v>1124</v>
      </c>
      <c r="K88" s="14" t="str">
        <v>D</v>
      </c>
      <c r="L88" s="14" t="str">
        <v>C</v>
      </c>
      <c r="M88" s="14" t="str">
        <v>B</v>
      </c>
      <c r="N88" s="14" t="str">
        <v>G</v>
      </c>
    </row>
    <row r="89" spans="9:14" x14ac:dyDescent="0.25">
      <c r="I89" s="14">
        <v>0</v>
      </c>
      <c r="J89" s="14">
        <v>1138</v>
      </c>
      <c r="K89" s="14" t="str">
        <v>D</v>
      </c>
      <c r="L89" s="14" t="str">
        <v>C</v>
      </c>
      <c r="M89" s="14" t="str">
        <v>C</v>
      </c>
      <c r="N89" s="14" t="str">
        <v>H</v>
      </c>
    </row>
    <row r="90" spans="9:14" x14ac:dyDescent="0.25">
      <c r="I90" s="14">
        <v>0</v>
      </c>
      <c r="J90" s="14">
        <v>1152</v>
      </c>
      <c r="K90" s="14" t="str">
        <v>D</v>
      </c>
      <c r="L90" s="14" t="str">
        <v>C</v>
      </c>
      <c r="M90" s="14" t="str">
        <v>D</v>
      </c>
      <c r="N90" s="14" t="str">
        <v>I</v>
      </c>
    </row>
    <row r="91" spans="9:14" x14ac:dyDescent="0.25">
      <c r="I91" s="14">
        <v>0</v>
      </c>
      <c r="J91" s="14">
        <v>1166</v>
      </c>
      <c r="K91" s="14" t="str">
        <v>D</v>
      </c>
      <c r="L91" s="14" t="str">
        <v>C</v>
      </c>
      <c r="M91" s="14" t="str">
        <v>E</v>
      </c>
      <c r="N91" s="14" t="str">
        <v>J</v>
      </c>
    </row>
    <row r="92" spans="9:14" x14ac:dyDescent="0.25">
      <c r="I92" s="14">
        <v>0</v>
      </c>
      <c r="J92" s="14">
        <v>1176</v>
      </c>
      <c r="K92" s="14" t="str">
        <v>D</v>
      </c>
      <c r="L92" s="14" t="str">
        <v>D</v>
      </c>
      <c r="M92" s="14" t="str">
        <v>A</v>
      </c>
      <c r="N92" s="14" t="str">
        <v>G</v>
      </c>
    </row>
    <row r="93" spans="9:14" x14ac:dyDescent="0.25">
      <c r="I93" s="14">
        <v>0</v>
      </c>
      <c r="J93" s="14">
        <v>1190</v>
      </c>
      <c r="K93" s="14" t="str">
        <v>D</v>
      </c>
      <c r="L93" s="14" t="str">
        <v>D</v>
      </c>
      <c r="M93" s="14" t="str">
        <v>B</v>
      </c>
      <c r="N93" s="14" t="str">
        <v>H</v>
      </c>
    </row>
    <row r="94" spans="9:14" x14ac:dyDescent="0.25">
      <c r="I94" s="14">
        <v>0</v>
      </c>
      <c r="J94" s="14">
        <v>1204</v>
      </c>
      <c r="K94" s="14" t="str">
        <v>D</v>
      </c>
      <c r="L94" s="14" t="str">
        <v>D</v>
      </c>
      <c r="M94" s="14" t="str">
        <v>C</v>
      </c>
      <c r="N94" s="14" t="str">
        <v>I</v>
      </c>
    </row>
    <row r="95" spans="9:14" x14ac:dyDescent="0.25">
      <c r="I95" s="14">
        <v>0</v>
      </c>
      <c r="J95" s="14">
        <v>1218</v>
      </c>
      <c r="K95" s="14" t="str">
        <v>D</v>
      </c>
      <c r="L95" s="14" t="str">
        <v>D</v>
      </c>
      <c r="M95" s="14" t="str">
        <v>D</v>
      </c>
      <c r="N95" s="14" t="str">
        <v>J</v>
      </c>
    </row>
    <row r="96" spans="9:14" x14ac:dyDescent="0.25">
      <c r="I96" s="14">
        <v>0</v>
      </c>
      <c r="J96" s="14">
        <v>1232</v>
      </c>
      <c r="K96" s="14" t="str">
        <v>D</v>
      </c>
      <c r="L96" s="14" t="str">
        <v>D</v>
      </c>
      <c r="M96" s="14" t="str">
        <v>E</v>
      </c>
      <c r="N96" s="14" t="str">
        <v>K</v>
      </c>
    </row>
    <row r="97" spans="9:14" x14ac:dyDescent="0.25">
      <c r="I97" s="14">
        <v>0</v>
      </c>
      <c r="J97" s="14">
        <v>1242</v>
      </c>
      <c r="K97" s="14" t="str">
        <v>D</v>
      </c>
      <c r="L97" s="14" t="str">
        <v>E</v>
      </c>
      <c r="M97" s="14" t="str">
        <v>A</v>
      </c>
      <c r="N97" s="14" t="str">
        <v>H</v>
      </c>
    </row>
    <row r="98" spans="9:14" x14ac:dyDescent="0.25">
      <c r="I98" s="14">
        <v>0</v>
      </c>
      <c r="J98" s="14">
        <v>1256</v>
      </c>
      <c r="K98" s="14" t="str">
        <v>D</v>
      </c>
      <c r="L98" s="14" t="str">
        <v>E</v>
      </c>
      <c r="M98" s="14" t="str">
        <v>B</v>
      </c>
      <c r="N98" s="14" t="str">
        <v>I</v>
      </c>
    </row>
    <row r="99" spans="9:14" x14ac:dyDescent="0.25">
      <c r="I99" s="14">
        <v>0</v>
      </c>
      <c r="J99" s="14">
        <v>1270</v>
      </c>
      <c r="K99" s="14" t="str">
        <v>D</v>
      </c>
      <c r="L99" s="14" t="str">
        <v>E</v>
      </c>
      <c r="M99" s="14" t="str">
        <v>C</v>
      </c>
      <c r="N99" s="14" t="str">
        <v>J</v>
      </c>
    </row>
    <row r="100" spans="9:14" x14ac:dyDescent="0.25">
      <c r="I100" s="14">
        <v>0</v>
      </c>
      <c r="J100" s="14">
        <v>1284</v>
      </c>
      <c r="K100" s="14" t="str">
        <v>D</v>
      </c>
      <c r="L100" s="14" t="str">
        <v>E</v>
      </c>
      <c r="M100" s="14" t="str">
        <v>D</v>
      </c>
      <c r="N100" s="14" t="str">
        <v>K</v>
      </c>
    </row>
    <row r="101" spans="9:14" x14ac:dyDescent="0.25">
      <c r="I101" s="14">
        <v>0</v>
      </c>
      <c r="J101" s="14">
        <v>1298</v>
      </c>
      <c r="K101" s="14" t="str">
        <v>D</v>
      </c>
      <c r="L101" s="14" t="str">
        <v>E</v>
      </c>
      <c r="M101" s="14" t="str">
        <v>E</v>
      </c>
      <c r="N101" s="14" t="str">
        <v>L</v>
      </c>
    </row>
    <row r="102" spans="9:14" x14ac:dyDescent="0.25">
      <c r="I102" s="14">
        <v>0</v>
      </c>
      <c r="J102" s="14">
        <v>1304</v>
      </c>
      <c r="K102" s="14" t="str">
        <v>E</v>
      </c>
      <c r="L102" s="14" t="str">
        <v>A</v>
      </c>
      <c r="M102" s="14" t="str">
        <v>A</v>
      </c>
      <c r="N102" s="14" t="str">
        <v>E</v>
      </c>
    </row>
    <row r="103" spans="9:14" x14ac:dyDescent="0.25">
      <c r="I103" s="14">
        <v>16</v>
      </c>
      <c r="J103" s="14">
        <v>1318</v>
      </c>
      <c r="K103" s="14" t="str">
        <v>E</v>
      </c>
      <c r="L103" s="14" t="str">
        <v>A</v>
      </c>
      <c r="M103" s="14" t="str">
        <v>B</v>
      </c>
      <c r="N103" s="14" t="str">
        <v>F</v>
      </c>
    </row>
    <row r="104" spans="9:14" x14ac:dyDescent="0.25">
      <c r="I104" s="14">
        <v>0</v>
      </c>
      <c r="J104" s="14">
        <v>1332</v>
      </c>
      <c r="K104" s="14" t="str">
        <v>E</v>
      </c>
      <c r="L104" s="14" t="str">
        <v>A</v>
      </c>
      <c r="M104" s="14" t="str">
        <v>C</v>
      </c>
      <c r="N104" s="14" t="str">
        <v>G</v>
      </c>
    </row>
    <row r="105" spans="9:14" x14ac:dyDescent="0.25">
      <c r="I105" s="14">
        <v>0</v>
      </c>
      <c r="J105" s="14">
        <v>1346</v>
      </c>
      <c r="K105" s="14" t="str">
        <v>E</v>
      </c>
      <c r="L105" s="14" t="str">
        <v>A</v>
      </c>
      <c r="M105" s="14" t="str">
        <v>D</v>
      </c>
      <c r="N105" s="14" t="str">
        <v>H</v>
      </c>
    </row>
    <row r="106" spans="9:14" x14ac:dyDescent="0.25">
      <c r="I106" s="14">
        <v>0</v>
      </c>
      <c r="J106" s="14">
        <v>1360</v>
      </c>
      <c r="K106" s="14" t="str">
        <v>E</v>
      </c>
      <c r="L106" s="14" t="str">
        <v>A</v>
      </c>
      <c r="M106" s="14" t="str">
        <v>E</v>
      </c>
      <c r="N106" s="14" t="str">
        <v>I</v>
      </c>
    </row>
    <row r="107" spans="9:14" x14ac:dyDescent="0.25">
      <c r="I107" s="14">
        <v>0</v>
      </c>
      <c r="J107" s="14">
        <v>1370</v>
      </c>
      <c r="K107" s="14" t="str">
        <v>E</v>
      </c>
      <c r="L107" s="14" t="str">
        <v>B</v>
      </c>
      <c r="M107" s="14" t="str">
        <v>A</v>
      </c>
      <c r="N107" s="14" t="str">
        <v>F</v>
      </c>
    </row>
    <row r="108" spans="9:14" x14ac:dyDescent="0.25">
      <c r="I108" s="14">
        <v>22</v>
      </c>
      <c r="J108" s="14">
        <v>1384</v>
      </c>
      <c r="K108" s="14" t="str">
        <v>E</v>
      </c>
      <c r="L108" s="14" t="str">
        <v>B</v>
      </c>
      <c r="M108" s="14" t="str">
        <v>B</v>
      </c>
      <c r="N108" s="14" t="str">
        <v>G</v>
      </c>
    </row>
    <row r="109" spans="9:14" x14ac:dyDescent="0.25">
      <c r="I109" s="14">
        <v>0</v>
      </c>
      <c r="J109" s="14">
        <v>1398</v>
      </c>
      <c r="K109" s="14" t="str">
        <v>E</v>
      </c>
      <c r="L109" s="14" t="str">
        <v>B</v>
      </c>
      <c r="M109" s="14" t="str">
        <v>C</v>
      </c>
      <c r="N109" s="14" t="str">
        <v>H</v>
      </c>
    </row>
    <row r="110" spans="9:14" x14ac:dyDescent="0.25">
      <c r="I110" s="14">
        <v>0</v>
      </c>
      <c r="J110" s="14">
        <v>1412</v>
      </c>
      <c r="K110" s="14" t="str">
        <v>E</v>
      </c>
      <c r="L110" s="14" t="str">
        <v>B</v>
      </c>
      <c r="M110" s="14" t="str">
        <v>D</v>
      </c>
      <c r="N110" s="14" t="str">
        <v>I</v>
      </c>
    </row>
    <row r="111" spans="9:14" x14ac:dyDescent="0.25">
      <c r="I111" s="14">
        <v>0</v>
      </c>
      <c r="J111" s="14">
        <v>1426</v>
      </c>
      <c r="K111" s="14" t="str">
        <v>E</v>
      </c>
      <c r="L111" s="14" t="str">
        <v>B</v>
      </c>
      <c r="M111" s="14" t="str">
        <v>E</v>
      </c>
      <c r="N111" s="14" t="str">
        <v>J</v>
      </c>
    </row>
    <row r="112" spans="9:14" x14ac:dyDescent="0.25">
      <c r="I112" s="14">
        <v>0</v>
      </c>
      <c r="J112" s="14">
        <v>1436</v>
      </c>
      <c r="K112" s="14" t="str">
        <v>E</v>
      </c>
      <c r="L112" s="14" t="str">
        <v>C</v>
      </c>
      <c r="M112" s="14" t="str">
        <v>A</v>
      </c>
      <c r="N112" s="14" t="str">
        <v>G</v>
      </c>
    </row>
    <row r="113" spans="9:14" x14ac:dyDescent="0.25">
      <c r="I113" s="14">
        <v>0</v>
      </c>
      <c r="J113" s="14">
        <v>1450</v>
      </c>
      <c r="K113" s="14" t="str">
        <v>E</v>
      </c>
      <c r="L113" s="14" t="str">
        <v>C</v>
      </c>
      <c r="M113" s="14" t="str">
        <v>B</v>
      </c>
      <c r="N113" s="14" t="str">
        <v>H</v>
      </c>
    </row>
    <row r="114" spans="9:14" x14ac:dyDescent="0.25">
      <c r="I114" s="14">
        <v>0</v>
      </c>
      <c r="J114" s="14">
        <v>1464</v>
      </c>
      <c r="K114" s="14" t="str">
        <v>E</v>
      </c>
      <c r="L114" s="14" t="str">
        <v>C</v>
      </c>
      <c r="M114" s="14" t="str">
        <v>C</v>
      </c>
      <c r="N114" s="14" t="str">
        <v>I</v>
      </c>
    </row>
    <row r="115" spans="9:14" x14ac:dyDescent="0.25">
      <c r="I115" s="14">
        <v>0</v>
      </c>
      <c r="J115" s="14">
        <v>1478</v>
      </c>
      <c r="K115" s="14" t="str">
        <v>E</v>
      </c>
      <c r="L115" s="14" t="str">
        <v>C</v>
      </c>
      <c r="M115" s="14" t="str">
        <v>D</v>
      </c>
      <c r="N115" s="14" t="str">
        <v>J</v>
      </c>
    </row>
    <row r="116" spans="9:14" x14ac:dyDescent="0.25">
      <c r="I116" s="14">
        <v>0</v>
      </c>
      <c r="J116" s="14">
        <v>1492</v>
      </c>
      <c r="K116" s="14" t="str">
        <v>E</v>
      </c>
      <c r="L116" s="14" t="str">
        <v>C</v>
      </c>
      <c r="M116" s="14" t="str">
        <v>E</v>
      </c>
      <c r="N116" s="14" t="str">
        <v>K</v>
      </c>
    </row>
    <row r="117" spans="9:14" x14ac:dyDescent="0.25">
      <c r="I117" s="14">
        <v>0</v>
      </c>
      <c r="J117" s="14">
        <v>1502</v>
      </c>
      <c r="K117" s="14" t="str">
        <v>E</v>
      </c>
      <c r="L117" s="14" t="str">
        <v>D</v>
      </c>
      <c r="M117" s="14" t="str">
        <v>A</v>
      </c>
      <c r="N117" s="14" t="str">
        <v>H</v>
      </c>
    </row>
    <row r="118" spans="9:14" x14ac:dyDescent="0.25">
      <c r="I118" s="14">
        <v>0</v>
      </c>
      <c r="J118" s="14">
        <v>1516</v>
      </c>
      <c r="K118" s="14" t="str">
        <v>E</v>
      </c>
      <c r="L118" s="14" t="str">
        <v>D</v>
      </c>
      <c r="M118" s="14" t="str">
        <v>B</v>
      </c>
      <c r="N118" s="14" t="str">
        <v>I</v>
      </c>
    </row>
    <row r="119" spans="9:14" x14ac:dyDescent="0.25">
      <c r="I119" s="14">
        <v>0</v>
      </c>
      <c r="J119" s="14">
        <v>1530</v>
      </c>
      <c r="K119" s="14" t="str">
        <v>E</v>
      </c>
      <c r="L119" s="14" t="str">
        <v>D</v>
      </c>
      <c r="M119" s="14" t="str">
        <v>C</v>
      </c>
      <c r="N119" s="14" t="str">
        <v>J</v>
      </c>
    </row>
    <row r="120" spans="9:14" x14ac:dyDescent="0.25">
      <c r="I120" s="14">
        <v>0</v>
      </c>
      <c r="J120" s="14">
        <v>1544</v>
      </c>
      <c r="K120" s="14" t="str">
        <v>E</v>
      </c>
      <c r="L120" s="14" t="str">
        <v>D</v>
      </c>
      <c r="M120" s="14" t="str">
        <v>D</v>
      </c>
      <c r="N120" s="14" t="str">
        <v>K</v>
      </c>
    </row>
    <row r="121" spans="9:14" x14ac:dyDescent="0.25">
      <c r="I121" s="14">
        <v>0</v>
      </c>
      <c r="J121" s="14">
        <v>1558</v>
      </c>
      <c r="K121" s="14" t="str">
        <v>E</v>
      </c>
      <c r="L121" s="14" t="str">
        <v>D</v>
      </c>
      <c r="M121" s="14" t="str">
        <v>E</v>
      </c>
      <c r="N121" s="14" t="str">
        <v>L</v>
      </c>
    </row>
    <row r="122" spans="9:14" x14ac:dyDescent="0.25">
      <c r="I122" s="14">
        <v>0</v>
      </c>
      <c r="J122" s="14">
        <v>1568</v>
      </c>
      <c r="K122" s="14" t="str">
        <v>E</v>
      </c>
      <c r="L122" s="14" t="str">
        <v>E</v>
      </c>
      <c r="M122" s="14" t="str">
        <v>A</v>
      </c>
      <c r="N122" s="14" t="str">
        <v>I</v>
      </c>
    </row>
    <row r="123" spans="9:14" x14ac:dyDescent="0.25">
      <c r="I123" s="14">
        <v>0</v>
      </c>
      <c r="J123" s="14">
        <v>1582</v>
      </c>
      <c r="K123" s="14" t="str">
        <v>E</v>
      </c>
      <c r="L123" s="14" t="str">
        <v>E</v>
      </c>
      <c r="M123" s="14" t="str">
        <v>B</v>
      </c>
      <c r="N123" s="14" t="str">
        <v>J</v>
      </c>
    </row>
    <row r="124" spans="9:14" x14ac:dyDescent="0.25">
      <c r="I124" s="14">
        <v>0</v>
      </c>
      <c r="J124" s="14">
        <v>1596</v>
      </c>
      <c r="K124" s="14" t="str">
        <v>E</v>
      </c>
      <c r="L124" s="14" t="str">
        <v>E</v>
      </c>
      <c r="M124" s="14" t="str">
        <v>C</v>
      </c>
      <c r="N124" s="14" t="str">
        <v>K</v>
      </c>
    </row>
    <row r="125" spans="9:14" x14ac:dyDescent="0.25">
      <c r="I125" s="14">
        <v>0</v>
      </c>
      <c r="J125" s="14">
        <v>1610</v>
      </c>
      <c r="K125" s="14" t="str">
        <v>E</v>
      </c>
      <c r="L125" s="14" t="str">
        <v>E</v>
      </c>
      <c r="M125" s="14" t="str">
        <v>D</v>
      </c>
      <c r="N125" s="14" t="str">
        <v>L</v>
      </c>
    </row>
    <row r="126" spans="9:14" x14ac:dyDescent="0.25">
      <c r="I126" s="14">
        <v>0</v>
      </c>
      <c r="J126" s="14">
        <v>1624</v>
      </c>
      <c r="K126" s="14" t="str">
        <v>E</v>
      </c>
      <c r="L126" s="14" t="str">
        <v>E</v>
      </c>
      <c r="M126" s="14" t="str">
        <v>E</v>
      </c>
      <c r="N126" s="14" t="str">
        <v>M</v>
      </c>
    </row>
  </sheetData>
  <autoFilter ref="J1:N626" xr:uid="{2A857DF3-92DB-40A9-BB89-D266C93CB73F}"/>
  <mergeCells count="1">
    <mergeCell ref="A1:E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5136F-45E6-43A8-853C-6D00E2B01FC7}">
  <sheetPr codeName="Planilha7"/>
  <dimension ref="A1:N126"/>
  <sheetViews>
    <sheetView workbookViewId="0">
      <selection sqref="A1:E1"/>
    </sheetView>
  </sheetViews>
  <sheetFormatPr defaultRowHeight="15" x14ac:dyDescent="0.25"/>
  <cols>
    <col min="1" max="5" width="9.140625" style="14"/>
    <col min="6" max="6" width="12.140625" style="14" bestFit="1" customWidth="1"/>
    <col min="7" max="7" width="20" style="14" bestFit="1" customWidth="1"/>
    <col min="8" max="8" width="9.140625" style="14"/>
    <col min="9" max="9" width="20.140625" style="14" bestFit="1" customWidth="1"/>
    <col min="10" max="14" width="9.140625" style="14"/>
    <col min="15" max="18" width="9.140625" style="14" customWidth="1"/>
    <col min="19" max="16384" width="9.140625" style="14"/>
  </cols>
  <sheetData>
    <row r="1" spans="1:14" x14ac:dyDescent="0.25">
      <c r="A1" s="65" t="s">
        <v>31</v>
      </c>
      <c r="B1" s="65"/>
      <c r="C1" s="65"/>
      <c r="D1" s="65"/>
      <c r="E1" s="65"/>
      <c r="G1" s="14" t="s">
        <v>39</v>
      </c>
      <c r="I1" s="14" t="s">
        <v>37</v>
      </c>
      <c r="J1" s="14" t="s">
        <v>35</v>
      </c>
      <c r="K1" s="14" t="s">
        <v>19</v>
      </c>
      <c r="L1" s="14" t="s">
        <v>32</v>
      </c>
      <c r="M1" s="14" t="s">
        <v>33</v>
      </c>
      <c r="N1" s="14" t="s">
        <v>34</v>
      </c>
    </row>
    <row r="2" spans="1:14" x14ac:dyDescent="0.25">
      <c r="A2" s="14" t="s">
        <v>22</v>
      </c>
      <c r="B2" s="14" t="s">
        <v>19</v>
      </c>
      <c r="C2" s="14" t="s">
        <v>32</v>
      </c>
      <c r="D2" s="14" t="s">
        <v>33</v>
      </c>
      <c r="G2" s="14">
        <f>SUM(I:I)</f>
        <v>178</v>
      </c>
      <c r="I2" s="14">
        <v>0</v>
      </c>
      <c r="J2" s="14" cm="1">
        <f t="array" ref="J2:J126">_xlfn._xlws.FILTER(Tabela2[Comb],Tabela2[Status]="OK","ERRO")</f>
        <v>0</v>
      </c>
      <c r="K2" s="14" t="str" cm="1">
        <f t="array" ref="K2:K126">_xlfn._xlws.FILTER(Tabela2[OP],Tabela2[Status]="OK","ERRO")</f>
        <v>A</v>
      </c>
      <c r="L2" s="14" t="str" cm="1">
        <f t="array" ref="L2:L126">_xlfn._xlws.FILTER(Tabela2[BICO],Tabela2[Status]="OK","ERRO")</f>
        <v>A</v>
      </c>
      <c r="M2" s="14" t="str" cm="1">
        <f t="array" ref="M2:M126">_xlfn._xlws.FILTER(Tabela2[SPACER],Tabela2[Status]="OK","ERRO")</f>
        <v>A</v>
      </c>
      <c r="N2" s="14" t="str" cm="1">
        <f t="array" ref="N2:N126">_xlfn._xlws.FILTER(Tabela2[AGULHA],Tabela2[Status]="OK","ERRO")</f>
        <v>A</v>
      </c>
    </row>
    <row r="3" spans="1:14" x14ac:dyDescent="0.25">
      <c r="A3" s="14" t="s">
        <v>8</v>
      </c>
      <c r="B3" s="6">
        <f>Simluação!N31</f>
        <v>42</v>
      </c>
      <c r="C3" s="14">
        <f>'Lote 3'!C3-'Lote 3'!C10</f>
        <v>0</v>
      </c>
      <c r="D3" s="14">
        <f>'Lote 3'!D3-'Lote 3'!D10</f>
        <v>0</v>
      </c>
      <c r="G3" s="14">
        <f>G2-SUM(B3:B7)</f>
        <v>0</v>
      </c>
      <c r="I3" s="14">
        <v>0</v>
      </c>
      <c r="J3" s="14">
        <v>14</v>
      </c>
      <c r="K3" s="14" t="str">
        <v>A</v>
      </c>
      <c r="L3" s="14" t="str">
        <v>A</v>
      </c>
      <c r="M3" s="14" t="str">
        <v>B</v>
      </c>
      <c r="N3" s="14" t="str">
        <v>B</v>
      </c>
    </row>
    <row r="4" spans="1:14" x14ac:dyDescent="0.25">
      <c r="A4" s="14" t="s">
        <v>9</v>
      </c>
      <c r="B4" s="6">
        <f>Simluação!N32</f>
        <v>37</v>
      </c>
      <c r="C4" s="14">
        <f>'Lote 3'!C4-'Lote 3'!C11</f>
        <v>208</v>
      </c>
      <c r="D4" s="14">
        <f>'Lote 3'!D4-'Lote 3'!D11</f>
        <v>192</v>
      </c>
      <c r="I4" s="14">
        <v>0</v>
      </c>
      <c r="J4" s="14">
        <v>28</v>
      </c>
      <c r="K4" s="14" t="str">
        <v>A</v>
      </c>
      <c r="L4" s="14" t="str">
        <v>A</v>
      </c>
      <c r="M4" s="14" t="str">
        <v>C</v>
      </c>
      <c r="N4" s="14" t="str">
        <v>C</v>
      </c>
    </row>
    <row r="5" spans="1:14" x14ac:dyDescent="0.25">
      <c r="A5" s="14" t="s">
        <v>10</v>
      </c>
      <c r="B5" s="6">
        <f>Simluação!N33</f>
        <v>33</v>
      </c>
      <c r="C5" s="14">
        <f>'Lote 3'!C5-'Lote 3'!C12</f>
        <v>389</v>
      </c>
      <c r="D5" s="14">
        <f>'Lote 3'!D5-'Lote 3'!D12</f>
        <v>417</v>
      </c>
      <c r="I5" s="14">
        <v>0</v>
      </c>
      <c r="J5" s="14">
        <v>42</v>
      </c>
      <c r="K5" s="14" t="str">
        <v>A</v>
      </c>
      <c r="L5" s="14" t="str">
        <v>A</v>
      </c>
      <c r="M5" s="14" t="str">
        <v>D</v>
      </c>
      <c r="N5" s="14" t="str">
        <v>D</v>
      </c>
    </row>
    <row r="6" spans="1:14" x14ac:dyDescent="0.25">
      <c r="A6" s="14" t="s">
        <v>11</v>
      </c>
      <c r="B6" s="6">
        <f>Simluação!N34</f>
        <v>35</v>
      </c>
      <c r="C6" s="14">
        <f>'Lote 3'!C6-'Lote 3'!C13</f>
        <v>427</v>
      </c>
      <c r="D6" s="14">
        <f>'Lote 3'!D6-'Lote 3'!D13</f>
        <v>397</v>
      </c>
      <c r="I6" s="14">
        <v>0</v>
      </c>
      <c r="J6" s="14">
        <v>56</v>
      </c>
      <c r="K6" s="14" t="str">
        <v>A</v>
      </c>
      <c r="L6" s="14" t="str">
        <v>A</v>
      </c>
      <c r="M6" s="14" t="str">
        <v>E</v>
      </c>
      <c r="N6" s="14" t="str">
        <v>E</v>
      </c>
    </row>
    <row r="7" spans="1:14" x14ac:dyDescent="0.25">
      <c r="A7" s="14" t="s">
        <v>13</v>
      </c>
      <c r="B7" s="6">
        <f>Simluação!N35</f>
        <v>31</v>
      </c>
      <c r="C7" s="14">
        <f>'Lote 3'!C7-'Lote 3'!C14</f>
        <v>404</v>
      </c>
      <c r="D7" s="14">
        <f>'Lote 3'!D7-'Lote 3'!D14</f>
        <v>422</v>
      </c>
      <c r="I7" s="14">
        <v>0</v>
      </c>
      <c r="J7" s="14">
        <v>66</v>
      </c>
      <c r="K7" s="14" t="str">
        <v>A</v>
      </c>
      <c r="L7" s="14" t="str">
        <v>B</v>
      </c>
      <c r="M7" s="14" t="str">
        <v>A</v>
      </c>
      <c r="N7" s="14" t="str">
        <v>B</v>
      </c>
    </row>
    <row r="8" spans="1:14" x14ac:dyDescent="0.25">
      <c r="I8" s="14">
        <v>42</v>
      </c>
      <c r="J8" s="14">
        <v>80</v>
      </c>
      <c r="K8" s="14" t="str">
        <v>A</v>
      </c>
      <c r="L8" s="14" t="str">
        <v>B</v>
      </c>
      <c r="M8" s="14" t="str">
        <v>B</v>
      </c>
      <c r="N8" s="14" t="str">
        <v>C</v>
      </c>
    </row>
    <row r="9" spans="1:14" x14ac:dyDescent="0.25">
      <c r="A9" s="14" t="s">
        <v>38</v>
      </c>
      <c r="I9" s="14">
        <v>0</v>
      </c>
      <c r="J9" s="14">
        <v>94</v>
      </c>
      <c r="K9" s="14" t="str">
        <v>A</v>
      </c>
      <c r="L9" s="14" t="str">
        <v>B</v>
      </c>
      <c r="M9" s="14" t="str">
        <v>C</v>
      </c>
      <c r="N9" s="14" t="str">
        <v>D</v>
      </c>
    </row>
    <row r="10" spans="1:14" x14ac:dyDescent="0.25">
      <c r="A10" s="14" t="s">
        <v>8</v>
      </c>
      <c r="B10" s="14">
        <f t="shared" ref="B10:B22" si="0">SUMIF($K:$K,A10,$I:$I)</f>
        <v>42</v>
      </c>
      <c r="C10" s="14">
        <f t="shared" ref="C10:C22" si="1">SUMIF($L:$L,A10,$I:$I)</f>
        <v>0</v>
      </c>
      <c r="D10" s="14">
        <f t="shared" ref="D10:D22" si="2">SUMIF($M:$M,A10,$I:$I)</f>
        <v>0</v>
      </c>
      <c r="E10" s="14">
        <f t="shared" ref="E10:E22" si="3">SUMIF($N:$N,A10,$I:$I)</f>
        <v>0</v>
      </c>
      <c r="F10" s="14">
        <v>-6</v>
      </c>
      <c r="I10" s="14">
        <v>0</v>
      </c>
      <c r="J10" s="14">
        <v>108</v>
      </c>
      <c r="K10" s="14" t="str">
        <v>A</v>
      </c>
      <c r="L10" s="14" t="str">
        <v>B</v>
      </c>
      <c r="M10" s="14" t="str">
        <v>D</v>
      </c>
      <c r="N10" s="14" t="str">
        <v>E</v>
      </c>
    </row>
    <row r="11" spans="1:14" x14ac:dyDescent="0.25">
      <c r="A11" s="14" t="s">
        <v>9</v>
      </c>
      <c r="B11" s="14">
        <f t="shared" si="0"/>
        <v>37</v>
      </c>
      <c r="C11" s="14">
        <f t="shared" si="1"/>
        <v>178</v>
      </c>
      <c r="D11" s="14">
        <f t="shared" si="2"/>
        <v>178</v>
      </c>
      <c r="E11" s="14">
        <f t="shared" si="3"/>
        <v>0</v>
      </c>
      <c r="F11" s="14">
        <v>-5</v>
      </c>
      <c r="I11" s="14">
        <v>0</v>
      </c>
      <c r="J11" s="14">
        <v>122</v>
      </c>
      <c r="K11" s="14" t="str">
        <v>A</v>
      </c>
      <c r="L11" s="14" t="str">
        <v>B</v>
      </c>
      <c r="M11" s="14" t="str">
        <v>E</v>
      </c>
      <c r="N11" s="14" t="str">
        <v>F</v>
      </c>
    </row>
    <row r="12" spans="1:14" x14ac:dyDescent="0.25">
      <c r="A12" s="14" t="s">
        <v>10</v>
      </c>
      <c r="B12" s="14">
        <f t="shared" si="0"/>
        <v>33</v>
      </c>
      <c r="C12" s="14">
        <f t="shared" si="1"/>
        <v>0</v>
      </c>
      <c r="D12" s="14">
        <f t="shared" si="2"/>
        <v>0</v>
      </c>
      <c r="E12" s="14">
        <f t="shared" si="3"/>
        <v>42</v>
      </c>
      <c r="F12" s="14">
        <v>-4</v>
      </c>
      <c r="I12" s="14">
        <v>0</v>
      </c>
      <c r="J12" s="14">
        <v>132</v>
      </c>
      <c r="K12" s="14" t="str">
        <v>A</v>
      </c>
      <c r="L12" s="14" t="str">
        <v>C</v>
      </c>
      <c r="M12" s="14" t="str">
        <v>A</v>
      </c>
      <c r="N12" s="14" t="str">
        <v>C</v>
      </c>
    </row>
    <row r="13" spans="1:14" x14ac:dyDescent="0.25">
      <c r="A13" s="14" t="s">
        <v>11</v>
      </c>
      <c r="B13" s="14">
        <f t="shared" si="0"/>
        <v>35</v>
      </c>
      <c r="C13" s="14">
        <f t="shared" si="1"/>
        <v>0</v>
      </c>
      <c r="D13" s="14">
        <f t="shared" si="2"/>
        <v>0</v>
      </c>
      <c r="E13" s="14">
        <f t="shared" si="3"/>
        <v>37</v>
      </c>
      <c r="F13" s="14">
        <v>-3</v>
      </c>
      <c r="I13" s="14">
        <v>0</v>
      </c>
      <c r="J13" s="14">
        <v>146</v>
      </c>
      <c r="K13" s="14" t="str">
        <v>A</v>
      </c>
      <c r="L13" s="14" t="str">
        <v>C</v>
      </c>
      <c r="M13" s="14" t="str">
        <v>B</v>
      </c>
      <c r="N13" s="14" t="str">
        <v>D</v>
      </c>
    </row>
    <row r="14" spans="1:14" x14ac:dyDescent="0.25">
      <c r="A14" s="14" t="s">
        <v>13</v>
      </c>
      <c r="B14" s="14">
        <f t="shared" si="0"/>
        <v>31</v>
      </c>
      <c r="C14" s="14">
        <f t="shared" si="1"/>
        <v>0</v>
      </c>
      <c r="D14" s="14">
        <f t="shared" si="2"/>
        <v>0</v>
      </c>
      <c r="E14" s="14">
        <f t="shared" si="3"/>
        <v>33</v>
      </c>
      <c r="F14" s="14">
        <v>-2</v>
      </c>
      <c r="I14" s="14">
        <v>0</v>
      </c>
      <c r="J14" s="14">
        <v>160</v>
      </c>
      <c r="K14" s="14" t="str">
        <v>A</v>
      </c>
      <c r="L14" s="14" t="str">
        <v>C</v>
      </c>
      <c r="M14" s="14" t="str">
        <v>C</v>
      </c>
      <c r="N14" s="14" t="str">
        <v>E</v>
      </c>
    </row>
    <row r="15" spans="1:14" x14ac:dyDescent="0.25">
      <c r="A15" s="14" t="s">
        <v>12</v>
      </c>
      <c r="B15" s="14">
        <f t="shared" si="0"/>
        <v>0</v>
      </c>
      <c r="C15" s="14">
        <f t="shared" si="1"/>
        <v>0</v>
      </c>
      <c r="D15" s="14">
        <f t="shared" si="2"/>
        <v>0</v>
      </c>
      <c r="E15" s="14">
        <f t="shared" si="3"/>
        <v>35</v>
      </c>
      <c r="F15" s="14">
        <v>-1</v>
      </c>
      <c r="I15" s="14">
        <v>0</v>
      </c>
      <c r="J15" s="14">
        <v>174</v>
      </c>
      <c r="K15" s="14" t="str">
        <v>A</v>
      </c>
      <c r="L15" s="14" t="str">
        <v>C</v>
      </c>
      <c r="M15" s="14" t="str">
        <v>D</v>
      </c>
      <c r="N15" s="14" t="str">
        <v>F</v>
      </c>
    </row>
    <row r="16" spans="1:14" x14ac:dyDescent="0.25">
      <c r="A16" s="14" t="s">
        <v>14</v>
      </c>
      <c r="B16" s="14">
        <f t="shared" si="0"/>
        <v>0</v>
      </c>
      <c r="C16" s="14">
        <f t="shared" si="1"/>
        <v>0</v>
      </c>
      <c r="D16" s="14">
        <f t="shared" si="2"/>
        <v>0</v>
      </c>
      <c r="E16" s="14">
        <f t="shared" si="3"/>
        <v>31</v>
      </c>
      <c r="F16" s="14">
        <v>0</v>
      </c>
      <c r="I16" s="14">
        <v>0</v>
      </c>
      <c r="J16" s="14">
        <v>188</v>
      </c>
      <c r="K16" s="14" t="str">
        <v>A</v>
      </c>
      <c r="L16" s="14" t="str">
        <v>C</v>
      </c>
      <c r="M16" s="14" t="str">
        <v>E</v>
      </c>
      <c r="N16" s="14" t="str">
        <v>G</v>
      </c>
    </row>
    <row r="17" spans="1:14" x14ac:dyDescent="0.25">
      <c r="A17" s="14" t="s">
        <v>44</v>
      </c>
      <c r="B17" s="14">
        <f t="shared" si="0"/>
        <v>0</v>
      </c>
      <c r="C17" s="14">
        <f t="shared" si="1"/>
        <v>0</v>
      </c>
      <c r="D17" s="14">
        <f t="shared" si="2"/>
        <v>0</v>
      </c>
      <c r="E17" s="14">
        <f t="shared" si="3"/>
        <v>0</v>
      </c>
      <c r="F17" s="14">
        <v>1</v>
      </c>
      <c r="I17" s="14">
        <v>0</v>
      </c>
      <c r="J17" s="14">
        <v>198</v>
      </c>
      <c r="K17" s="14" t="str">
        <v>A</v>
      </c>
      <c r="L17" s="14" t="str">
        <v>D</v>
      </c>
      <c r="M17" s="14" t="str">
        <v>A</v>
      </c>
      <c r="N17" s="14" t="str">
        <v>D</v>
      </c>
    </row>
    <row r="18" spans="1:14" x14ac:dyDescent="0.25">
      <c r="A18" s="14" t="s">
        <v>45</v>
      </c>
      <c r="B18" s="14">
        <f t="shared" si="0"/>
        <v>0</v>
      </c>
      <c r="C18" s="14">
        <f t="shared" si="1"/>
        <v>0</v>
      </c>
      <c r="D18" s="14">
        <f t="shared" si="2"/>
        <v>0</v>
      </c>
      <c r="E18" s="14">
        <f t="shared" si="3"/>
        <v>0</v>
      </c>
      <c r="F18" s="14">
        <v>2</v>
      </c>
      <c r="I18" s="14">
        <v>0</v>
      </c>
      <c r="J18" s="14">
        <v>212</v>
      </c>
      <c r="K18" s="14" t="str">
        <v>A</v>
      </c>
      <c r="L18" s="14" t="str">
        <v>D</v>
      </c>
      <c r="M18" s="14" t="str">
        <v>B</v>
      </c>
      <c r="N18" s="14" t="str">
        <v>E</v>
      </c>
    </row>
    <row r="19" spans="1:14" x14ac:dyDescent="0.25">
      <c r="A19" s="14" t="s">
        <v>46</v>
      </c>
      <c r="B19" s="14">
        <f t="shared" si="0"/>
        <v>0</v>
      </c>
      <c r="C19" s="14">
        <f t="shared" si="1"/>
        <v>0</v>
      </c>
      <c r="D19" s="14">
        <f t="shared" si="2"/>
        <v>0</v>
      </c>
      <c r="E19" s="14">
        <f t="shared" si="3"/>
        <v>0</v>
      </c>
      <c r="F19" s="14">
        <v>3</v>
      </c>
      <c r="I19" s="14">
        <v>0</v>
      </c>
      <c r="J19" s="14">
        <v>226</v>
      </c>
      <c r="K19" s="14" t="str">
        <v>A</v>
      </c>
      <c r="L19" s="14" t="str">
        <v>D</v>
      </c>
      <c r="M19" s="14" t="str">
        <v>C</v>
      </c>
      <c r="N19" s="14" t="str">
        <v>F</v>
      </c>
    </row>
    <row r="20" spans="1:14" x14ac:dyDescent="0.25">
      <c r="A20" s="14" t="s">
        <v>47</v>
      </c>
      <c r="B20" s="14">
        <f t="shared" si="0"/>
        <v>0</v>
      </c>
      <c r="C20" s="14">
        <f t="shared" si="1"/>
        <v>0</v>
      </c>
      <c r="D20" s="14">
        <f t="shared" si="2"/>
        <v>0</v>
      </c>
      <c r="E20" s="14">
        <f t="shared" si="3"/>
        <v>0</v>
      </c>
      <c r="F20" s="14">
        <v>4</v>
      </c>
      <c r="I20" s="14">
        <v>0</v>
      </c>
      <c r="J20" s="14">
        <v>240</v>
      </c>
      <c r="K20" s="14" t="str">
        <v>A</v>
      </c>
      <c r="L20" s="14" t="str">
        <v>D</v>
      </c>
      <c r="M20" s="14" t="str">
        <v>D</v>
      </c>
      <c r="N20" s="14" t="str">
        <v>G</v>
      </c>
    </row>
    <row r="21" spans="1:14" x14ac:dyDescent="0.25">
      <c r="A21" s="14" t="s">
        <v>48</v>
      </c>
      <c r="B21" s="14">
        <f t="shared" si="0"/>
        <v>0</v>
      </c>
      <c r="C21" s="14">
        <f t="shared" si="1"/>
        <v>0</v>
      </c>
      <c r="D21" s="14">
        <f t="shared" si="2"/>
        <v>0</v>
      </c>
      <c r="E21" s="14">
        <f t="shared" si="3"/>
        <v>0</v>
      </c>
      <c r="F21" s="14">
        <v>5</v>
      </c>
      <c r="I21" s="14">
        <v>0</v>
      </c>
      <c r="J21" s="14">
        <v>254</v>
      </c>
      <c r="K21" s="14" t="str">
        <v>A</v>
      </c>
      <c r="L21" s="14" t="str">
        <v>D</v>
      </c>
      <c r="M21" s="14" t="str">
        <v>E</v>
      </c>
      <c r="N21" s="14" t="str">
        <v>H</v>
      </c>
    </row>
    <row r="22" spans="1:14" x14ac:dyDescent="0.25">
      <c r="A22" s="14" t="s">
        <v>49</v>
      </c>
      <c r="B22" s="14">
        <f t="shared" si="0"/>
        <v>0</v>
      </c>
      <c r="C22" s="14">
        <f t="shared" si="1"/>
        <v>0</v>
      </c>
      <c r="D22" s="14">
        <f t="shared" si="2"/>
        <v>0</v>
      </c>
      <c r="E22" s="14">
        <f t="shared" si="3"/>
        <v>0</v>
      </c>
      <c r="F22" s="14">
        <v>6</v>
      </c>
      <c r="I22" s="14">
        <v>0</v>
      </c>
      <c r="J22" s="14">
        <v>264</v>
      </c>
      <c r="K22" s="14" t="str">
        <v>A</v>
      </c>
      <c r="L22" s="14" t="str">
        <v>E</v>
      </c>
      <c r="M22" s="14" t="str">
        <v>A</v>
      </c>
      <c r="N22" s="14" t="str">
        <v>E</v>
      </c>
    </row>
    <row r="23" spans="1:14" x14ac:dyDescent="0.25">
      <c r="B23" s="14">
        <f>SUM(B10:B22)</f>
        <v>178</v>
      </c>
      <c r="C23" s="14">
        <f>SUM(C10:C22)</f>
        <v>178</v>
      </c>
      <c r="D23" s="14">
        <f>SUM(D10:D22)</f>
        <v>178</v>
      </c>
      <c r="E23" s="14">
        <f>SUM(E10:E22)</f>
        <v>178</v>
      </c>
      <c r="I23" s="14">
        <v>0</v>
      </c>
      <c r="J23" s="14">
        <v>278</v>
      </c>
      <c r="K23" s="14" t="str">
        <v>A</v>
      </c>
      <c r="L23" s="14" t="str">
        <v>E</v>
      </c>
      <c r="M23" s="14" t="str">
        <v>B</v>
      </c>
      <c r="N23" s="14" t="str">
        <v>F</v>
      </c>
    </row>
    <row r="24" spans="1:14" x14ac:dyDescent="0.25">
      <c r="I24" s="14">
        <v>0</v>
      </c>
      <c r="J24" s="14">
        <v>292</v>
      </c>
      <c r="K24" s="14" t="str">
        <v>A</v>
      </c>
      <c r="L24" s="14" t="str">
        <v>E</v>
      </c>
      <c r="M24" s="14" t="str">
        <v>C</v>
      </c>
      <c r="N24" s="14" t="str">
        <v>G</v>
      </c>
    </row>
    <row r="25" spans="1:14" x14ac:dyDescent="0.25">
      <c r="I25" s="14">
        <v>0</v>
      </c>
      <c r="J25" s="14">
        <v>306</v>
      </c>
      <c r="K25" s="14" t="str">
        <v>A</v>
      </c>
      <c r="L25" s="14" t="str">
        <v>E</v>
      </c>
      <c r="M25" s="14" t="str">
        <v>D</v>
      </c>
      <c r="N25" s="14" t="str">
        <v>H</v>
      </c>
    </row>
    <row r="26" spans="1:14" x14ac:dyDescent="0.25">
      <c r="I26" s="14">
        <v>0</v>
      </c>
      <c r="J26" s="14">
        <v>320</v>
      </c>
      <c r="K26" s="14" t="str">
        <v>A</v>
      </c>
      <c r="L26" s="14" t="str">
        <v>E</v>
      </c>
      <c r="M26" s="14" t="str">
        <v>E</v>
      </c>
      <c r="N26" s="14" t="str">
        <v>I</v>
      </c>
    </row>
    <row r="27" spans="1:14" x14ac:dyDescent="0.25">
      <c r="I27" s="14">
        <v>0</v>
      </c>
      <c r="J27" s="14">
        <v>326</v>
      </c>
      <c r="K27" s="14" t="str">
        <v>B</v>
      </c>
      <c r="L27" s="14" t="str">
        <v>A</v>
      </c>
      <c r="M27" s="14" t="str">
        <v>A</v>
      </c>
      <c r="N27" s="14" t="str">
        <v>B</v>
      </c>
    </row>
    <row r="28" spans="1:14" x14ac:dyDescent="0.25">
      <c r="I28" s="14">
        <v>0</v>
      </c>
      <c r="J28" s="14">
        <v>340</v>
      </c>
      <c r="K28" s="14" t="str">
        <v>B</v>
      </c>
      <c r="L28" s="14" t="str">
        <v>A</v>
      </c>
      <c r="M28" s="14" t="str">
        <v>B</v>
      </c>
      <c r="N28" s="14" t="str">
        <v>C</v>
      </c>
    </row>
    <row r="29" spans="1:14" x14ac:dyDescent="0.25">
      <c r="I29" s="14">
        <v>0</v>
      </c>
      <c r="J29" s="14">
        <v>354</v>
      </c>
      <c r="K29" s="14" t="str">
        <v>B</v>
      </c>
      <c r="L29" s="14" t="str">
        <v>A</v>
      </c>
      <c r="M29" s="14" t="str">
        <v>C</v>
      </c>
      <c r="N29" s="14" t="str">
        <v>D</v>
      </c>
    </row>
    <row r="30" spans="1:14" x14ac:dyDescent="0.25">
      <c r="I30" s="14">
        <v>0</v>
      </c>
      <c r="J30" s="14">
        <v>368</v>
      </c>
      <c r="K30" s="14" t="str">
        <v>B</v>
      </c>
      <c r="L30" s="14" t="str">
        <v>A</v>
      </c>
      <c r="M30" s="14" t="str">
        <v>D</v>
      </c>
      <c r="N30" s="14" t="str">
        <v>E</v>
      </c>
    </row>
    <row r="31" spans="1:14" x14ac:dyDescent="0.25">
      <c r="I31" s="14">
        <v>0</v>
      </c>
      <c r="J31" s="14">
        <v>382</v>
      </c>
      <c r="K31" s="14" t="str">
        <v>B</v>
      </c>
      <c r="L31" s="14" t="str">
        <v>A</v>
      </c>
      <c r="M31" s="14" t="str">
        <v>E</v>
      </c>
      <c r="N31" s="14" t="str">
        <v>F</v>
      </c>
    </row>
    <row r="32" spans="1:14" x14ac:dyDescent="0.25">
      <c r="I32" s="14">
        <v>0</v>
      </c>
      <c r="J32" s="14">
        <v>392</v>
      </c>
      <c r="K32" s="14" t="str">
        <v>B</v>
      </c>
      <c r="L32" s="14" t="str">
        <v>B</v>
      </c>
      <c r="M32" s="14" t="str">
        <v>A</v>
      </c>
      <c r="N32" s="14" t="str">
        <v>C</v>
      </c>
    </row>
    <row r="33" spans="9:14" x14ac:dyDescent="0.25">
      <c r="I33" s="14">
        <v>37</v>
      </c>
      <c r="J33" s="14">
        <v>406</v>
      </c>
      <c r="K33" s="14" t="str">
        <v>B</v>
      </c>
      <c r="L33" s="14" t="str">
        <v>B</v>
      </c>
      <c r="M33" s="14" t="str">
        <v>B</v>
      </c>
      <c r="N33" s="14" t="str">
        <v>D</v>
      </c>
    </row>
    <row r="34" spans="9:14" x14ac:dyDescent="0.25">
      <c r="I34" s="14">
        <v>0</v>
      </c>
      <c r="J34" s="14">
        <v>420</v>
      </c>
      <c r="K34" s="14" t="str">
        <v>B</v>
      </c>
      <c r="L34" s="14" t="str">
        <v>B</v>
      </c>
      <c r="M34" s="14" t="str">
        <v>C</v>
      </c>
      <c r="N34" s="14" t="str">
        <v>E</v>
      </c>
    </row>
    <row r="35" spans="9:14" x14ac:dyDescent="0.25">
      <c r="I35" s="14">
        <v>0</v>
      </c>
      <c r="J35" s="14">
        <v>434</v>
      </c>
      <c r="K35" s="14" t="str">
        <v>B</v>
      </c>
      <c r="L35" s="14" t="str">
        <v>B</v>
      </c>
      <c r="M35" s="14" t="str">
        <v>D</v>
      </c>
      <c r="N35" s="14" t="str">
        <v>F</v>
      </c>
    </row>
    <row r="36" spans="9:14" x14ac:dyDescent="0.25">
      <c r="I36" s="14">
        <v>0</v>
      </c>
      <c r="J36" s="14">
        <v>448</v>
      </c>
      <c r="K36" s="14" t="str">
        <v>B</v>
      </c>
      <c r="L36" s="14" t="str">
        <v>B</v>
      </c>
      <c r="M36" s="14" t="str">
        <v>E</v>
      </c>
      <c r="N36" s="14" t="str">
        <v>G</v>
      </c>
    </row>
    <row r="37" spans="9:14" x14ac:dyDescent="0.25">
      <c r="I37" s="14">
        <v>0</v>
      </c>
      <c r="J37" s="14">
        <v>458</v>
      </c>
      <c r="K37" s="14" t="str">
        <v>B</v>
      </c>
      <c r="L37" s="14" t="str">
        <v>C</v>
      </c>
      <c r="M37" s="14" t="str">
        <v>A</v>
      </c>
      <c r="N37" s="14" t="str">
        <v>D</v>
      </c>
    </row>
    <row r="38" spans="9:14" x14ac:dyDescent="0.25">
      <c r="I38" s="14">
        <v>0</v>
      </c>
      <c r="J38" s="14">
        <v>472</v>
      </c>
      <c r="K38" s="14" t="str">
        <v>B</v>
      </c>
      <c r="L38" s="14" t="str">
        <v>C</v>
      </c>
      <c r="M38" s="14" t="str">
        <v>B</v>
      </c>
      <c r="N38" s="14" t="str">
        <v>E</v>
      </c>
    </row>
    <row r="39" spans="9:14" x14ac:dyDescent="0.25">
      <c r="I39" s="14">
        <v>0</v>
      </c>
      <c r="J39" s="14">
        <v>486</v>
      </c>
      <c r="K39" s="14" t="str">
        <v>B</v>
      </c>
      <c r="L39" s="14" t="str">
        <v>C</v>
      </c>
      <c r="M39" s="14" t="str">
        <v>C</v>
      </c>
      <c r="N39" s="14" t="str">
        <v>F</v>
      </c>
    </row>
    <row r="40" spans="9:14" x14ac:dyDescent="0.25">
      <c r="I40" s="14">
        <v>0</v>
      </c>
      <c r="J40" s="14">
        <v>500</v>
      </c>
      <c r="K40" s="14" t="str">
        <v>B</v>
      </c>
      <c r="L40" s="14" t="str">
        <v>C</v>
      </c>
      <c r="M40" s="14" t="str">
        <v>D</v>
      </c>
      <c r="N40" s="14" t="str">
        <v>G</v>
      </c>
    </row>
    <row r="41" spans="9:14" x14ac:dyDescent="0.25">
      <c r="I41" s="14">
        <v>0</v>
      </c>
      <c r="J41" s="14">
        <v>514</v>
      </c>
      <c r="K41" s="14" t="str">
        <v>B</v>
      </c>
      <c r="L41" s="14" t="str">
        <v>C</v>
      </c>
      <c r="M41" s="14" t="str">
        <v>E</v>
      </c>
      <c r="N41" s="14" t="str">
        <v>H</v>
      </c>
    </row>
    <row r="42" spans="9:14" x14ac:dyDescent="0.25">
      <c r="I42" s="14">
        <v>0</v>
      </c>
      <c r="J42" s="14">
        <v>524</v>
      </c>
      <c r="K42" s="14" t="str">
        <v>B</v>
      </c>
      <c r="L42" s="14" t="str">
        <v>D</v>
      </c>
      <c r="M42" s="14" t="str">
        <v>A</v>
      </c>
      <c r="N42" s="14" t="str">
        <v>E</v>
      </c>
    </row>
    <row r="43" spans="9:14" x14ac:dyDescent="0.25">
      <c r="I43" s="14">
        <v>0</v>
      </c>
      <c r="J43" s="14">
        <v>538</v>
      </c>
      <c r="K43" s="14" t="str">
        <v>B</v>
      </c>
      <c r="L43" s="14" t="str">
        <v>D</v>
      </c>
      <c r="M43" s="14" t="str">
        <v>B</v>
      </c>
      <c r="N43" s="14" t="str">
        <v>F</v>
      </c>
    </row>
    <row r="44" spans="9:14" x14ac:dyDescent="0.25">
      <c r="I44" s="14">
        <v>0</v>
      </c>
      <c r="J44" s="14">
        <v>552</v>
      </c>
      <c r="K44" s="14" t="str">
        <v>B</v>
      </c>
      <c r="L44" s="14" t="str">
        <v>D</v>
      </c>
      <c r="M44" s="14" t="str">
        <v>C</v>
      </c>
      <c r="N44" s="14" t="str">
        <v>G</v>
      </c>
    </row>
    <row r="45" spans="9:14" x14ac:dyDescent="0.25">
      <c r="I45" s="14">
        <v>0</v>
      </c>
      <c r="J45" s="14">
        <v>566</v>
      </c>
      <c r="K45" s="14" t="str">
        <v>B</v>
      </c>
      <c r="L45" s="14" t="str">
        <v>D</v>
      </c>
      <c r="M45" s="14" t="str">
        <v>D</v>
      </c>
      <c r="N45" s="14" t="str">
        <v>H</v>
      </c>
    </row>
    <row r="46" spans="9:14" x14ac:dyDescent="0.25">
      <c r="I46" s="14">
        <v>0</v>
      </c>
      <c r="J46" s="14">
        <v>580</v>
      </c>
      <c r="K46" s="14" t="str">
        <v>B</v>
      </c>
      <c r="L46" s="14" t="str">
        <v>D</v>
      </c>
      <c r="M46" s="14" t="str">
        <v>E</v>
      </c>
      <c r="N46" s="14" t="str">
        <v>I</v>
      </c>
    </row>
    <row r="47" spans="9:14" x14ac:dyDescent="0.25">
      <c r="I47" s="14">
        <v>0</v>
      </c>
      <c r="J47" s="14">
        <v>590</v>
      </c>
      <c r="K47" s="14" t="str">
        <v>B</v>
      </c>
      <c r="L47" s="14" t="str">
        <v>E</v>
      </c>
      <c r="M47" s="14" t="str">
        <v>A</v>
      </c>
      <c r="N47" s="14" t="str">
        <v>F</v>
      </c>
    </row>
    <row r="48" spans="9:14" x14ac:dyDescent="0.25">
      <c r="I48" s="14">
        <v>0</v>
      </c>
      <c r="J48" s="14">
        <v>604</v>
      </c>
      <c r="K48" s="14" t="str">
        <v>B</v>
      </c>
      <c r="L48" s="14" t="str">
        <v>E</v>
      </c>
      <c r="M48" s="14" t="str">
        <v>B</v>
      </c>
      <c r="N48" s="14" t="str">
        <v>G</v>
      </c>
    </row>
    <row r="49" spans="9:14" x14ac:dyDescent="0.25">
      <c r="I49" s="14">
        <v>0</v>
      </c>
      <c r="J49" s="14">
        <v>618</v>
      </c>
      <c r="K49" s="14" t="str">
        <v>B</v>
      </c>
      <c r="L49" s="14" t="str">
        <v>E</v>
      </c>
      <c r="M49" s="14" t="str">
        <v>C</v>
      </c>
      <c r="N49" s="14" t="str">
        <v>H</v>
      </c>
    </row>
    <row r="50" spans="9:14" x14ac:dyDescent="0.25">
      <c r="I50" s="14">
        <v>0</v>
      </c>
      <c r="J50" s="14">
        <v>632</v>
      </c>
      <c r="K50" s="14" t="str">
        <v>B</v>
      </c>
      <c r="L50" s="14" t="str">
        <v>E</v>
      </c>
      <c r="M50" s="14" t="str">
        <v>D</v>
      </c>
      <c r="N50" s="14" t="str">
        <v>I</v>
      </c>
    </row>
    <row r="51" spans="9:14" x14ac:dyDescent="0.25">
      <c r="I51" s="14">
        <v>0</v>
      </c>
      <c r="J51" s="14">
        <v>646</v>
      </c>
      <c r="K51" s="14" t="str">
        <v>B</v>
      </c>
      <c r="L51" s="14" t="str">
        <v>E</v>
      </c>
      <c r="M51" s="14" t="str">
        <v>E</v>
      </c>
      <c r="N51" s="14" t="str">
        <v>J</v>
      </c>
    </row>
    <row r="52" spans="9:14" x14ac:dyDescent="0.25">
      <c r="I52" s="14">
        <v>0</v>
      </c>
      <c r="J52" s="14">
        <v>652</v>
      </c>
      <c r="K52" s="14" t="str">
        <v>C</v>
      </c>
      <c r="L52" s="14" t="str">
        <v>A</v>
      </c>
      <c r="M52" s="14" t="str">
        <v>A</v>
      </c>
      <c r="N52" s="14" t="str">
        <v>C</v>
      </c>
    </row>
    <row r="53" spans="9:14" x14ac:dyDescent="0.25">
      <c r="I53" s="14">
        <v>0</v>
      </c>
      <c r="J53" s="14">
        <v>666</v>
      </c>
      <c r="K53" s="14" t="str">
        <v>C</v>
      </c>
      <c r="L53" s="14" t="str">
        <v>A</v>
      </c>
      <c r="M53" s="14" t="str">
        <v>B</v>
      </c>
      <c r="N53" s="14" t="str">
        <v>D</v>
      </c>
    </row>
    <row r="54" spans="9:14" x14ac:dyDescent="0.25">
      <c r="I54" s="14">
        <v>0</v>
      </c>
      <c r="J54" s="14">
        <v>680</v>
      </c>
      <c r="K54" s="14" t="str">
        <v>C</v>
      </c>
      <c r="L54" s="14" t="str">
        <v>A</v>
      </c>
      <c r="M54" s="14" t="str">
        <v>C</v>
      </c>
      <c r="N54" s="14" t="str">
        <v>E</v>
      </c>
    </row>
    <row r="55" spans="9:14" x14ac:dyDescent="0.25">
      <c r="I55" s="14">
        <v>0</v>
      </c>
      <c r="J55" s="14">
        <v>694</v>
      </c>
      <c r="K55" s="14" t="str">
        <v>C</v>
      </c>
      <c r="L55" s="14" t="str">
        <v>A</v>
      </c>
      <c r="M55" s="14" t="str">
        <v>D</v>
      </c>
      <c r="N55" s="14" t="str">
        <v>F</v>
      </c>
    </row>
    <row r="56" spans="9:14" x14ac:dyDescent="0.25">
      <c r="I56" s="14">
        <v>0</v>
      </c>
      <c r="J56" s="14">
        <v>708</v>
      </c>
      <c r="K56" s="14" t="str">
        <v>C</v>
      </c>
      <c r="L56" s="14" t="str">
        <v>A</v>
      </c>
      <c r="M56" s="14" t="str">
        <v>E</v>
      </c>
      <c r="N56" s="14" t="str">
        <v>G</v>
      </c>
    </row>
    <row r="57" spans="9:14" x14ac:dyDescent="0.25">
      <c r="I57" s="14">
        <v>0</v>
      </c>
      <c r="J57" s="14">
        <v>718</v>
      </c>
      <c r="K57" s="14" t="str">
        <v>C</v>
      </c>
      <c r="L57" s="14" t="str">
        <v>B</v>
      </c>
      <c r="M57" s="14" t="str">
        <v>A</v>
      </c>
      <c r="N57" s="14" t="str">
        <v>D</v>
      </c>
    </row>
    <row r="58" spans="9:14" x14ac:dyDescent="0.25">
      <c r="I58" s="14">
        <v>33</v>
      </c>
      <c r="J58" s="14">
        <v>732</v>
      </c>
      <c r="K58" s="14" t="str">
        <v>C</v>
      </c>
      <c r="L58" s="14" t="str">
        <v>B</v>
      </c>
      <c r="M58" s="14" t="str">
        <v>B</v>
      </c>
      <c r="N58" s="14" t="str">
        <v>E</v>
      </c>
    </row>
    <row r="59" spans="9:14" x14ac:dyDescent="0.25">
      <c r="I59" s="14">
        <v>0</v>
      </c>
      <c r="J59" s="14">
        <v>746</v>
      </c>
      <c r="K59" s="14" t="str">
        <v>C</v>
      </c>
      <c r="L59" s="14" t="str">
        <v>B</v>
      </c>
      <c r="M59" s="14" t="str">
        <v>C</v>
      </c>
      <c r="N59" s="14" t="str">
        <v>F</v>
      </c>
    </row>
    <row r="60" spans="9:14" x14ac:dyDescent="0.25">
      <c r="I60" s="14">
        <v>0</v>
      </c>
      <c r="J60" s="14">
        <v>760</v>
      </c>
      <c r="K60" s="14" t="str">
        <v>C</v>
      </c>
      <c r="L60" s="14" t="str">
        <v>B</v>
      </c>
      <c r="M60" s="14" t="str">
        <v>D</v>
      </c>
      <c r="N60" s="14" t="str">
        <v>G</v>
      </c>
    </row>
    <row r="61" spans="9:14" x14ac:dyDescent="0.25">
      <c r="I61" s="14">
        <v>0</v>
      </c>
      <c r="J61" s="14">
        <v>774</v>
      </c>
      <c r="K61" s="14" t="str">
        <v>C</v>
      </c>
      <c r="L61" s="14" t="str">
        <v>B</v>
      </c>
      <c r="M61" s="14" t="str">
        <v>E</v>
      </c>
      <c r="N61" s="14" t="str">
        <v>H</v>
      </c>
    </row>
    <row r="62" spans="9:14" x14ac:dyDescent="0.25">
      <c r="I62" s="14">
        <v>0</v>
      </c>
      <c r="J62" s="14">
        <v>784</v>
      </c>
      <c r="K62" s="14" t="str">
        <v>C</v>
      </c>
      <c r="L62" s="14" t="str">
        <v>C</v>
      </c>
      <c r="M62" s="14" t="str">
        <v>A</v>
      </c>
      <c r="N62" s="14" t="str">
        <v>E</v>
      </c>
    </row>
    <row r="63" spans="9:14" x14ac:dyDescent="0.25">
      <c r="I63" s="14">
        <v>0</v>
      </c>
      <c r="J63" s="14">
        <v>798</v>
      </c>
      <c r="K63" s="14" t="str">
        <v>C</v>
      </c>
      <c r="L63" s="14" t="str">
        <v>C</v>
      </c>
      <c r="M63" s="14" t="str">
        <v>B</v>
      </c>
      <c r="N63" s="14" t="str">
        <v>F</v>
      </c>
    </row>
    <row r="64" spans="9:14" x14ac:dyDescent="0.25">
      <c r="I64" s="14">
        <v>0</v>
      </c>
      <c r="J64" s="14">
        <v>812</v>
      </c>
      <c r="K64" s="14" t="str">
        <v>C</v>
      </c>
      <c r="L64" s="14" t="str">
        <v>C</v>
      </c>
      <c r="M64" s="14" t="str">
        <v>C</v>
      </c>
      <c r="N64" s="14" t="str">
        <v>G</v>
      </c>
    </row>
    <row r="65" spans="9:14" x14ac:dyDescent="0.25">
      <c r="I65" s="14">
        <v>0</v>
      </c>
      <c r="J65" s="14">
        <v>826</v>
      </c>
      <c r="K65" s="14" t="str">
        <v>C</v>
      </c>
      <c r="L65" s="14" t="str">
        <v>C</v>
      </c>
      <c r="M65" s="14" t="str">
        <v>D</v>
      </c>
      <c r="N65" s="14" t="str">
        <v>H</v>
      </c>
    </row>
    <row r="66" spans="9:14" x14ac:dyDescent="0.25">
      <c r="I66" s="14">
        <v>0</v>
      </c>
      <c r="J66" s="14">
        <v>840</v>
      </c>
      <c r="K66" s="14" t="str">
        <v>C</v>
      </c>
      <c r="L66" s="14" t="str">
        <v>C</v>
      </c>
      <c r="M66" s="14" t="str">
        <v>E</v>
      </c>
      <c r="N66" s="14" t="str">
        <v>I</v>
      </c>
    </row>
    <row r="67" spans="9:14" x14ac:dyDescent="0.25">
      <c r="I67" s="14">
        <v>0</v>
      </c>
      <c r="J67" s="14">
        <v>850</v>
      </c>
      <c r="K67" s="14" t="str">
        <v>C</v>
      </c>
      <c r="L67" s="14" t="str">
        <v>D</v>
      </c>
      <c r="M67" s="14" t="str">
        <v>A</v>
      </c>
      <c r="N67" s="14" t="str">
        <v>F</v>
      </c>
    </row>
    <row r="68" spans="9:14" x14ac:dyDescent="0.25">
      <c r="I68" s="14">
        <v>0</v>
      </c>
      <c r="J68" s="14">
        <v>864</v>
      </c>
      <c r="K68" s="14" t="str">
        <v>C</v>
      </c>
      <c r="L68" s="14" t="str">
        <v>D</v>
      </c>
      <c r="M68" s="14" t="str">
        <v>B</v>
      </c>
      <c r="N68" s="14" t="str">
        <v>G</v>
      </c>
    </row>
    <row r="69" spans="9:14" x14ac:dyDescent="0.25">
      <c r="I69" s="14">
        <v>0</v>
      </c>
      <c r="J69" s="14">
        <v>878</v>
      </c>
      <c r="K69" s="14" t="str">
        <v>C</v>
      </c>
      <c r="L69" s="14" t="str">
        <v>D</v>
      </c>
      <c r="M69" s="14" t="str">
        <v>C</v>
      </c>
      <c r="N69" s="14" t="str">
        <v>H</v>
      </c>
    </row>
    <row r="70" spans="9:14" x14ac:dyDescent="0.25">
      <c r="I70" s="14">
        <v>0</v>
      </c>
      <c r="J70" s="14">
        <v>892</v>
      </c>
      <c r="K70" s="14" t="str">
        <v>C</v>
      </c>
      <c r="L70" s="14" t="str">
        <v>D</v>
      </c>
      <c r="M70" s="14" t="str">
        <v>D</v>
      </c>
      <c r="N70" s="14" t="str">
        <v>I</v>
      </c>
    </row>
    <row r="71" spans="9:14" x14ac:dyDescent="0.25">
      <c r="I71" s="14">
        <v>0</v>
      </c>
      <c r="J71" s="14">
        <v>906</v>
      </c>
      <c r="K71" s="14" t="str">
        <v>C</v>
      </c>
      <c r="L71" s="14" t="str">
        <v>D</v>
      </c>
      <c r="M71" s="14" t="str">
        <v>E</v>
      </c>
      <c r="N71" s="14" t="str">
        <v>J</v>
      </c>
    </row>
    <row r="72" spans="9:14" x14ac:dyDescent="0.25">
      <c r="I72" s="14">
        <v>0</v>
      </c>
      <c r="J72" s="14">
        <v>916</v>
      </c>
      <c r="K72" s="14" t="str">
        <v>C</v>
      </c>
      <c r="L72" s="14" t="str">
        <v>E</v>
      </c>
      <c r="M72" s="14" t="str">
        <v>A</v>
      </c>
      <c r="N72" s="14" t="str">
        <v>G</v>
      </c>
    </row>
    <row r="73" spans="9:14" x14ac:dyDescent="0.25">
      <c r="I73" s="14">
        <v>0</v>
      </c>
      <c r="J73" s="14">
        <v>930</v>
      </c>
      <c r="K73" s="14" t="str">
        <v>C</v>
      </c>
      <c r="L73" s="14" t="str">
        <v>E</v>
      </c>
      <c r="M73" s="14" t="str">
        <v>B</v>
      </c>
      <c r="N73" s="14" t="str">
        <v>H</v>
      </c>
    </row>
    <row r="74" spans="9:14" x14ac:dyDescent="0.25">
      <c r="I74" s="14">
        <v>0</v>
      </c>
      <c r="J74" s="14">
        <v>944</v>
      </c>
      <c r="K74" s="14" t="str">
        <v>C</v>
      </c>
      <c r="L74" s="14" t="str">
        <v>E</v>
      </c>
      <c r="M74" s="14" t="str">
        <v>C</v>
      </c>
      <c r="N74" s="14" t="str">
        <v>I</v>
      </c>
    </row>
    <row r="75" spans="9:14" x14ac:dyDescent="0.25">
      <c r="I75" s="14">
        <v>0</v>
      </c>
      <c r="J75" s="14">
        <v>958</v>
      </c>
      <c r="K75" s="14" t="str">
        <v>C</v>
      </c>
      <c r="L75" s="14" t="str">
        <v>E</v>
      </c>
      <c r="M75" s="14" t="str">
        <v>D</v>
      </c>
      <c r="N75" s="14" t="str">
        <v>J</v>
      </c>
    </row>
    <row r="76" spans="9:14" x14ac:dyDescent="0.25">
      <c r="I76" s="14">
        <v>0</v>
      </c>
      <c r="J76" s="14">
        <v>972</v>
      </c>
      <c r="K76" s="14" t="str">
        <v>C</v>
      </c>
      <c r="L76" s="14" t="str">
        <v>E</v>
      </c>
      <c r="M76" s="14" t="str">
        <v>E</v>
      </c>
      <c r="N76" s="14" t="str">
        <v>K</v>
      </c>
    </row>
    <row r="77" spans="9:14" x14ac:dyDescent="0.25">
      <c r="I77" s="14">
        <v>0</v>
      </c>
      <c r="J77" s="14">
        <v>978</v>
      </c>
      <c r="K77" s="14" t="str">
        <v>D</v>
      </c>
      <c r="L77" s="14" t="str">
        <v>A</v>
      </c>
      <c r="M77" s="14" t="str">
        <v>A</v>
      </c>
      <c r="N77" s="14" t="str">
        <v>D</v>
      </c>
    </row>
    <row r="78" spans="9:14" x14ac:dyDescent="0.25">
      <c r="I78" s="14">
        <v>0</v>
      </c>
      <c r="J78" s="14">
        <v>992</v>
      </c>
      <c r="K78" s="14" t="str">
        <v>D</v>
      </c>
      <c r="L78" s="14" t="str">
        <v>A</v>
      </c>
      <c r="M78" s="14" t="str">
        <v>B</v>
      </c>
      <c r="N78" s="14" t="str">
        <v>E</v>
      </c>
    </row>
    <row r="79" spans="9:14" x14ac:dyDescent="0.25">
      <c r="I79" s="14">
        <v>0</v>
      </c>
      <c r="J79" s="14">
        <v>1006</v>
      </c>
      <c r="K79" s="14" t="str">
        <v>D</v>
      </c>
      <c r="L79" s="14" t="str">
        <v>A</v>
      </c>
      <c r="M79" s="14" t="str">
        <v>C</v>
      </c>
      <c r="N79" s="14" t="str">
        <v>F</v>
      </c>
    </row>
    <row r="80" spans="9:14" x14ac:dyDescent="0.25">
      <c r="I80" s="14">
        <v>0</v>
      </c>
      <c r="J80" s="14">
        <v>1020</v>
      </c>
      <c r="K80" s="14" t="str">
        <v>D</v>
      </c>
      <c r="L80" s="14" t="str">
        <v>A</v>
      </c>
      <c r="M80" s="14" t="str">
        <v>D</v>
      </c>
      <c r="N80" s="14" t="str">
        <v>G</v>
      </c>
    </row>
    <row r="81" spans="9:14" x14ac:dyDescent="0.25">
      <c r="I81" s="14">
        <v>0</v>
      </c>
      <c r="J81" s="14">
        <v>1034</v>
      </c>
      <c r="K81" s="14" t="str">
        <v>D</v>
      </c>
      <c r="L81" s="14" t="str">
        <v>A</v>
      </c>
      <c r="M81" s="14" t="str">
        <v>E</v>
      </c>
      <c r="N81" s="14" t="str">
        <v>H</v>
      </c>
    </row>
    <row r="82" spans="9:14" x14ac:dyDescent="0.25">
      <c r="I82" s="14">
        <v>0</v>
      </c>
      <c r="J82" s="14">
        <v>1044</v>
      </c>
      <c r="K82" s="14" t="str">
        <v>D</v>
      </c>
      <c r="L82" s="14" t="str">
        <v>B</v>
      </c>
      <c r="M82" s="14" t="str">
        <v>A</v>
      </c>
      <c r="N82" s="14" t="str">
        <v>E</v>
      </c>
    </row>
    <row r="83" spans="9:14" x14ac:dyDescent="0.25">
      <c r="I83" s="14">
        <v>35</v>
      </c>
      <c r="J83" s="14">
        <v>1058</v>
      </c>
      <c r="K83" s="14" t="str">
        <v>D</v>
      </c>
      <c r="L83" s="14" t="str">
        <v>B</v>
      </c>
      <c r="M83" s="14" t="str">
        <v>B</v>
      </c>
      <c r="N83" s="14" t="str">
        <v>F</v>
      </c>
    </row>
    <row r="84" spans="9:14" x14ac:dyDescent="0.25">
      <c r="I84" s="14">
        <v>0</v>
      </c>
      <c r="J84" s="14">
        <v>1072</v>
      </c>
      <c r="K84" s="14" t="str">
        <v>D</v>
      </c>
      <c r="L84" s="14" t="str">
        <v>B</v>
      </c>
      <c r="M84" s="14" t="str">
        <v>C</v>
      </c>
      <c r="N84" s="14" t="str">
        <v>G</v>
      </c>
    </row>
    <row r="85" spans="9:14" x14ac:dyDescent="0.25">
      <c r="I85" s="14">
        <v>0</v>
      </c>
      <c r="J85" s="14">
        <v>1086</v>
      </c>
      <c r="K85" s="14" t="str">
        <v>D</v>
      </c>
      <c r="L85" s="14" t="str">
        <v>B</v>
      </c>
      <c r="M85" s="14" t="str">
        <v>D</v>
      </c>
      <c r="N85" s="14" t="str">
        <v>H</v>
      </c>
    </row>
    <row r="86" spans="9:14" x14ac:dyDescent="0.25">
      <c r="I86" s="14">
        <v>0</v>
      </c>
      <c r="J86" s="14">
        <v>1100</v>
      </c>
      <c r="K86" s="14" t="str">
        <v>D</v>
      </c>
      <c r="L86" s="14" t="str">
        <v>B</v>
      </c>
      <c r="M86" s="14" t="str">
        <v>E</v>
      </c>
      <c r="N86" s="14" t="str">
        <v>I</v>
      </c>
    </row>
    <row r="87" spans="9:14" x14ac:dyDescent="0.25">
      <c r="I87" s="14">
        <v>0</v>
      </c>
      <c r="J87" s="14">
        <v>1110</v>
      </c>
      <c r="K87" s="14" t="str">
        <v>D</v>
      </c>
      <c r="L87" s="14" t="str">
        <v>C</v>
      </c>
      <c r="M87" s="14" t="str">
        <v>A</v>
      </c>
      <c r="N87" s="14" t="str">
        <v>F</v>
      </c>
    </row>
    <row r="88" spans="9:14" x14ac:dyDescent="0.25">
      <c r="I88" s="14">
        <v>0</v>
      </c>
      <c r="J88" s="14">
        <v>1124</v>
      </c>
      <c r="K88" s="14" t="str">
        <v>D</v>
      </c>
      <c r="L88" s="14" t="str">
        <v>C</v>
      </c>
      <c r="M88" s="14" t="str">
        <v>B</v>
      </c>
      <c r="N88" s="14" t="str">
        <v>G</v>
      </c>
    </row>
    <row r="89" spans="9:14" x14ac:dyDescent="0.25">
      <c r="I89" s="14">
        <v>0</v>
      </c>
      <c r="J89" s="14">
        <v>1138</v>
      </c>
      <c r="K89" s="14" t="str">
        <v>D</v>
      </c>
      <c r="L89" s="14" t="str">
        <v>C</v>
      </c>
      <c r="M89" s="14" t="str">
        <v>C</v>
      </c>
      <c r="N89" s="14" t="str">
        <v>H</v>
      </c>
    </row>
    <row r="90" spans="9:14" x14ac:dyDescent="0.25">
      <c r="I90" s="14">
        <v>0</v>
      </c>
      <c r="J90" s="14">
        <v>1152</v>
      </c>
      <c r="K90" s="14" t="str">
        <v>D</v>
      </c>
      <c r="L90" s="14" t="str">
        <v>C</v>
      </c>
      <c r="M90" s="14" t="str">
        <v>D</v>
      </c>
      <c r="N90" s="14" t="str">
        <v>I</v>
      </c>
    </row>
    <row r="91" spans="9:14" x14ac:dyDescent="0.25">
      <c r="I91" s="14">
        <v>0</v>
      </c>
      <c r="J91" s="14">
        <v>1166</v>
      </c>
      <c r="K91" s="14" t="str">
        <v>D</v>
      </c>
      <c r="L91" s="14" t="str">
        <v>C</v>
      </c>
      <c r="M91" s="14" t="str">
        <v>E</v>
      </c>
      <c r="N91" s="14" t="str">
        <v>J</v>
      </c>
    </row>
    <row r="92" spans="9:14" x14ac:dyDescent="0.25">
      <c r="I92" s="14">
        <v>0</v>
      </c>
      <c r="J92" s="14">
        <v>1176</v>
      </c>
      <c r="K92" s="14" t="str">
        <v>D</v>
      </c>
      <c r="L92" s="14" t="str">
        <v>D</v>
      </c>
      <c r="M92" s="14" t="str">
        <v>A</v>
      </c>
      <c r="N92" s="14" t="str">
        <v>G</v>
      </c>
    </row>
    <row r="93" spans="9:14" x14ac:dyDescent="0.25">
      <c r="I93" s="14">
        <v>0</v>
      </c>
      <c r="J93" s="14">
        <v>1190</v>
      </c>
      <c r="K93" s="14" t="str">
        <v>D</v>
      </c>
      <c r="L93" s="14" t="str">
        <v>D</v>
      </c>
      <c r="M93" s="14" t="str">
        <v>B</v>
      </c>
      <c r="N93" s="14" t="str">
        <v>H</v>
      </c>
    </row>
    <row r="94" spans="9:14" x14ac:dyDescent="0.25">
      <c r="I94" s="14">
        <v>0</v>
      </c>
      <c r="J94" s="14">
        <v>1204</v>
      </c>
      <c r="K94" s="14" t="str">
        <v>D</v>
      </c>
      <c r="L94" s="14" t="str">
        <v>D</v>
      </c>
      <c r="M94" s="14" t="str">
        <v>C</v>
      </c>
      <c r="N94" s="14" t="str">
        <v>I</v>
      </c>
    </row>
    <row r="95" spans="9:14" x14ac:dyDescent="0.25">
      <c r="I95" s="14">
        <v>0</v>
      </c>
      <c r="J95" s="14">
        <v>1218</v>
      </c>
      <c r="K95" s="14" t="str">
        <v>D</v>
      </c>
      <c r="L95" s="14" t="str">
        <v>D</v>
      </c>
      <c r="M95" s="14" t="str">
        <v>D</v>
      </c>
      <c r="N95" s="14" t="str">
        <v>J</v>
      </c>
    </row>
    <row r="96" spans="9:14" x14ac:dyDescent="0.25">
      <c r="I96" s="14">
        <v>0</v>
      </c>
      <c r="J96" s="14">
        <v>1232</v>
      </c>
      <c r="K96" s="14" t="str">
        <v>D</v>
      </c>
      <c r="L96" s="14" t="str">
        <v>D</v>
      </c>
      <c r="M96" s="14" t="str">
        <v>E</v>
      </c>
      <c r="N96" s="14" t="str">
        <v>K</v>
      </c>
    </row>
    <row r="97" spans="9:14" x14ac:dyDescent="0.25">
      <c r="I97" s="14">
        <v>0</v>
      </c>
      <c r="J97" s="14">
        <v>1242</v>
      </c>
      <c r="K97" s="14" t="str">
        <v>D</v>
      </c>
      <c r="L97" s="14" t="str">
        <v>E</v>
      </c>
      <c r="M97" s="14" t="str">
        <v>A</v>
      </c>
      <c r="N97" s="14" t="str">
        <v>H</v>
      </c>
    </row>
    <row r="98" spans="9:14" x14ac:dyDescent="0.25">
      <c r="I98" s="14">
        <v>0</v>
      </c>
      <c r="J98" s="14">
        <v>1256</v>
      </c>
      <c r="K98" s="14" t="str">
        <v>D</v>
      </c>
      <c r="L98" s="14" t="str">
        <v>E</v>
      </c>
      <c r="M98" s="14" t="str">
        <v>B</v>
      </c>
      <c r="N98" s="14" t="str">
        <v>I</v>
      </c>
    </row>
    <row r="99" spans="9:14" x14ac:dyDescent="0.25">
      <c r="I99" s="14">
        <v>0</v>
      </c>
      <c r="J99" s="14">
        <v>1270</v>
      </c>
      <c r="K99" s="14" t="str">
        <v>D</v>
      </c>
      <c r="L99" s="14" t="str">
        <v>E</v>
      </c>
      <c r="M99" s="14" t="str">
        <v>C</v>
      </c>
      <c r="N99" s="14" t="str">
        <v>J</v>
      </c>
    </row>
    <row r="100" spans="9:14" x14ac:dyDescent="0.25">
      <c r="I100" s="14">
        <v>0</v>
      </c>
      <c r="J100" s="14">
        <v>1284</v>
      </c>
      <c r="K100" s="14" t="str">
        <v>D</v>
      </c>
      <c r="L100" s="14" t="str">
        <v>E</v>
      </c>
      <c r="M100" s="14" t="str">
        <v>D</v>
      </c>
      <c r="N100" s="14" t="str">
        <v>K</v>
      </c>
    </row>
    <row r="101" spans="9:14" x14ac:dyDescent="0.25">
      <c r="I101" s="14">
        <v>0</v>
      </c>
      <c r="J101" s="14">
        <v>1298</v>
      </c>
      <c r="K101" s="14" t="str">
        <v>D</v>
      </c>
      <c r="L101" s="14" t="str">
        <v>E</v>
      </c>
      <c r="M101" s="14" t="str">
        <v>E</v>
      </c>
      <c r="N101" s="14" t="str">
        <v>L</v>
      </c>
    </row>
    <row r="102" spans="9:14" x14ac:dyDescent="0.25">
      <c r="I102" s="14">
        <v>0</v>
      </c>
      <c r="J102" s="14">
        <v>1304</v>
      </c>
      <c r="K102" s="14" t="str">
        <v>E</v>
      </c>
      <c r="L102" s="14" t="str">
        <v>A</v>
      </c>
      <c r="M102" s="14" t="str">
        <v>A</v>
      </c>
      <c r="N102" s="14" t="str">
        <v>E</v>
      </c>
    </row>
    <row r="103" spans="9:14" x14ac:dyDescent="0.25">
      <c r="I103" s="14">
        <v>0</v>
      </c>
      <c r="J103" s="14">
        <v>1318</v>
      </c>
      <c r="K103" s="14" t="str">
        <v>E</v>
      </c>
      <c r="L103" s="14" t="str">
        <v>A</v>
      </c>
      <c r="M103" s="14" t="str">
        <v>B</v>
      </c>
      <c r="N103" s="14" t="str">
        <v>F</v>
      </c>
    </row>
    <row r="104" spans="9:14" x14ac:dyDescent="0.25">
      <c r="I104" s="14">
        <v>0</v>
      </c>
      <c r="J104" s="14">
        <v>1332</v>
      </c>
      <c r="K104" s="14" t="str">
        <v>E</v>
      </c>
      <c r="L104" s="14" t="str">
        <v>A</v>
      </c>
      <c r="M104" s="14" t="str">
        <v>C</v>
      </c>
      <c r="N104" s="14" t="str">
        <v>G</v>
      </c>
    </row>
    <row r="105" spans="9:14" x14ac:dyDescent="0.25">
      <c r="I105" s="14">
        <v>0</v>
      </c>
      <c r="J105" s="14">
        <v>1346</v>
      </c>
      <c r="K105" s="14" t="str">
        <v>E</v>
      </c>
      <c r="L105" s="14" t="str">
        <v>A</v>
      </c>
      <c r="M105" s="14" t="str">
        <v>D</v>
      </c>
      <c r="N105" s="14" t="str">
        <v>H</v>
      </c>
    </row>
    <row r="106" spans="9:14" x14ac:dyDescent="0.25">
      <c r="I106" s="14">
        <v>0</v>
      </c>
      <c r="J106" s="14">
        <v>1360</v>
      </c>
      <c r="K106" s="14" t="str">
        <v>E</v>
      </c>
      <c r="L106" s="14" t="str">
        <v>A</v>
      </c>
      <c r="M106" s="14" t="str">
        <v>E</v>
      </c>
      <c r="N106" s="14" t="str">
        <v>I</v>
      </c>
    </row>
    <row r="107" spans="9:14" x14ac:dyDescent="0.25">
      <c r="I107" s="14">
        <v>0</v>
      </c>
      <c r="J107" s="14">
        <v>1370</v>
      </c>
      <c r="K107" s="14" t="str">
        <v>E</v>
      </c>
      <c r="L107" s="14" t="str">
        <v>B</v>
      </c>
      <c r="M107" s="14" t="str">
        <v>A</v>
      </c>
      <c r="N107" s="14" t="str">
        <v>F</v>
      </c>
    </row>
    <row r="108" spans="9:14" x14ac:dyDescent="0.25">
      <c r="I108" s="14">
        <v>31</v>
      </c>
      <c r="J108" s="14">
        <v>1384</v>
      </c>
      <c r="K108" s="14" t="str">
        <v>E</v>
      </c>
      <c r="L108" s="14" t="str">
        <v>B</v>
      </c>
      <c r="M108" s="14" t="str">
        <v>B</v>
      </c>
      <c r="N108" s="14" t="str">
        <v>G</v>
      </c>
    </row>
    <row r="109" spans="9:14" x14ac:dyDescent="0.25">
      <c r="I109" s="14">
        <v>0</v>
      </c>
      <c r="J109" s="14">
        <v>1398</v>
      </c>
      <c r="K109" s="14" t="str">
        <v>E</v>
      </c>
      <c r="L109" s="14" t="str">
        <v>B</v>
      </c>
      <c r="M109" s="14" t="str">
        <v>C</v>
      </c>
      <c r="N109" s="14" t="str">
        <v>H</v>
      </c>
    </row>
    <row r="110" spans="9:14" x14ac:dyDescent="0.25">
      <c r="I110" s="14">
        <v>0</v>
      </c>
      <c r="J110" s="14">
        <v>1412</v>
      </c>
      <c r="K110" s="14" t="str">
        <v>E</v>
      </c>
      <c r="L110" s="14" t="str">
        <v>B</v>
      </c>
      <c r="M110" s="14" t="str">
        <v>D</v>
      </c>
      <c r="N110" s="14" t="str">
        <v>I</v>
      </c>
    </row>
    <row r="111" spans="9:14" x14ac:dyDescent="0.25">
      <c r="I111" s="14">
        <v>0</v>
      </c>
      <c r="J111" s="14">
        <v>1426</v>
      </c>
      <c r="K111" s="14" t="str">
        <v>E</v>
      </c>
      <c r="L111" s="14" t="str">
        <v>B</v>
      </c>
      <c r="M111" s="14" t="str">
        <v>E</v>
      </c>
      <c r="N111" s="14" t="str">
        <v>J</v>
      </c>
    </row>
    <row r="112" spans="9:14" x14ac:dyDescent="0.25">
      <c r="I112" s="14">
        <v>0</v>
      </c>
      <c r="J112" s="14">
        <v>1436</v>
      </c>
      <c r="K112" s="14" t="str">
        <v>E</v>
      </c>
      <c r="L112" s="14" t="str">
        <v>C</v>
      </c>
      <c r="M112" s="14" t="str">
        <v>A</v>
      </c>
      <c r="N112" s="14" t="str">
        <v>G</v>
      </c>
    </row>
    <row r="113" spans="9:14" x14ac:dyDescent="0.25">
      <c r="I113" s="14">
        <v>0</v>
      </c>
      <c r="J113" s="14">
        <v>1450</v>
      </c>
      <c r="K113" s="14" t="str">
        <v>E</v>
      </c>
      <c r="L113" s="14" t="str">
        <v>C</v>
      </c>
      <c r="M113" s="14" t="str">
        <v>B</v>
      </c>
      <c r="N113" s="14" t="str">
        <v>H</v>
      </c>
    </row>
    <row r="114" spans="9:14" x14ac:dyDescent="0.25">
      <c r="I114" s="14">
        <v>0</v>
      </c>
      <c r="J114" s="14">
        <v>1464</v>
      </c>
      <c r="K114" s="14" t="str">
        <v>E</v>
      </c>
      <c r="L114" s="14" t="str">
        <v>C</v>
      </c>
      <c r="M114" s="14" t="str">
        <v>C</v>
      </c>
      <c r="N114" s="14" t="str">
        <v>I</v>
      </c>
    </row>
    <row r="115" spans="9:14" x14ac:dyDescent="0.25">
      <c r="I115" s="14">
        <v>0</v>
      </c>
      <c r="J115" s="14">
        <v>1478</v>
      </c>
      <c r="K115" s="14" t="str">
        <v>E</v>
      </c>
      <c r="L115" s="14" t="str">
        <v>C</v>
      </c>
      <c r="M115" s="14" t="str">
        <v>D</v>
      </c>
      <c r="N115" s="14" t="str">
        <v>J</v>
      </c>
    </row>
    <row r="116" spans="9:14" x14ac:dyDescent="0.25">
      <c r="I116" s="14">
        <v>0</v>
      </c>
      <c r="J116" s="14">
        <v>1492</v>
      </c>
      <c r="K116" s="14" t="str">
        <v>E</v>
      </c>
      <c r="L116" s="14" t="str">
        <v>C</v>
      </c>
      <c r="M116" s="14" t="str">
        <v>E</v>
      </c>
      <c r="N116" s="14" t="str">
        <v>K</v>
      </c>
    </row>
    <row r="117" spans="9:14" x14ac:dyDescent="0.25">
      <c r="I117" s="14">
        <v>0</v>
      </c>
      <c r="J117" s="14">
        <v>1502</v>
      </c>
      <c r="K117" s="14" t="str">
        <v>E</v>
      </c>
      <c r="L117" s="14" t="str">
        <v>D</v>
      </c>
      <c r="M117" s="14" t="str">
        <v>A</v>
      </c>
      <c r="N117" s="14" t="str">
        <v>H</v>
      </c>
    </row>
    <row r="118" spans="9:14" x14ac:dyDescent="0.25">
      <c r="I118" s="14">
        <v>0</v>
      </c>
      <c r="J118" s="14">
        <v>1516</v>
      </c>
      <c r="K118" s="14" t="str">
        <v>E</v>
      </c>
      <c r="L118" s="14" t="str">
        <v>D</v>
      </c>
      <c r="M118" s="14" t="str">
        <v>B</v>
      </c>
      <c r="N118" s="14" t="str">
        <v>I</v>
      </c>
    </row>
    <row r="119" spans="9:14" x14ac:dyDescent="0.25">
      <c r="I119" s="14">
        <v>0</v>
      </c>
      <c r="J119" s="14">
        <v>1530</v>
      </c>
      <c r="K119" s="14" t="str">
        <v>E</v>
      </c>
      <c r="L119" s="14" t="str">
        <v>D</v>
      </c>
      <c r="M119" s="14" t="str">
        <v>C</v>
      </c>
      <c r="N119" s="14" t="str">
        <v>J</v>
      </c>
    </row>
    <row r="120" spans="9:14" x14ac:dyDescent="0.25">
      <c r="I120" s="14">
        <v>0</v>
      </c>
      <c r="J120" s="14">
        <v>1544</v>
      </c>
      <c r="K120" s="14" t="str">
        <v>E</v>
      </c>
      <c r="L120" s="14" t="str">
        <v>D</v>
      </c>
      <c r="M120" s="14" t="str">
        <v>D</v>
      </c>
      <c r="N120" s="14" t="str">
        <v>K</v>
      </c>
    </row>
    <row r="121" spans="9:14" x14ac:dyDescent="0.25">
      <c r="I121" s="14">
        <v>0</v>
      </c>
      <c r="J121" s="14">
        <v>1558</v>
      </c>
      <c r="K121" s="14" t="str">
        <v>E</v>
      </c>
      <c r="L121" s="14" t="str">
        <v>D</v>
      </c>
      <c r="M121" s="14" t="str">
        <v>E</v>
      </c>
      <c r="N121" s="14" t="str">
        <v>L</v>
      </c>
    </row>
    <row r="122" spans="9:14" x14ac:dyDescent="0.25">
      <c r="I122" s="14">
        <v>0</v>
      </c>
      <c r="J122" s="14">
        <v>1568</v>
      </c>
      <c r="K122" s="14" t="str">
        <v>E</v>
      </c>
      <c r="L122" s="14" t="str">
        <v>E</v>
      </c>
      <c r="M122" s="14" t="str">
        <v>A</v>
      </c>
      <c r="N122" s="14" t="str">
        <v>I</v>
      </c>
    </row>
    <row r="123" spans="9:14" x14ac:dyDescent="0.25">
      <c r="I123" s="14">
        <v>0</v>
      </c>
      <c r="J123" s="14">
        <v>1582</v>
      </c>
      <c r="K123" s="14" t="str">
        <v>E</v>
      </c>
      <c r="L123" s="14" t="str">
        <v>E</v>
      </c>
      <c r="M123" s="14" t="str">
        <v>B</v>
      </c>
      <c r="N123" s="14" t="str">
        <v>J</v>
      </c>
    </row>
    <row r="124" spans="9:14" x14ac:dyDescent="0.25">
      <c r="I124" s="14">
        <v>0</v>
      </c>
      <c r="J124" s="14">
        <v>1596</v>
      </c>
      <c r="K124" s="14" t="str">
        <v>E</v>
      </c>
      <c r="L124" s="14" t="str">
        <v>E</v>
      </c>
      <c r="M124" s="14" t="str">
        <v>C</v>
      </c>
      <c r="N124" s="14" t="str">
        <v>K</v>
      </c>
    </row>
    <row r="125" spans="9:14" x14ac:dyDescent="0.25">
      <c r="I125" s="14">
        <v>0</v>
      </c>
      <c r="J125" s="14">
        <v>1610</v>
      </c>
      <c r="K125" s="14" t="str">
        <v>E</v>
      </c>
      <c r="L125" s="14" t="str">
        <v>E</v>
      </c>
      <c r="M125" s="14" t="str">
        <v>D</v>
      </c>
      <c r="N125" s="14" t="str">
        <v>L</v>
      </c>
    </row>
    <row r="126" spans="9:14" x14ac:dyDescent="0.25">
      <c r="I126" s="14">
        <v>0</v>
      </c>
      <c r="J126" s="14">
        <v>1624</v>
      </c>
      <c r="K126" s="14" t="str">
        <v>E</v>
      </c>
      <c r="L126" s="14" t="str">
        <v>E</v>
      </c>
      <c r="M126" s="14" t="str">
        <v>E</v>
      </c>
      <c r="N126" s="14" t="str">
        <v>M</v>
      </c>
    </row>
  </sheetData>
  <autoFilter ref="J1:N626" xr:uid="{2A857DF3-92DB-40A9-BB89-D266C93CB73F}"/>
  <mergeCells count="1">
    <mergeCell ref="A1:E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2D10D-4D21-4321-8531-C529E9F05C0E}">
  <sheetPr codeName="Planilha8"/>
  <dimension ref="A1:N126"/>
  <sheetViews>
    <sheetView workbookViewId="0">
      <selection sqref="A1:E1"/>
    </sheetView>
  </sheetViews>
  <sheetFormatPr defaultRowHeight="15" x14ac:dyDescent="0.25"/>
  <cols>
    <col min="1" max="5" width="9.140625" style="55"/>
    <col min="6" max="6" width="12.140625" style="55" bestFit="1" customWidth="1"/>
    <col min="7" max="7" width="20" style="55" bestFit="1" customWidth="1"/>
    <col min="8" max="8" width="9.140625" style="55"/>
    <col min="9" max="9" width="20.140625" style="55" bestFit="1" customWidth="1"/>
    <col min="10" max="14" width="9.140625" style="55"/>
    <col min="15" max="18" width="9.140625" style="55" customWidth="1"/>
    <col min="19" max="16384" width="9.140625" style="55"/>
  </cols>
  <sheetData>
    <row r="1" spans="1:14" x14ac:dyDescent="0.25">
      <c r="A1" s="66" t="s">
        <v>31</v>
      </c>
      <c r="B1" s="66"/>
      <c r="C1" s="66"/>
      <c r="D1" s="66"/>
      <c r="E1" s="66"/>
      <c r="G1" s="55" t="s">
        <v>39</v>
      </c>
      <c r="I1" s="55" t="s">
        <v>37</v>
      </c>
      <c r="J1" s="55" t="s">
        <v>35</v>
      </c>
      <c r="K1" s="55" t="s">
        <v>19</v>
      </c>
      <c r="L1" s="55" t="s">
        <v>32</v>
      </c>
      <c r="M1" s="55" t="s">
        <v>33</v>
      </c>
      <c r="N1" s="55" t="s">
        <v>34</v>
      </c>
    </row>
    <row r="2" spans="1:14" x14ac:dyDescent="0.25">
      <c r="A2" s="55" t="s">
        <v>22</v>
      </c>
      <c r="B2" s="55" t="s">
        <v>19</v>
      </c>
      <c r="C2" s="55" t="s">
        <v>32</v>
      </c>
      <c r="D2" s="55" t="s">
        <v>33</v>
      </c>
      <c r="G2" s="55">
        <f>SUM(I:I)</f>
        <v>222</v>
      </c>
      <c r="I2" s="55">
        <v>0</v>
      </c>
      <c r="J2" s="55" cm="1">
        <f t="array" ref="J2:J126">_xlfn._xlws.FILTER(Tabela2[Comb],Tabela2[Status]="OK","ERRO")</f>
        <v>0</v>
      </c>
      <c r="K2" s="55" t="str" cm="1">
        <f t="array" ref="K2:K126">_xlfn._xlws.FILTER(Tabela2[OP],Tabela2[Status]="OK","ERRO")</f>
        <v>A</v>
      </c>
      <c r="L2" s="55" t="str" cm="1">
        <f t="array" ref="L2:L126">_xlfn._xlws.FILTER(Tabela2[BICO],Tabela2[Status]="OK","ERRO")</f>
        <v>A</v>
      </c>
      <c r="M2" s="55" t="str" cm="1">
        <f t="array" ref="M2:M126">_xlfn._xlws.FILTER(Tabela2[SPACER],Tabela2[Status]="OK","ERRO")</f>
        <v>A</v>
      </c>
      <c r="N2" s="55" t="str" cm="1">
        <f t="array" ref="N2:N126">_xlfn._xlws.FILTER(Tabela2[AGULHA],Tabela2[Status]="OK","ERRO")</f>
        <v>A</v>
      </c>
    </row>
    <row r="3" spans="1:14" x14ac:dyDescent="0.25">
      <c r="A3" s="55" t="s">
        <v>8</v>
      </c>
      <c r="B3" s="63">
        <f>Simluação!O31</f>
        <v>45</v>
      </c>
      <c r="C3" s="55">
        <f>'Lote 4'!C3-'Lote 4'!C10</f>
        <v>0</v>
      </c>
      <c r="D3" s="55">
        <f>'Lote 4'!D3-'Lote 4'!D10</f>
        <v>0</v>
      </c>
      <c r="G3" s="55">
        <f>G2-SUM(B3:B7)</f>
        <v>0</v>
      </c>
      <c r="I3" s="55">
        <v>0</v>
      </c>
      <c r="J3" s="55">
        <v>14</v>
      </c>
      <c r="K3" s="55" t="str">
        <v>A</v>
      </c>
      <c r="L3" s="55" t="str">
        <v>A</v>
      </c>
      <c r="M3" s="55" t="str">
        <v>B</v>
      </c>
      <c r="N3" s="55" t="str">
        <v>B</v>
      </c>
    </row>
    <row r="4" spans="1:14" x14ac:dyDescent="0.25">
      <c r="A4" s="55" t="s">
        <v>9</v>
      </c>
      <c r="B4" s="63">
        <f>Simluação!O32</f>
        <v>48</v>
      </c>
      <c r="C4" s="55">
        <f>'Lote 4'!C4-'Lote 4'!C11</f>
        <v>30</v>
      </c>
      <c r="D4" s="55">
        <f>'Lote 4'!D4-'Lote 4'!D11</f>
        <v>14</v>
      </c>
      <c r="I4" s="55">
        <v>0</v>
      </c>
      <c r="J4" s="55">
        <v>28</v>
      </c>
      <c r="K4" s="55" t="str">
        <v>A</v>
      </c>
      <c r="L4" s="55" t="str">
        <v>A</v>
      </c>
      <c r="M4" s="55" t="str">
        <v>C</v>
      </c>
      <c r="N4" s="55" t="str">
        <v>C</v>
      </c>
    </row>
    <row r="5" spans="1:14" x14ac:dyDescent="0.25">
      <c r="A5" s="55" t="s">
        <v>10</v>
      </c>
      <c r="B5" s="63">
        <f>Simluação!O33</f>
        <v>42</v>
      </c>
      <c r="C5" s="55">
        <f>'Lote 4'!C5-'Lote 4'!C12</f>
        <v>389</v>
      </c>
      <c r="D5" s="55">
        <f>'Lote 4'!D5-'Lote 4'!D12</f>
        <v>417</v>
      </c>
      <c r="I5" s="55">
        <v>0</v>
      </c>
      <c r="J5" s="55">
        <v>42</v>
      </c>
      <c r="K5" s="55" t="str">
        <v>A</v>
      </c>
      <c r="L5" s="55" t="str">
        <v>A</v>
      </c>
      <c r="M5" s="55" t="str">
        <v>D</v>
      </c>
      <c r="N5" s="55" t="str">
        <v>D</v>
      </c>
    </row>
    <row r="6" spans="1:14" x14ac:dyDescent="0.25">
      <c r="A6" s="55" t="s">
        <v>11</v>
      </c>
      <c r="B6" s="63">
        <f>Simluação!O34</f>
        <v>46</v>
      </c>
      <c r="C6" s="55">
        <f>'Lote 4'!C6-'Lote 4'!C13</f>
        <v>427</v>
      </c>
      <c r="D6" s="55">
        <f>'Lote 4'!D6-'Lote 4'!D13</f>
        <v>397</v>
      </c>
      <c r="I6" s="55">
        <v>0</v>
      </c>
      <c r="J6" s="55">
        <v>56</v>
      </c>
      <c r="K6" s="55" t="str">
        <v>A</v>
      </c>
      <c r="L6" s="55" t="str">
        <v>A</v>
      </c>
      <c r="M6" s="55" t="str">
        <v>E</v>
      </c>
      <c r="N6" s="55" t="str">
        <v>E</v>
      </c>
    </row>
    <row r="7" spans="1:14" x14ac:dyDescent="0.25">
      <c r="A7" s="55" t="s">
        <v>13</v>
      </c>
      <c r="B7" s="63">
        <f>Simluação!O35</f>
        <v>41</v>
      </c>
      <c r="C7" s="55">
        <f>'Lote 4'!C7-'Lote 4'!C14</f>
        <v>404</v>
      </c>
      <c r="D7" s="55">
        <f>'Lote 4'!D7-'Lote 4'!D14</f>
        <v>422</v>
      </c>
      <c r="I7" s="55">
        <v>0</v>
      </c>
      <c r="J7" s="55">
        <v>66</v>
      </c>
      <c r="K7" s="55" t="str">
        <v>A</v>
      </c>
      <c r="L7" s="55" t="str">
        <v>B</v>
      </c>
      <c r="M7" s="55" t="str">
        <v>A</v>
      </c>
      <c r="N7" s="55" t="str">
        <v>B</v>
      </c>
    </row>
    <row r="8" spans="1:14" x14ac:dyDescent="0.25">
      <c r="I8" s="55">
        <v>0</v>
      </c>
      <c r="J8" s="55">
        <v>80</v>
      </c>
      <c r="K8" s="55" t="str">
        <v>A</v>
      </c>
      <c r="L8" s="55" t="str">
        <v>B</v>
      </c>
      <c r="M8" s="55" t="str">
        <v>B</v>
      </c>
      <c r="N8" s="55" t="str">
        <v>C</v>
      </c>
    </row>
    <row r="9" spans="1:14" x14ac:dyDescent="0.25">
      <c r="A9" s="55" t="s">
        <v>38</v>
      </c>
      <c r="I9" s="55">
        <v>0</v>
      </c>
      <c r="J9" s="55">
        <v>94</v>
      </c>
      <c r="K9" s="55" t="str">
        <v>A</v>
      </c>
      <c r="L9" s="55" t="str">
        <v>B</v>
      </c>
      <c r="M9" s="55" t="str">
        <v>C</v>
      </c>
      <c r="N9" s="55" t="str">
        <v>D</v>
      </c>
    </row>
    <row r="10" spans="1:14" x14ac:dyDescent="0.25">
      <c r="A10" s="55" t="s">
        <v>8</v>
      </c>
      <c r="B10" s="55">
        <f t="shared" ref="B10:B22" si="0">SUMIF($K:$K,A10,$I:$I)</f>
        <v>45</v>
      </c>
      <c r="C10" s="55">
        <f t="shared" ref="C10:C22" si="1">SUMIF($L:$L,A10,$I:$I)</f>
        <v>0</v>
      </c>
      <c r="D10" s="55">
        <f t="shared" ref="D10:D22" si="2">SUMIF($M:$M,A10,$I:$I)</f>
        <v>0</v>
      </c>
      <c r="E10" s="55">
        <f t="shared" ref="E10:E22" si="3">SUMIF($N:$N,A10,$I:$I)</f>
        <v>0</v>
      </c>
      <c r="F10" s="55">
        <v>-6</v>
      </c>
      <c r="I10" s="55">
        <v>0</v>
      </c>
      <c r="J10" s="55">
        <v>108</v>
      </c>
      <c r="K10" s="55" t="str">
        <v>A</v>
      </c>
      <c r="L10" s="55" t="str">
        <v>B</v>
      </c>
      <c r="M10" s="55" t="str">
        <v>D</v>
      </c>
      <c r="N10" s="55" t="str">
        <v>E</v>
      </c>
    </row>
    <row r="11" spans="1:14" x14ac:dyDescent="0.25">
      <c r="A11" s="55" t="s">
        <v>9</v>
      </c>
      <c r="B11" s="55">
        <f t="shared" si="0"/>
        <v>48</v>
      </c>
      <c r="C11" s="55">
        <f t="shared" si="1"/>
        <v>30</v>
      </c>
      <c r="D11" s="55">
        <f t="shared" si="2"/>
        <v>14</v>
      </c>
      <c r="E11" s="55">
        <f t="shared" si="3"/>
        <v>0</v>
      </c>
      <c r="F11" s="55">
        <v>-5</v>
      </c>
      <c r="I11" s="55">
        <v>0</v>
      </c>
      <c r="J11" s="55">
        <v>122</v>
      </c>
      <c r="K11" s="55" t="str">
        <v>A</v>
      </c>
      <c r="L11" s="55" t="str">
        <v>B</v>
      </c>
      <c r="M11" s="55" t="str">
        <v>E</v>
      </c>
      <c r="N11" s="55" t="str">
        <v>F</v>
      </c>
    </row>
    <row r="12" spans="1:14" x14ac:dyDescent="0.25">
      <c r="A12" s="55" t="s">
        <v>10</v>
      </c>
      <c r="B12" s="55">
        <f t="shared" si="0"/>
        <v>42</v>
      </c>
      <c r="C12" s="55">
        <f t="shared" si="1"/>
        <v>192</v>
      </c>
      <c r="D12" s="55">
        <f t="shared" si="2"/>
        <v>208</v>
      </c>
      <c r="E12" s="55">
        <f t="shared" si="3"/>
        <v>0</v>
      </c>
      <c r="F12" s="55">
        <v>-4</v>
      </c>
      <c r="I12" s="55">
        <v>0</v>
      </c>
      <c r="J12" s="55">
        <v>132</v>
      </c>
      <c r="K12" s="55" t="str">
        <v>A</v>
      </c>
      <c r="L12" s="55" t="str">
        <v>C</v>
      </c>
      <c r="M12" s="55" t="str">
        <v>A</v>
      </c>
      <c r="N12" s="55" t="str">
        <v>C</v>
      </c>
    </row>
    <row r="13" spans="1:14" x14ac:dyDescent="0.25">
      <c r="A13" s="55" t="s">
        <v>11</v>
      </c>
      <c r="B13" s="55">
        <f t="shared" si="0"/>
        <v>46</v>
      </c>
      <c r="C13" s="55">
        <f t="shared" si="1"/>
        <v>0</v>
      </c>
      <c r="D13" s="55">
        <f t="shared" si="2"/>
        <v>0</v>
      </c>
      <c r="E13" s="55">
        <f t="shared" si="3"/>
        <v>0</v>
      </c>
      <c r="F13" s="55">
        <v>-3</v>
      </c>
      <c r="I13" s="55">
        <v>0</v>
      </c>
      <c r="J13" s="55">
        <v>146</v>
      </c>
      <c r="K13" s="55" t="str">
        <v>A</v>
      </c>
      <c r="L13" s="55" t="str">
        <v>C</v>
      </c>
      <c r="M13" s="55" t="str">
        <v>B</v>
      </c>
      <c r="N13" s="55" t="str">
        <v>D</v>
      </c>
    </row>
    <row r="14" spans="1:14" x14ac:dyDescent="0.25">
      <c r="A14" s="55" t="s">
        <v>13</v>
      </c>
      <c r="B14" s="55">
        <f t="shared" si="0"/>
        <v>41</v>
      </c>
      <c r="C14" s="55">
        <f t="shared" si="1"/>
        <v>0</v>
      </c>
      <c r="D14" s="55">
        <f t="shared" si="2"/>
        <v>0</v>
      </c>
      <c r="E14" s="55">
        <f t="shared" si="3"/>
        <v>45</v>
      </c>
      <c r="F14" s="55">
        <v>-2</v>
      </c>
      <c r="I14" s="55">
        <v>45</v>
      </c>
      <c r="J14" s="55">
        <v>160</v>
      </c>
      <c r="K14" s="55" t="str">
        <v>A</v>
      </c>
      <c r="L14" s="55" t="str">
        <v>C</v>
      </c>
      <c r="M14" s="55" t="str">
        <v>C</v>
      </c>
      <c r="N14" s="55" t="str">
        <v>E</v>
      </c>
    </row>
    <row r="15" spans="1:14" x14ac:dyDescent="0.25">
      <c r="A15" s="55" t="s">
        <v>12</v>
      </c>
      <c r="B15" s="55">
        <f t="shared" si="0"/>
        <v>0</v>
      </c>
      <c r="C15" s="55">
        <f t="shared" si="1"/>
        <v>0</v>
      </c>
      <c r="D15" s="55">
        <f t="shared" si="2"/>
        <v>0</v>
      </c>
      <c r="E15" s="55">
        <f t="shared" si="3"/>
        <v>48</v>
      </c>
      <c r="F15" s="55">
        <v>-1</v>
      </c>
      <c r="I15" s="55">
        <v>0</v>
      </c>
      <c r="J15" s="55">
        <v>174</v>
      </c>
      <c r="K15" s="55" t="str">
        <v>A</v>
      </c>
      <c r="L15" s="55" t="str">
        <v>C</v>
      </c>
      <c r="M15" s="55" t="str">
        <v>D</v>
      </c>
      <c r="N15" s="55" t="str">
        <v>F</v>
      </c>
    </row>
    <row r="16" spans="1:14" x14ac:dyDescent="0.25">
      <c r="A16" s="55" t="s">
        <v>14</v>
      </c>
      <c r="B16" s="55">
        <f t="shared" si="0"/>
        <v>0</v>
      </c>
      <c r="C16" s="55">
        <f t="shared" si="1"/>
        <v>0</v>
      </c>
      <c r="D16" s="55">
        <f t="shared" si="2"/>
        <v>0</v>
      </c>
      <c r="E16" s="55">
        <f t="shared" si="3"/>
        <v>45</v>
      </c>
      <c r="F16" s="55">
        <v>0</v>
      </c>
      <c r="I16" s="55">
        <v>0</v>
      </c>
      <c r="J16" s="55">
        <v>188</v>
      </c>
      <c r="K16" s="55" t="str">
        <v>A</v>
      </c>
      <c r="L16" s="55" t="str">
        <v>C</v>
      </c>
      <c r="M16" s="55" t="str">
        <v>E</v>
      </c>
      <c r="N16" s="55" t="str">
        <v>G</v>
      </c>
    </row>
    <row r="17" spans="1:14" x14ac:dyDescent="0.25">
      <c r="A17" s="55" t="s">
        <v>44</v>
      </c>
      <c r="B17" s="55">
        <f t="shared" si="0"/>
        <v>0</v>
      </c>
      <c r="C17" s="55">
        <f t="shared" si="1"/>
        <v>0</v>
      </c>
      <c r="D17" s="55">
        <f t="shared" si="2"/>
        <v>0</v>
      </c>
      <c r="E17" s="55">
        <f t="shared" si="3"/>
        <v>84</v>
      </c>
      <c r="F17" s="55">
        <v>1</v>
      </c>
      <c r="I17" s="55">
        <v>0</v>
      </c>
      <c r="J17" s="55">
        <v>198</v>
      </c>
      <c r="K17" s="55" t="str">
        <v>A</v>
      </c>
      <c r="L17" s="55" t="str">
        <v>D</v>
      </c>
      <c r="M17" s="55" t="str">
        <v>A</v>
      </c>
      <c r="N17" s="55" t="str">
        <v>D</v>
      </c>
    </row>
    <row r="18" spans="1:14" x14ac:dyDescent="0.25">
      <c r="A18" s="55" t="s">
        <v>45</v>
      </c>
      <c r="B18" s="55">
        <f t="shared" si="0"/>
        <v>0</v>
      </c>
      <c r="C18" s="55">
        <f t="shared" si="1"/>
        <v>0</v>
      </c>
      <c r="D18" s="55">
        <f t="shared" si="2"/>
        <v>0</v>
      </c>
      <c r="E18" s="55">
        <f t="shared" si="3"/>
        <v>0</v>
      </c>
      <c r="F18" s="55">
        <v>2</v>
      </c>
      <c r="I18" s="55">
        <v>0</v>
      </c>
      <c r="J18" s="55">
        <v>212</v>
      </c>
      <c r="K18" s="55" t="str">
        <v>A</v>
      </c>
      <c r="L18" s="55" t="str">
        <v>D</v>
      </c>
      <c r="M18" s="55" t="str">
        <v>B</v>
      </c>
      <c r="N18" s="55" t="str">
        <v>E</v>
      </c>
    </row>
    <row r="19" spans="1:14" x14ac:dyDescent="0.25">
      <c r="A19" s="55" t="s">
        <v>46</v>
      </c>
      <c r="B19" s="55">
        <f t="shared" si="0"/>
        <v>0</v>
      </c>
      <c r="C19" s="55">
        <f t="shared" si="1"/>
        <v>0</v>
      </c>
      <c r="D19" s="55">
        <f t="shared" si="2"/>
        <v>0</v>
      </c>
      <c r="E19" s="55">
        <f t="shared" si="3"/>
        <v>0</v>
      </c>
      <c r="F19" s="55">
        <v>3</v>
      </c>
      <c r="I19" s="55">
        <v>0</v>
      </c>
      <c r="J19" s="55">
        <v>226</v>
      </c>
      <c r="K19" s="55" t="str">
        <v>A</v>
      </c>
      <c r="L19" s="55" t="str">
        <v>D</v>
      </c>
      <c r="M19" s="55" t="str">
        <v>C</v>
      </c>
      <c r="N19" s="55" t="str">
        <v>F</v>
      </c>
    </row>
    <row r="20" spans="1:14" x14ac:dyDescent="0.25">
      <c r="A20" s="55" t="s">
        <v>47</v>
      </c>
      <c r="B20" s="55">
        <f t="shared" si="0"/>
        <v>0</v>
      </c>
      <c r="C20" s="55">
        <f t="shared" si="1"/>
        <v>0</v>
      </c>
      <c r="D20" s="55">
        <f t="shared" si="2"/>
        <v>0</v>
      </c>
      <c r="E20" s="55">
        <f t="shared" si="3"/>
        <v>0</v>
      </c>
      <c r="F20" s="55">
        <v>4</v>
      </c>
      <c r="I20" s="55">
        <v>0</v>
      </c>
      <c r="J20" s="55">
        <v>240</v>
      </c>
      <c r="K20" s="55" t="str">
        <v>A</v>
      </c>
      <c r="L20" s="55" t="str">
        <v>D</v>
      </c>
      <c r="M20" s="55" t="str">
        <v>D</v>
      </c>
      <c r="N20" s="55" t="str">
        <v>G</v>
      </c>
    </row>
    <row r="21" spans="1:14" x14ac:dyDescent="0.25">
      <c r="A21" s="55" t="s">
        <v>48</v>
      </c>
      <c r="B21" s="55">
        <f t="shared" si="0"/>
        <v>0</v>
      </c>
      <c r="C21" s="55">
        <f t="shared" si="1"/>
        <v>0</v>
      </c>
      <c r="D21" s="55">
        <f t="shared" si="2"/>
        <v>0</v>
      </c>
      <c r="E21" s="55">
        <f t="shared" si="3"/>
        <v>0</v>
      </c>
      <c r="F21" s="55">
        <v>5</v>
      </c>
      <c r="I21" s="55">
        <v>0</v>
      </c>
      <c r="J21" s="55">
        <v>254</v>
      </c>
      <c r="K21" s="55" t="str">
        <v>A</v>
      </c>
      <c r="L21" s="55" t="str">
        <v>D</v>
      </c>
      <c r="M21" s="55" t="str">
        <v>E</v>
      </c>
      <c r="N21" s="55" t="str">
        <v>H</v>
      </c>
    </row>
    <row r="22" spans="1:14" x14ac:dyDescent="0.25">
      <c r="A22" s="55" t="s">
        <v>49</v>
      </c>
      <c r="B22" s="55">
        <f t="shared" si="0"/>
        <v>0</v>
      </c>
      <c r="C22" s="55">
        <f t="shared" si="1"/>
        <v>0</v>
      </c>
      <c r="D22" s="55">
        <f t="shared" si="2"/>
        <v>0</v>
      </c>
      <c r="E22" s="55">
        <f t="shared" si="3"/>
        <v>0</v>
      </c>
      <c r="F22" s="55">
        <v>6</v>
      </c>
      <c r="I22" s="55">
        <v>0</v>
      </c>
      <c r="J22" s="55">
        <v>264</v>
      </c>
      <c r="K22" s="55" t="str">
        <v>A</v>
      </c>
      <c r="L22" s="55" t="str">
        <v>E</v>
      </c>
      <c r="M22" s="55" t="str">
        <v>A</v>
      </c>
      <c r="N22" s="55" t="str">
        <v>E</v>
      </c>
    </row>
    <row r="23" spans="1:14" x14ac:dyDescent="0.25">
      <c r="B23" s="55">
        <f>SUM(B10:B22)</f>
        <v>222</v>
      </c>
      <c r="C23" s="55">
        <f>SUM(C10:C22)</f>
        <v>222</v>
      </c>
      <c r="D23" s="55">
        <f>SUM(D10:D22)</f>
        <v>222</v>
      </c>
      <c r="E23" s="55">
        <f>SUM(E10:E22)</f>
        <v>222</v>
      </c>
      <c r="I23" s="55">
        <v>0</v>
      </c>
      <c r="J23" s="55">
        <v>278</v>
      </c>
      <c r="K23" s="55" t="str">
        <v>A</v>
      </c>
      <c r="L23" s="55" t="str">
        <v>E</v>
      </c>
      <c r="M23" s="55" t="str">
        <v>B</v>
      </c>
      <c r="N23" s="55" t="str">
        <v>F</v>
      </c>
    </row>
    <row r="24" spans="1:14" x14ac:dyDescent="0.25">
      <c r="I24" s="55">
        <v>0</v>
      </c>
      <c r="J24" s="55">
        <v>292</v>
      </c>
      <c r="K24" s="55" t="str">
        <v>A</v>
      </c>
      <c r="L24" s="55" t="str">
        <v>E</v>
      </c>
      <c r="M24" s="55" t="str">
        <v>C</v>
      </c>
      <c r="N24" s="55" t="str">
        <v>G</v>
      </c>
    </row>
    <row r="25" spans="1:14" x14ac:dyDescent="0.25">
      <c r="I25" s="55">
        <v>0</v>
      </c>
      <c r="J25" s="55">
        <v>306</v>
      </c>
      <c r="K25" s="55" t="str">
        <v>A</v>
      </c>
      <c r="L25" s="55" t="str">
        <v>E</v>
      </c>
      <c r="M25" s="55" t="str">
        <v>D</v>
      </c>
      <c r="N25" s="55" t="str">
        <v>H</v>
      </c>
    </row>
    <row r="26" spans="1:14" x14ac:dyDescent="0.25">
      <c r="I26" s="55">
        <v>0</v>
      </c>
      <c r="J26" s="55">
        <v>320</v>
      </c>
      <c r="K26" s="55" t="str">
        <v>A</v>
      </c>
      <c r="L26" s="55" t="str">
        <v>E</v>
      </c>
      <c r="M26" s="55" t="str">
        <v>E</v>
      </c>
      <c r="N26" s="55" t="str">
        <v>I</v>
      </c>
    </row>
    <row r="27" spans="1:14" x14ac:dyDescent="0.25">
      <c r="I27" s="55">
        <v>0</v>
      </c>
      <c r="J27" s="55">
        <v>326</v>
      </c>
      <c r="K27" s="55" t="str">
        <v>B</v>
      </c>
      <c r="L27" s="55" t="str">
        <v>A</v>
      </c>
      <c r="M27" s="55" t="str">
        <v>A</v>
      </c>
      <c r="N27" s="55" t="str">
        <v>B</v>
      </c>
    </row>
    <row r="28" spans="1:14" x14ac:dyDescent="0.25">
      <c r="I28" s="55">
        <v>0</v>
      </c>
      <c r="J28" s="55">
        <v>340</v>
      </c>
      <c r="K28" s="55" t="str">
        <v>B</v>
      </c>
      <c r="L28" s="55" t="str">
        <v>A</v>
      </c>
      <c r="M28" s="55" t="str">
        <v>B</v>
      </c>
      <c r="N28" s="55" t="str">
        <v>C</v>
      </c>
    </row>
    <row r="29" spans="1:14" x14ac:dyDescent="0.25">
      <c r="I29" s="55">
        <v>0</v>
      </c>
      <c r="J29" s="55">
        <v>354</v>
      </c>
      <c r="K29" s="55" t="str">
        <v>B</v>
      </c>
      <c r="L29" s="55" t="str">
        <v>A</v>
      </c>
      <c r="M29" s="55" t="str">
        <v>C</v>
      </c>
      <c r="N29" s="55" t="str">
        <v>D</v>
      </c>
    </row>
    <row r="30" spans="1:14" x14ac:dyDescent="0.25">
      <c r="I30" s="55">
        <v>0</v>
      </c>
      <c r="J30" s="55">
        <v>368</v>
      </c>
      <c r="K30" s="55" t="str">
        <v>B</v>
      </c>
      <c r="L30" s="55" t="str">
        <v>A</v>
      </c>
      <c r="M30" s="55" t="str">
        <v>D</v>
      </c>
      <c r="N30" s="55" t="str">
        <v>E</v>
      </c>
    </row>
    <row r="31" spans="1:14" x14ac:dyDescent="0.25">
      <c r="I31" s="55">
        <v>0</v>
      </c>
      <c r="J31" s="55">
        <v>382</v>
      </c>
      <c r="K31" s="55" t="str">
        <v>B</v>
      </c>
      <c r="L31" s="55" t="str">
        <v>A</v>
      </c>
      <c r="M31" s="55" t="str">
        <v>E</v>
      </c>
      <c r="N31" s="55" t="str">
        <v>F</v>
      </c>
    </row>
    <row r="32" spans="1:14" x14ac:dyDescent="0.25">
      <c r="I32" s="55">
        <v>0</v>
      </c>
      <c r="J32" s="55">
        <v>392</v>
      </c>
      <c r="K32" s="55" t="str">
        <v>B</v>
      </c>
      <c r="L32" s="55" t="str">
        <v>B</v>
      </c>
      <c r="M32" s="55" t="str">
        <v>A</v>
      </c>
      <c r="N32" s="55" t="str">
        <v>C</v>
      </c>
    </row>
    <row r="33" spans="9:14" x14ac:dyDescent="0.25">
      <c r="I33" s="55">
        <v>0</v>
      </c>
      <c r="J33" s="55">
        <v>406</v>
      </c>
      <c r="K33" s="55" t="str">
        <v>B</v>
      </c>
      <c r="L33" s="55" t="str">
        <v>B</v>
      </c>
      <c r="M33" s="55" t="str">
        <v>B</v>
      </c>
      <c r="N33" s="55" t="str">
        <v>D</v>
      </c>
    </row>
    <row r="34" spans="9:14" x14ac:dyDescent="0.25">
      <c r="I34" s="55">
        <v>0</v>
      </c>
      <c r="J34" s="55">
        <v>420</v>
      </c>
      <c r="K34" s="55" t="str">
        <v>B</v>
      </c>
      <c r="L34" s="55" t="str">
        <v>B</v>
      </c>
      <c r="M34" s="55" t="str">
        <v>C</v>
      </c>
      <c r="N34" s="55" t="str">
        <v>E</v>
      </c>
    </row>
    <row r="35" spans="9:14" x14ac:dyDescent="0.25">
      <c r="I35" s="55">
        <v>0</v>
      </c>
      <c r="J35" s="55">
        <v>434</v>
      </c>
      <c r="K35" s="55" t="str">
        <v>B</v>
      </c>
      <c r="L35" s="55" t="str">
        <v>B</v>
      </c>
      <c r="M35" s="55" t="str">
        <v>D</v>
      </c>
      <c r="N35" s="55" t="str">
        <v>F</v>
      </c>
    </row>
    <row r="36" spans="9:14" x14ac:dyDescent="0.25">
      <c r="I36" s="55">
        <v>0</v>
      </c>
      <c r="J36" s="55">
        <v>448</v>
      </c>
      <c r="K36" s="55" t="str">
        <v>B</v>
      </c>
      <c r="L36" s="55" t="str">
        <v>B</v>
      </c>
      <c r="M36" s="55" t="str">
        <v>E</v>
      </c>
      <c r="N36" s="55" t="str">
        <v>G</v>
      </c>
    </row>
    <row r="37" spans="9:14" x14ac:dyDescent="0.25">
      <c r="I37" s="55">
        <v>0</v>
      </c>
      <c r="J37" s="55">
        <v>458</v>
      </c>
      <c r="K37" s="55" t="str">
        <v>B</v>
      </c>
      <c r="L37" s="55" t="str">
        <v>C</v>
      </c>
      <c r="M37" s="55" t="str">
        <v>A</v>
      </c>
      <c r="N37" s="55" t="str">
        <v>D</v>
      </c>
    </row>
    <row r="38" spans="9:14" x14ac:dyDescent="0.25">
      <c r="I38" s="55">
        <v>0</v>
      </c>
      <c r="J38" s="55">
        <v>472</v>
      </c>
      <c r="K38" s="55" t="str">
        <v>B</v>
      </c>
      <c r="L38" s="55" t="str">
        <v>C</v>
      </c>
      <c r="M38" s="55" t="str">
        <v>B</v>
      </c>
      <c r="N38" s="55" t="str">
        <v>E</v>
      </c>
    </row>
    <row r="39" spans="9:14" x14ac:dyDescent="0.25">
      <c r="I39" s="55">
        <v>48</v>
      </c>
      <c r="J39" s="55">
        <v>486</v>
      </c>
      <c r="K39" s="55" t="str">
        <v>B</v>
      </c>
      <c r="L39" s="55" t="str">
        <v>C</v>
      </c>
      <c r="M39" s="55" t="str">
        <v>C</v>
      </c>
      <c r="N39" s="55" t="str">
        <v>F</v>
      </c>
    </row>
    <row r="40" spans="9:14" x14ac:dyDescent="0.25">
      <c r="I40" s="55">
        <v>0</v>
      </c>
      <c r="J40" s="55">
        <v>500</v>
      </c>
      <c r="K40" s="55" t="str">
        <v>B</v>
      </c>
      <c r="L40" s="55" t="str">
        <v>C</v>
      </c>
      <c r="M40" s="55" t="str">
        <v>D</v>
      </c>
      <c r="N40" s="55" t="str">
        <v>G</v>
      </c>
    </row>
    <row r="41" spans="9:14" x14ac:dyDescent="0.25">
      <c r="I41" s="55">
        <v>0</v>
      </c>
      <c r="J41" s="55">
        <v>514</v>
      </c>
      <c r="K41" s="55" t="str">
        <v>B</v>
      </c>
      <c r="L41" s="55" t="str">
        <v>C</v>
      </c>
      <c r="M41" s="55" t="str">
        <v>E</v>
      </c>
      <c r="N41" s="55" t="str">
        <v>H</v>
      </c>
    </row>
    <row r="42" spans="9:14" x14ac:dyDescent="0.25">
      <c r="I42" s="55">
        <v>0</v>
      </c>
      <c r="J42" s="55">
        <v>524</v>
      </c>
      <c r="K42" s="55" t="str">
        <v>B</v>
      </c>
      <c r="L42" s="55" t="str">
        <v>D</v>
      </c>
      <c r="M42" s="55" t="str">
        <v>A</v>
      </c>
      <c r="N42" s="55" t="str">
        <v>E</v>
      </c>
    </row>
    <row r="43" spans="9:14" x14ac:dyDescent="0.25">
      <c r="I43" s="55">
        <v>0</v>
      </c>
      <c r="J43" s="55">
        <v>538</v>
      </c>
      <c r="K43" s="55" t="str">
        <v>B</v>
      </c>
      <c r="L43" s="55" t="str">
        <v>D</v>
      </c>
      <c r="M43" s="55" t="str">
        <v>B</v>
      </c>
      <c r="N43" s="55" t="str">
        <v>F</v>
      </c>
    </row>
    <row r="44" spans="9:14" x14ac:dyDescent="0.25">
      <c r="I44" s="55">
        <v>0</v>
      </c>
      <c r="J44" s="55">
        <v>552</v>
      </c>
      <c r="K44" s="55" t="str">
        <v>B</v>
      </c>
      <c r="L44" s="55" t="str">
        <v>D</v>
      </c>
      <c r="M44" s="55" t="str">
        <v>C</v>
      </c>
      <c r="N44" s="55" t="str">
        <v>G</v>
      </c>
    </row>
    <row r="45" spans="9:14" x14ac:dyDescent="0.25">
      <c r="I45" s="55">
        <v>0</v>
      </c>
      <c r="J45" s="55">
        <v>566</v>
      </c>
      <c r="K45" s="55" t="str">
        <v>B</v>
      </c>
      <c r="L45" s="55" t="str">
        <v>D</v>
      </c>
      <c r="M45" s="55" t="str">
        <v>D</v>
      </c>
      <c r="N45" s="55" t="str">
        <v>H</v>
      </c>
    </row>
    <row r="46" spans="9:14" x14ac:dyDescent="0.25">
      <c r="I46" s="55">
        <v>0</v>
      </c>
      <c r="J46" s="55">
        <v>580</v>
      </c>
      <c r="K46" s="55" t="str">
        <v>B</v>
      </c>
      <c r="L46" s="55" t="str">
        <v>D</v>
      </c>
      <c r="M46" s="55" t="str">
        <v>E</v>
      </c>
      <c r="N46" s="55" t="str">
        <v>I</v>
      </c>
    </row>
    <row r="47" spans="9:14" x14ac:dyDescent="0.25">
      <c r="I47" s="55">
        <v>0</v>
      </c>
      <c r="J47" s="55">
        <v>590</v>
      </c>
      <c r="K47" s="55" t="str">
        <v>B</v>
      </c>
      <c r="L47" s="55" t="str">
        <v>E</v>
      </c>
      <c r="M47" s="55" t="str">
        <v>A</v>
      </c>
      <c r="N47" s="55" t="str">
        <v>F</v>
      </c>
    </row>
    <row r="48" spans="9:14" x14ac:dyDescent="0.25">
      <c r="I48" s="55">
        <v>0</v>
      </c>
      <c r="J48" s="55">
        <v>604</v>
      </c>
      <c r="K48" s="55" t="str">
        <v>B</v>
      </c>
      <c r="L48" s="55" t="str">
        <v>E</v>
      </c>
      <c r="M48" s="55" t="str">
        <v>B</v>
      </c>
      <c r="N48" s="55" t="str">
        <v>G</v>
      </c>
    </row>
    <row r="49" spans="9:14" x14ac:dyDescent="0.25">
      <c r="I49" s="55">
        <v>0</v>
      </c>
      <c r="J49" s="55">
        <v>618</v>
      </c>
      <c r="K49" s="55" t="str">
        <v>B</v>
      </c>
      <c r="L49" s="55" t="str">
        <v>E</v>
      </c>
      <c r="M49" s="55" t="str">
        <v>C</v>
      </c>
      <c r="N49" s="55" t="str">
        <v>H</v>
      </c>
    </row>
    <row r="50" spans="9:14" x14ac:dyDescent="0.25">
      <c r="I50" s="55">
        <v>0</v>
      </c>
      <c r="J50" s="55">
        <v>632</v>
      </c>
      <c r="K50" s="55" t="str">
        <v>B</v>
      </c>
      <c r="L50" s="55" t="str">
        <v>E</v>
      </c>
      <c r="M50" s="55" t="str">
        <v>D</v>
      </c>
      <c r="N50" s="55" t="str">
        <v>I</v>
      </c>
    </row>
    <row r="51" spans="9:14" x14ac:dyDescent="0.25">
      <c r="I51" s="55">
        <v>0</v>
      </c>
      <c r="J51" s="55">
        <v>646</v>
      </c>
      <c r="K51" s="55" t="str">
        <v>B</v>
      </c>
      <c r="L51" s="55" t="str">
        <v>E</v>
      </c>
      <c r="M51" s="55" t="str">
        <v>E</v>
      </c>
      <c r="N51" s="55" t="str">
        <v>J</v>
      </c>
    </row>
    <row r="52" spans="9:14" x14ac:dyDescent="0.25">
      <c r="I52" s="55">
        <v>0</v>
      </c>
      <c r="J52" s="55">
        <v>652</v>
      </c>
      <c r="K52" s="55" t="str">
        <v>C</v>
      </c>
      <c r="L52" s="55" t="str">
        <v>A</v>
      </c>
      <c r="M52" s="55" t="str">
        <v>A</v>
      </c>
      <c r="N52" s="55" t="str">
        <v>C</v>
      </c>
    </row>
    <row r="53" spans="9:14" x14ac:dyDescent="0.25">
      <c r="I53" s="55">
        <v>0</v>
      </c>
      <c r="J53" s="55">
        <v>666</v>
      </c>
      <c r="K53" s="55" t="str">
        <v>C</v>
      </c>
      <c r="L53" s="55" t="str">
        <v>A</v>
      </c>
      <c r="M53" s="55" t="str">
        <v>B</v>
      </c>
      <c r="N53" s="55" t="str">
        <v>D</v>
      </c>
    </row>
    <row r="54" spans="9:14" x14ac:dyDescent="0.25">
      <c r="I54" s="55">
        <v>0</v>
      </c>
      <c r="J54" s="55">
        <v>680</v>
      </c>
      <c r="K54" s="55" t="str">
        <v>C</v>
      </c>
      <c r="L54" s="55" t="str">
        <v>A</v>
      </c>
      <c r="M54" s="55" t="str">
        <v>C</v>
      </c>
      <c r="N54" s="55" t="str">
        <v>E</v>
      </c>
    </row>
    <row r="55" spans="9:14" x14ac:dyDescent="0.25">
      <c r="I55" s="55">
        <v>0</v>
      </c>
      <c r="J55" s="55">
        <v>694</v>
      </c>
      <c r="K55" s="55" t="str">
        <v>C</v>
      </c>
      <c r="L55" s="55" t="str">
        <v>A</v>
      </c>
      <c r="M55" s="55" t="str">
        <v>D</v>
      </c>
      <c r="N55" s="55" t="str">
        <v>F</v>
      </c>
    </row>
    <row r="56" spans="9:14" x14ac:dyDescent="0.25">
      <c r="I56" s="55">
        <v>0</v>
      </c>
      <c r="J56" s="55">
        <v>708</v>
      </c>
      <c r="K56" s="55" t="str">
        <v>C</v>
      </c>
      <c r="L56" s="55" t="str">
        <v>A</v>
      </c>
      <c r="M56" s="55" t="str">
        <v>E</v>
      </c>
      <c r="N56" s="55" t="str">
        <v>G</v>
      </c>
    </row>
    <row r="57" spans="9:14" x14ac:dyDescent="0.25">
      <c r="I57" s="55">
        <v>0</v>
      </c>
      <c r="J57" s="55">
        <v>718</v>
      </c>
      <c r="K57" s="55" t="str">
        <v>C</v>
      </c>
      <c r="L57" s="55" t="str">
        <v>B</v>
      </c>
      <c r="M57" s="55" t="str">
        <v>A</v>
      </c>
      <c r="N57" s="55" t="str">
        <v>D</v>
      </c>
    </row>
    <row r="58" spans="9:14" x14ac:dyDescent="0.25">
      <c r="I58" s="55">
        <v>0</v>
      </c>
      <c r="J58" s="55">
        <v>732</v>
      </c>
      <c r="K58" s="55" t="str">
        <v>C</v>
      </c>
      <c r="L58" s="55" t="str">
        <v>B</v>
      </c>
      <c r="M58" s="55" t="str">
        <v>B</v>
      </c>
      <c r="N58" s="55" t="str">
        <v>E</v>
      </c>
    </row>
    <row r="59" spans="9:14" x14ac:dyDescent="0.25">
      <c r="I59" s="55">
        <v>0</v>
      </c>
      <c r="J59" s="55">
        <v>746</v>
      </c>
      <c r="K59" s="55" t="str">
        <v>C</v>
      </c>
      <c r="L59" s="55" t="str">
        <v>B</v>
      </c>
      <c r="M59" s="55" t="str">
        <v>C</v>
      </c>
      <c r="N59" s="55" t="str">
        <v>F</v>
      </c>
    </row>
    <row r="60" spans="9:14" x14ac:dyDescent="0.25">
      <c r="I60" s="55">
        <v>0</v>
      </c>
      <c r="J60" s="55">
        <v>760</v>
      </c>
      <c r="K60" s="55" t="str">
        <v>C</v>
      </c>
      <c r="L60" s="55" t="str">
        <v>B</v>
      </c>
      <c r="M60" s="55" t="str">
        <v>D</v>
      </c>
      <c r="N60" s="55" t="str">
        <v>G</v>
      </c>
    </row>
    <row r="61" spans="9:14" x14ac:dyDescent="0.25">
      <c r="I61" s="55">
        <v>0</v>
      </c>
      <c r="J61" s="55">
        <v>774</v>
      </c>
      <c r="K61" s="55" t="str">
        <v>C</v>
      </c>
      <c r="L61" s="55" t="str">
        <v>B</v>
      </c>
      <c r="M61" s="55" t="str">
        <v>E</v>
      </c>
      <c r="N61" s="55" t="str">
        <v>H</v>
      </c>
    </row>
    <row r="62" spans="9:14" x14ac:dyDescent="0.25">
      <c r="I62" s="55">
        <v>0</v>
      </c>
      <c r="J62" s="55">
        <v>784</v>
      </c>
      <c r="K62" s="55" t="str">
        <v>C</v>
      </c>
      <c r="L62" s="55" t="str">
        <v>C</v>
      </c>
      <c r="M62" s="55" t="str">
        <v>A</v>
      </c>
      <c r="N62" s="55" t="str">
        <v>E</v>
      </c>
    </row>
    <row r="63" spans="9:14" x14ac:dyDescent="0.25">
      <c r="I63" s="55">
        <v>0</v>
      </c>
      <c r="J63" s="55">
        <v>798</v>
      </c>
      <c r="K63" s="55" t="str">
        <v>C</v>
      </c>
      <c r="L63" s="55" t="str">
        <v>C</v>
      </c>
      <c r="M63" s="55" t="str">
        <v>B</v>
      </c>
      <c r="N63" s="55" t="str">
        <v>F</v>
      </c>
    </row>
    <row r="64" spans="9:14" x14ac:dyDescent="0.25">
      <c r="I64" s="55">
        <v>42</v>
      </c>
      <c r="J64" s="55">
        <v>812</v>
      </c>
      <c r="K64" s="55" t="str">
        <v>C</v>
      </c>
      <c r="L64" s="55" t="str">
        <v>C</v>
      </c>
      <c r="M64" s="55" t="str">
        <v>C</v>
      </c>
      <c r="N64" s="55" t="str">
        <v>G</v>
      </c>
    </row>
    <row r="65" spans="9:14" x14ac:dyDescent="0.25">
      <c r="I65" s="55">
        <v>0</v>
      </c>
      <c r="J65" s="55">
        <v>826</v>
      </c>
      <c r="K65" s="55" t="str">
        <v>C</v>
      </c>
      <c r="L65" s="55" t="str">
        <v>C</v>
      </c>
      <c r="M65" s="55" t="str">
        <v>D</v>
      </c>
      <c r="N65" s="55" t="str">
        <v>H</v>
      </c>
    </row>
    <row r="66" spans="9:14" x14ac:dyDescent="0.25">
      <c r="I66" s="55">
        <v>0</v>
      </c>
      <c r="J66" s="55">
        <v>840</v>
      </c>
      <c r="K66" s="55" t="str">
        <v>C</v>
      </c>
      <c r="L66" s="55" t="str">
        <v>C</v>
      </c>
      <c r="M66" s="55" t="str">
        <v>E</v>
      </c>
      <c r="N66" s="55" t="str">
        <v>I</v>
      </c>
    </row>
    <row r="67" spans="9:14" x14ac:dyDescent="0.25">
      <c r="I67" s="55">
        <v>0</v>
      </c>
      <c r="J67" s="55">
        <v>850</v>
      </c>
      <c r="K67" s="55" t="str">
        <v>C</v>
      </c>
      <c r="L67" s="55" t="str">
        <v>D</v>
      </c>
      <c r="M67" s="55" t="str">
        <v>A</v>
      </c>
      <c r="N67" s="55" t="str">
        <v>F</v>
      </c>
    </row>
    <row r="68" spans="9:14" x14ac:dyDescent="0.25">
      <c r="I68" s="55">
        <v>0</v>
      </c>
      <c r="J68" s="55">
        <v>864</v>
      </c>
      <c r="K68" s="55" t="str">
        <v>C</v>
      </c>
      <c r="L68" s="55" t="str">
        <v>D</v>
      </c>
      <c r="M68" s="55" t="str">
        <v>B</v>
      </c>
      <c r="N68" s="55" t="str">
        <v>G</v>
      </c>
    </row>
    <row r="69" spans="9:14" x14ac:dyDescent="0.25">
      <c r="I69" s="55">
        <v>0</v>
      </c>
      <c r="J69" s="55">
        <v>878</v>
      </c>
      <c r="K69" s="55" t="str">
        <v>C</v>
      </c>
      <c r="L69" s="55" t="str">
        <v>D</v>
      </c>
      <c r="M69" s="55" t="str">
        <v>C</v>
      </c>
      <c r="N69" s="55" t="str">
        <v>H</v>
      </c>
    </row>
    <row r="70" spans="9:14" x14ac:dyDescent="0.25">
      <c r="I70" s="55">
        <v>0</v>
      </c>
      <c r="J70" s="55">
        <v>892</v>
      </c>
      <c r="K70" s="55" t="str">
        <v>C</v>
      </c>
      <c r="L70" s="55" t="str">
        <v>D</v>
      </c>
      <c r="M70" s="55" t="str">
        <v>D</v>
      </c>
      <c r="N70" s="55" t="str">
        <v>I</v>
      </c>
    </row>
    <row r="71" spans="9:14" x14ac:dyDescent="0.25">
      <c r="I71" s="55">
        <v>0</v>
      </c>
      <c r="J71" s="55">
        <v>906</v>
      </c>
      <c r="K71" s="55" t="str">
        <v>C</v>
      </c>
      <c r="L71" s="55" t="str">
        <v>D</v>
      </c>
      <c r="M71" s="55" t="str">
        <v>E</v>
      </c>
      <c r="N71" s="55" t="str">
        <v>J</v>
      </c>
    </row>
    <row r="72" spans="9:14" x14ac:dyDescent="0.25">
      <c r="I72" s="55">
        <v>0</v>
      </c>
      <c r="J72" s="55">
        <v>916</v>
      </c>
      <c r="K72" s="55" t="str">
        <v>C</v>
      </c>
      <c r="L72" s="55" t="str">
        <v>E</v>
      </c>
      <c r="M72" s="55" t="str">
        <v>A</v>
      </c>
      <c r="N72" s="55" t="str">
        <v>G</v>
      </c>
    </row>
    <row r="73" spans="9:14" x14ac:dyDescent="0.25">
      <c r="I73" s="55">
        <v>0</v>
      </c>
      <c r="J73" s="55">
        <v>930</v>
      </c>
      <c r="K73" s="55" t="str">
        <v>C</v>
      </c>
      <c r="L73" s="55" t="str">
        <v>E</v>
      </c>
      <c r="M73" s="55" t="str">
        <v>B</v>
      </c>
      <c r="N73" s="55" t="str">
        <v>H</v>
      </c>
    </row>
    <row r="74" spans="9:14" x14ac:dyDescent="0.25">
      <c r="I74" s="55">
        <v>0</v>
      </c>
      <c r="J74" s="55">
        <v>944</v>
      </c>
      <c r="K74" s="55" t="str">
        <v>C</v>
      </c>
      <c r="L74" s="55" t="str">
        <v>E</v>
      </c>
      <c r="M74" s="55" t="str">
        <v>C</v>
      </c>
      <c r="N74" s="55" t="str">
        <v>I</v>
      </c>
    </row>
    <row r="75" spans="9:14" x14ac:dyDescent="0.25">
      <c r="I75" s="55">
        <v>0</v>
      </c>
      <c r="J75" s="55">
        <v>958</v>
      </c>
      <c r="K75" s="55" t="str">
        <v>C</v>
      </c>
      <c r="L75" s="55" t="str">
        <v>E</v>
      </c>
      <c r="M75" s="55" t="str">
        <v>D</v>
      </c>
      <c r="N75" s="55" t="str">
        <v>J</v>
      </c>
    </row>
    <row r="76" spans="9:14" x14ac:dyDescent="0.25">
      <c r="I76" s="55">
        <v>0</v>
      </c>
      <c r="J76" s="55">
        <v>972</v>
      </c>
      <c r="K76" s="55" t="str">
        <v>C</v>
      </c>
      <c r="L76" s="55" t="str">
        <v>E</v>
      </c>
      <c r="M76" s="55" t="str">
        <v>E</v>
      </c>
      <c r="N76" s="55" t="str">
        <v>K</v>
      </c>
    </row>
    <row r="77" spans="9:14" x14ac:dyDescent="0.25">
      <c r="I77" s="55">
        <v>0</v>
      </c>
      <c r="J77" s="55">
        <v>978</v>
      </c>
      <c r="K77" s="55" t="str">
        <v>D</v>
      </c>
      <c r="L77" s="55" t="str">
        <v>A</v>
      </c>
      <c r="M77" s="55" t="str">
        <v>A</v>
      </c>
      <c r="N77" s="55" t="str">
        <v>D</v>
      </c>
    </row>
    <row r="78" spans="9:14" x14ac:dyDescent="0.25">
      <c r="I78" s="55">
        <v>0</v>
      </c>
      <c r="J78" s="55">
        <v>992</v>
      </c>
      <c r="K78" s="55" t="str">
        <v>D</v>
      </c>
      <c r="L78" s="55" t="str">
        <v>A</v>
      </c>
      <c r="M78" s="55" t="str">
        <v>B</v>
      </c>
      <c r="N78" s="55" t="str">
        <v>E</v>
      </c>
    </row>
    <row r="79" spans="9:14" x14ac:dyDescent="0.25">
      <c r="I79" s="55">
        <v>0</v>
      </c>
      <c r="J79" s="55">
        <v>1006</v>
      </c>
      <c r="K79" s="55" t="str">
        <v>D</v>
      </c>
      <c r="L79" s="55" t="str">
        <v>A</v>
      </c>
      <c r="M79" s="55" t="str">
        <v>C</v>
      </c>
      <c r="N79" s="55" t="str">
        <v>F</v>
      </c>
    </row>
    <row r="80" spans="9:14" x14ac:dyDescent="0.25">
      <c r="I80" s="55">
        <v>0</v>
      </c>
      <c r="J80" s="55">
        <v>1020</v>
      </c>
      <c r="K80" s="55" t="str">
        <v>D</v>
      </c>
      <c r="L80" s="55" t="str">
        <v>A</v>
      </c>
      <c r="M80" s="55" t="str">
        <v>D</v>
      </c>
      <c r="N80" s="55" t="str">
        <v>G</v>
      </c>
    </row>
    <row r="81" spans="9:14" x14ac:dyDescent="0.25">
      <c r="I81" s="55">
        <v>0</v>
      </c>
      <c r="J81" s="55">
        <v>1034</v>
      </c>
      <c r="K81" s="55" t="str">
        <v>D</v>
      </c>
      <c r="L81" s="55" t="str">
        <v>A</v>
      </c>
      <c r="M81" s="55" t="str">
        <v>E</v>
      </c>
      <c r="N81" s="55" t="str">
        <v>H</v>
      </c>
    </row>
    <row r="82" spans="9:14" x14ac:dyDescent="0.25">
      <c r="I82" s="55">
        <v>0</v>
      </c>
      <c r="J82" s="55">
        <v>1044</v>
      </c>
      <c r="K82" s="55" t="str">
        <v>D</v>
      </c>
      <c r="L82" s="55" t="str">
        <v>B</v>
      </c>
      <c r="M82" s="55" t="str">
        <v>A</v>
      </c>
      <c r="N82" s="55" t="str">
        <v>E</v>
      </c>
    </row>
    <row r="83" spans="9:14" x14ac:dyDescent="0.25">
      <c r="I83" s="55">
        <v>0</v>
      </c>
      <c r="J83" s="55">
        <v>1058</v>
      </c>
      <c r="K83" s="55" t="str">
        <v>D</v>
      </c>
      <c r="L83" s="55" t="str">
        <v>B</v>
      </c>
      <c r="M83" s="55" t="str">
        <v>B</v>
      </c>
      <c r="N83" s="55" t="str">
        <v>F</v>
      </c>
    </row>
    <row r="84" spans="9:14" x14ac:dyDescent="0.25">
      <c r="I84" s="55">
        <v>0</v>
      </c>
      <c r="J84" s="55">
        <v>1072</v>
      </c>
      <c r="K84" s="55" t="str">
        <v>D</v>
      </c>
      <c r="L84" s="55" t="str">
        <v>B</v>
      </c>
      <c r="M84" s="55" t="str">
        <v>C</v>
      </c>
      <c r="N84" s="55" t="str">
        <v>G</v>
      </c>
    </row>
    <row r="85" spans="9:14" x14ac:dyDescent="0.25">
      <c r="I85" s="55">
        <v>0</v>
      </c>
      <c r="J85" s="55">
        <v>1086</v>
      </c>
      <c r="K85" s="55" t="str">
        <v>D</v>
      </c>
      <c r="L85" s="55" t="str">
        <v>B</v>
      </c>
      <c r="M85" s="55" t="str">
        <v>D</v>
      </c>
      <c r="N85" s="55" t="str">
        <v>H</v>
      </c>
    </row>
    <row r="86" spans="9:14" x14ac:dyDescent="0.25">
      <c r="I86" s="55">
        <v>0</v>
      </c>
      <c r="J86" s="55">
        <v>1100</v>
      </c>
      <c r="K86" s="55" t="str">
        <v>D</v>
      </c>
      <c r="L86" s="55" t="str">
        <v>B</v>
      </c>
      <c r="M86" s="55" t="str">
        <v>E</v>
      </c>
      <c r="N86" s="55" t="str">
        <v>I</v>
      </c>
    </row>
    <row r="87" spans="9:14" x14ac:dyDescent="0.25">
      <c r="I87" s="55">
        <v>0</v>
      </c>
      <c r="J87" s="55">
        <v>1110</v>
      </c>
      <c r="K87" s="55" t="str">
        <v>D</v>
      </c>
      <c r="L87" s="55" t="str">
        <v>C</v>
      </c>
      <c r="M87" s="55" t="str">
        <v>A</v>
      </c>
      <c r="N87" s="55" t="str">
        <v>F</v>
      </c>
    </row>
    <row r="88" spans="9:14" x14ac:dyDescent="0.25">
      <c r="I88" s="55">
        <v>3</v>
      </c>
      <c r="J88" s="55">
        <v>1124</v>
      </c>
      <c r="K88" s="55" t="str">
        <v>D</v>
      </c>
      <c r="L88" s="55" t="str">
        <v>C</v>
      </c>
      <c r="M88" s="55" t="str">
        <v>B</v>
      </c>
      <c r="N88" s="55" t="str">
        <v>G</v>
      </c>
    </row>
    <row r="89" spans="9:14" x14ac:dyDescent="0.25">
      <c r="I89" s="55">
        <v>43</v>
      </c>
      <c r="J89" s="55">
        <v>1138</v>
      </c>
      <c r="K89" s="55" t="str">
        <v>D</v>
      </c>
      <c r="L89" s="55" t="str">
        <v>C</v>
      </c>
      <c r="M89" s="55" t="str">
        <v>C</v>
      </c>
      <c r="N89" s="55" t="str">
        <v>H</v>
      </c>
    </row>
    <row r="90" spans="9:14" x14ac:dyDescent="0.25">
      <c r="I90" s="55">
        <v>0</v>
      </c>
      <c r="J90" s="55">
        <v>1152</v>
      </c>
      <c r="K90" s="55" t="str">
        <v>D</v>
      </c>
      <c r="L90" s="55" t="str">
        <v>C</v>
      </c>
      <c r="M90" s="55" t="str">
        <v>D</v>
      </c>
      <c r="N90" s="55" t="str">
        <v>I</v>
      </c>
    </row>
    <row r="91" spans="9:14" x14ac:dyDescent="0.25">
      <c r="I91" s="55">
        <v>0</v>
      </c>
      <c r="J91" s="55">
        <v>1166</v>
      </c>
      <c r="K91" s="55" t="str">
        <v>D</v>
      </c>
      <c r="L91" s="55" t="str">
        <v>C</v>
      </c>
      <c r="M91" s="55" t="str">
        <v>E</v>
      </c>
      <c r="N91" s="55" t="str">
        <v>J</v>
      </c>
    </row>
    <row r="92" spans="9:14" x14ac:dyDescent="0.25">
      <c r="I92" s="55">
        <v>0</v>
      </c>
      <c r="J92" s="55">
        <v>1176</v>
      </c>
      <c r="K92" s="55" t="str">
        <v>D</v>
      </c>
      <c r="L92" s="55" t="str">
        <v>D</v>
      </c>
      <c r="M92" s="55" t="str">
        <v>A</v>
      </c>
      <c r="N92" s="55" t="str">
        <v>G</v>
      </c>
    </row>
    <row r="93" spans="9:14" x14ac:dyDescent="0.25">
      <c r="I93" s="55">
        <v>0</v>
      </c>
      <c r="J93" s="55">
        <v>1190</v>
      </c>
      <c r="K93" s="55" t="str">
        <v>D</v>
      </c>
      <c r="L93" s="55" t="str">
        <v>D</v>
      </c>
      <c r="M93" s="55" t="str">
        <v>B</v>
      </c>
      <c r="N93" s="55" t="str">
        <v>H</v>
      </c>
    </row>
    <row r="94" spans="9:14" x14ac:dyDescent="0.25">
      <c r="I94" s="55">
        <v>0</v>
      </c>
      <c r="J94" s="55">
        <v>1204</v>
      </c>
      <c r="K94" s="55" t="str">
        <v>D</v>
      </c>
      <c r="L94" s="55" t="str">
        <v>D</v>
      </c>
      <c r="M94" s="55" t="str">
        <v>C</v>
      </c>
      <c r="N94" s="55" t="str">
        <v>I</v>
      </c>
    </row>
    <row r="95" spans="9:14" x14ac:dyDescent="0.25">
      <c r="I95" s="55">
        <v>0</v>
      </c>
      <c r="J95" s="55">
        <v>1218</v>
      </c>
      <c r="K95" s="55" t="str">
        <v>D</v>
      </c>
      <c r="L95" s="55" t="str">
        <v>D</v>
      </c>
      <c r="M95" s="55" t="str">
        <v>D</v>
      </c>
      <c r="N95" s="55" t="str">
        <v>J</v>
      </c>
    </row>
    <row r="96" spans="9:14" x14ac:dyDescent="0.25">
      <c r="I96" s="55">
        <v>0</v>
      </c>
      <c r="J96" s="55">
        <v>1232</v>
      </c>
      <c r="K96" s="55" t="str">
        <v>D</v>
      </c>
      <c r="L96" s="55" t="str">
        <v>D</v>
      </c>
      <c r="M96" s="55" t="str">
        <v>E</v>
      </c>
      <c r="N96" s="55" t="str">
        <v>K</v>
      </c>
    </row>
    <row r="97" spans="9:14" x14ac:dyDescent="0.25">
      <c r="I97" s="55">
        <v>0</v>
      </c>
      <c r="J97" s="55">
        <v>1242</v>
      </c>
      <c r="K97" s="55" t="str">
        <v>D</v>
      </c>
      <c r="L97" s="55" t="str">
        <v>E</v>
      </c>
      <c r="M97" s="55" t="str">
        <v>A</v>
      </c>
      <c r="N97" s="55" t="str">
        <v>H</v>
      </c>
    </row>
    <row r="98" spans="9:14" x14ac:dyDescent="0.25">
      <c r="I98" s="55">
        <v>0</v>
      </c>
      <c r="J98" s="55">
        <v>1256</v>
      </c>
      <c r="K98" s="55" t="str">
        <v>D</v>
      </c>
      <c r="L98" s="55" t="str">
        <v>E</v>
      </c>
      <c r="M98" s="55" t="str">
        <v>B</v>
      </c>
      <c r="N98" s="55" t="str">
        <v>I</v>
      </c>
    </row>
    <row r="99" spans="9:14" x14ac:dyDescent="0.25">
      <c r="I99" s="55">
        <v>0</v>
      </c>
      <c r="J99" s="55">
        <v>1270</v>
      </c>
      <c r="K99" s="55" t="str">
        <v>D</v>
      </c>
      <c r="L99" s="55" t="str">
        <v>E</v>
      </c>
      <c r="M99" s="55" t="str">
        <v>C</v>
      </c>
      <c r="N99" s="55" t="str">
        <v>J</v>
      </c>
    </row>
    <row r="100" spans="9:14" x14ac:dyDescent="0.25">
      <c r="I100" s="55">
        <v>0</v>
      </c>
      <c r="J100" s="55">
        <v>1284</v>
      </c>
      <c r="K100" s="55" t="str">
        <v>D</v>
      </c>
      <c r="L100" s="55" t="str">
        <v>E</v>
      </c>
      <c r="M100" s="55" t="str">
        <v>D</v>
      </c>
      <c r="N100" s="55" t="str">
        <v>K</v>
      </c>
    </row>
    <row r="101" spans="9:14" x14ac:dyDescent="0.25">
      <c r="I101" s="55">
        <v>0</v>
      </c>
      <c r="J101" s="55">
        <v>1298</v>
      </c>
      <c r="K101" s="55" t="str">
        <v>D</v>
      </c>
      <c r="L101" s="55" t="str">
        <v>E</v>
      </c>
      <c r="M101" s="55" t="str">
        <v>E</v>
      </c>
      <c r="N101" s="55" t="str">
        <v>L</v>
      </c>
    </row>
    <row r="102" spans="9:14" x14ac:dyDescent="0.25">
      <c r="I102" s="55">
        <v>0</v>
      </c>
      <c r="J102" s="55">
        <v>1304</v>
      </c>
      <c r="K102" s="55" t="str">
        <v>E</v>
      </c>
      <c r="L102" s="55" t="str">
        <v>A</v>
      </c>
      <c r="M102" s="55" t="str">
        <v>A</v>
      </c>
      <c r="N102" s="55" t="str">
        <v>E</v>
      </c>
    </row>
    <row r="103" spans="9:14" x14ac:dyDescent="0.25">
      <c r="I103" s="55">
        <v>0</v>
      </c>
      <c r="J103" s="55">
        <v>1318</v>
      </c>
      <c r="K103" s="55" t="str">
        <v>E</v>
      </c>
      <c r="L103" s="55" t="str">
        <v>A</v>
      </c>
      <c r="M103" s="55" t="str">
        <v>B</v>
      </c>
      <c r="N103" s="55" t="str">
        <v>F</v>
      </c>
    </row>
    <row r="104" spans="9:14" x14ac:dyDescent="0.25">
      <c r="I104" s="55">
        <v>0</v>
      </c>
      <c r="J104" s="55">
        <v>1332</v>
      </c>
      <c r="K104" s="55" t="str">
        <v>E</v>
      </c>
      <c r="L104" s="55" t="str">
        <v>A</v>
      </c>
      <c r="M104" s="55" t="str">
        <v>C</v>
      </c>
      <c r="N104" s="55" t="str">
        <v>G</v>
      </c>
    </row>
    <row r="105" spans="9:14" x14ac:dyDescent="0.25">
      <c r="I105" s="55">
        <v>0</v>
      </c>
      <c r="J105" s="55">
        <v>1346</v>
      </c>
      <c r="K105" s="55" t="str">
        <v>E</v>
      </c>
      <c r="L105" s="55" t="str">
        <v>A</v>
      </c>
      <c r="M105" s="55" t="str">
        <v>D</v>
      </c>
      <c r="N105" s="55" t="str">
        <v>H</v>
      </c>
    </row>
    <row r="106" spans="9:14" x14ac:dyDescent="0.25">
      <c r="I106" s="55">
        <v>0</v>
      </c>
      <c r="J106" s="55">
        <v>1360</v>
      </c>
      <c r="K106" s="55" t="str">
        <v>E</v>
      </c>
      <c r="L106" s="55" t="str">
        <v>A</v>
      </c>
      <c r="M106" s="55" t="str">
        <v>E</v>
      </c>
      <c r="N106" s="55" t="str">
        <v>I</v>
      </c>
    </row>
    <row r="107" spans="9:14" x14ac:dyDescent="0.25">
      <c r="I107" s="55">
        <v>0</v>
      </c>
      <c r="J107" s="55">
        <v>1370</v>
      </c>
      <c r="K107" s="55" t="str">
        <v>E</v>
      </c>
      <c r="L107" s="55" t="str">
        <v>B</v>
      </c>
      <c r="M107" s="55" t="str">
        <v>A</v>
      </c>
      <c r="N107" s="55" t="str">
        <v>F</v>
      </c>
    </row>
    <row r="108" spans="9:14" x14ac:dyDescent="0.25">
      <c r="I108" s="55">
        <v>0</v>
      </c>
      <c r="J108" s="55">
        <v>1384</v>
      </c>
      <c r="K108" s="55" t="str">
        <v>E</v>
      </c>
      <c r="L108" s="55" t="str">
        <v>B</v>
      </c>
      <c r="M108" s="55" t="str">
        <v>B</v>
      </c>
      <c r="N108" s="55" t="str">
        <v>G</v>
      </c>
    </row>
    <row r="109" spans="9:14" x14ac:dyDescent="0.25">
      <c r="I109" s="55">
        <v>30</v>
      </c>
      <c r="J109" s="55">
        <v>1398</v>
      </c>
      <c r="K109" s="55" t="str">
        <v>E</v>
      </c>
      <c r="L109" s="55" t="str">
        <v>B</v>
      </c>
      <c r="M109" s="55" t="str">
        <v>C</v>
      </c>
      <c r="N109" s="55" t="str">
        <v>H</v>
      </c>
    </row>
    <row r="110" spans="9:14" x14ac:dyDescent="0.25">
      <c r="I110" s="55">
        <v>0</v>
      </c>
      <c r="J110" s="55">
        <v>1412</v>
      </c>
      <c r="K110" s="55" t="str">
        <v>E</v>
      </c>
      <c r="L110" s="55" t="str">
        <v>B</v>
      </c>
      <c r="M110" s="55" t="str">
        <v>D</v>
      </c>
      <c r="N110" s="55" t="str">
        <v>I</v>
      </c>
    </row>
    <row r="111" spans="9:14" x14ac:dyDescent="0.25">
      <c r="I111" s="55">
        <v>0</v>
      </c>
      <c r="J111" s="55">
        <v>1426</v>
      </c>
      <c r="K111" s="55" t="str">
        <v>E</v>
      </c>
      <c r="L111" s="55" t="str">
        <v>B</v>
      </c>
      <c r="M111" s="55" t="str">
        <v>E</v>
      </c>
      <c r="N111" s="55" t="str">
        <v>J</v>
      </c>
    </row>
    <row r="112" spans="9:14" x14ac:dyDescent="0.25">
      <c r="I112" s="55">
        <v>0</v>
      </c>
      <c r="J112" s="55">
        <v>1436</v>
      </c>
      <c r="K112" s="55" t="str">
        <v>E</v>
      </c>
      <c r="L112" s="55" t="str">
        <v>C</v>
      </c>
      <c r="M112" s="55" t="str">
        <v>A</v>
      </c>
      <c r="N112" s="55" t="str">
        <v>G</v>
      </c>
    </row>
    <row r="113" spans="9:14" x14ac:dyDescent="0.25">
      <c r="I113" s="55">
        <v>11</v>
      </c>
      <c r="J113" s="55">
        <v>1450</v>
      </c>
      <c r="K113" s="55" t="str">
        <v>E</v>
      </c>
      <c r="L113" s="55" t="str">
        <v>C</v>
      </c>
      <c r="M113" s="55" t="str">
        <v>B</v>
      </c>
      <c r="N113" s="55" t="str">
        <v>H</v>
      </c>
    </row>
    <row r="114" spans="9:14" x14ac:dyDescent="0.25">
      <c r="I114" s="55">
        <v>0</v>
      </c>
      <c r="J114" s="55">
        <v>1464</v>
      </c>
      <c r="K114" s="55" t="str">
        <v>E</v>
      </c>
      <c r="L114" s="55" t="str">
        <v>C</v>
      </c>
      <c r="M114" s="55" t="str">
        <v>C</v>
      </c>
      <c r="N114" s="55" t="str">
        <v>I</v>
      </c>
    </row>
    <row r="115" spans="9:14" x14ac:dyDescent="0.25">
      <c r="I115" s="55">
        <v>0</v>
      </c>
      <c r="J115" s="55">
        <v>1478</v>
      </c>
      <c r="K115" s="55" t="str">
        <v>E</v>
      </c>
      <c r="L115" s="55" t="str">
        <v>C</v>
      </c>
      <c r="M115" s="55" t="str">
        <v>D</v>
      </c>
      <c r="N115" s="55" t="str">
        <v>J</v>
      </c>
    </row>
    <row r="116" spans="9:14" x14ac:dyDescent="0.25">
      <c r="I116" s="55">
        <v>0</v>
      </c>
      <c r="J116" s="55">
        <v>1492</v>
      </c>
      <c r="K116" s="55" t="str">
        <v>E</v>
      </c>
      <c r="L116" s="55" t="str">
        <v>C</v>
      </c>
      <c r="M116" s="55" t="str">
        <v>E</v>
      </c>
      <c r="N116" s="55" t="str">
        <v>K</v>
      </c>
    </row>
    <row r="117" spans="9:14" x14ac:dyDescent="0.25">
      <c r="I117" s="55">
        <v>0</v>
      </c>
      <c r="J117" s="55">
        <v>1502</v>
      </c>
      <c r="K117" s="55" t="str">
        <v>E</v>
      </c>
      <c r="L117" s="55" t="str">
        <v>D</v>
      </c>
      <c r="M117" s="55" t="str">
        <v>A</v>
      </c>
      <c r="N117" s="55" t="str">
        <v>H</v>
      </c>
    </row>
    <row r="118" spans="9:14" x14ac:dyDescent="0.25">
      <c r="I118" s="55">
        <v>0</v>
      </c>
      <c r="J118" s="55">
        <v>1516</v>
      </c>
      <c r="K118" s="55" t="str">
        <v>E</v>
      </c>
      <c r="L118" s="55" t="str">
        <v>D</v>
      </c>
      <c r="M118" s="55" t="str">
        <v>B</v>
      </c>
      <c r="N118" s="55" t="str">
        <v>I</v>
      </c>
    </row>
    <row r="119" spans="9:14" x14ac:dyDescent="0.25">
      <c r="I119" s="55">
        <v>0</v>
      </c>
      <c r="J119" s="55">
        <v>1530</v>
      </c>
      <c r="K119" s="55" t="str">
        <v>E</v>
      </c>
      <c r="L119" s="55" t="str">
        <v>D</v>
      </c>
      <c r="M119" s="55" t="str">
        <v>C</v>
      </c>
      <c r="N119" s="55" t="str">
        <v>J</v>
      </c>
    </row>
    <row r="120" spans="9:14" x14ac:dyDescent="0.25">
      <c r="I120" s="55">
        <v>0</v>
      </c>
      <c r="J120" s="55">
        <v>1544</v>
      </c>
      <c r="K120" s="55" t="str">
        <v>E</v>
      </c>
      <c r="L120" s="55" t="str">
        <v>D</v>
      </c>
      <c r="M120" s="55" t="str">
        <v>D</v>
      </c>
      <c r="N120" s="55" t="str">
        <v>K</v>
      </c>
    </row>
    <row r="121" spans="9:14" x14ac:dyDescent="0.25">
      <c r="I121" s="55">
        <v>0</v>
      </c>
      <c r="J121" s="55">
        <v>1558</v>
      </c>
      <c r="K121" s="55" t="str">
        <v>E</v>
      </c>
      <c r="L121" s="55" t="str">
        <v>D</v>
      </c>
      <c r="M121" s="55" t="str">
        <v>E</v>
      </c>
      <c r="N121" s="55" t="str">
        <v>L</v>
      </c>
    </row>
    <row r="122" spans="9:14" x14ac:dyDescent="0.25">
      <c r="I122" s="55">
        <v>0</v>
      </c>
      <c r="J122" s="55">
        <v>1568</v>
      </c>
      <c r="K122" s="55" t="str">
        <v>E</v>
      </c>
      <c r="L122" s="55" t="str">
        <v>E</v>
      </c>
      <c r="M122" s="55" t="str">
        <v>A</v>
      </c>
      <c r="N122" s="55" t="str">
        <v>I</v>
      </c>
    </row>
    <row r="123" spans="9:14" x14ac:dyDescent="0.25">
      <c r="I123" s="55">
        <v>0</v>
      </c>
      <c r="J123" s="55">
        <v>1582</v>
      </c>
      <c r="K123" s="55" t="str">
        <v>E</v>
      </c>
      <c r="L123" s="55" t="str">
        <v>E</v>
      </c>
      <c r="M123" s="55" t="str">
        <v>B</v>
      </c>
      <c r="N123" s="55" t="str">
        <v>J</v>
      </c>
    </row>
    <row r="124" spans="9:14" x14ac:dyDescent="0.25">
      <c r="I124" s="55">
        <v>0</v>
      </c>
      <c r="J124" s="55">
        <v>1596</v>
      </c>
      <c r="K124" s="55" t="str">
        <v>E</v>
      </c>
      <c r="L124" s="55" t="str">
        <v>E</v>
      </c>
      <c r="M124" s="55" t="str">
        <v>C</v>
      </c>
      <c r="N124" s="55" t="str">
        <v>K</v>
      </c>
    </row>
    <row r="125" spans="9:14" x14ac:dyDescent="0.25">
      <c r="I125" s="55">
        <v>0</v>
      </c>
      <c r="J125" s="55">
        <v>1610</v>
      </c>
      <c r="K125" s="55" t="str">
        <v>E</v>
      </c>
      <c r="L125" s="55" t="str">
        <v>E</v>
      </c>
      <c r="M125" s="55" t="str">
        <v>D</v>
      </c>
      <c r="N125" s="55" t="str">
        <v>L</v>
      </c>
    </row>
    <row r="126" spans="9:14" x14ac:dyDescent="0.25">
      <c r="I126" s="55">
        <v>0</v>
      </c>
      <c r="J126" s="55">
        <v>1624</v>
      </c>
      <c r="K126" s="55" t="str">
        <v>E</v>
      </c>
      <c r="L126" s="55" t="str">
        <v>E</v>
      </c>
      <c r="M126" s="55" t="str">
        <v>E</v>
      </c>
      <c r="N126" s="55" t="str">
        <v>M</v>
      </c>
    </row>
  </sheetData>
  <autoFilter ref="J1:N626" xr:uid="{2A857DF3-92DB-40A9-BB89-D266C93CB73F}"/>
  <mergeCells count="1">
    <mergeCell ref="A1:E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4D01F-0889-41FF-BE9F-FDD1FB125E25}">
  <sheetPr codeName="Planilha9"/>
  <dimension ref="A1:N126"/>
  <sheetViews>
    <sheetView workbookViewId="0">
      <selection sqref="A1:E1"/>
    </sheetView>
  </sheetViews>
  <sheetFormatPr defaultRowHeight="15" x14ac:dyDescent="0.25"/>
  <cols>
    <col min="1" max="5" width="9.140625" style="14"/>
    <col min="6" max="6" width="12.140625" style="14" bestFit="1" customWidth="1"/>
    <col min="7" max="7" width="20" style="14" bestFit="1" customWidth="1"/>
    <col min="8" max="8" width="9.140625" style="14"/>
    <col min="9" max="9" width="20.140625" style="14" bestFit="1" customWidth="1"/>
    <col min="10" max="14" width="9.140625" style="14"/>
    <col min="15" max="18" width="9.140625" style="14" customWidth="1"/>
    <col min="19" max="16384" width="9.140625" style="14"/>
  </cols>
  <sheetData>
    <row r="1" spans="1:14" x14ac:dyDescent="0.25">
      <c r="A1" s="65" t="s">
        <v>31</v>
      </c>
      <c r="B1" s="65"/>
      <c r="C1" s="65"/>
      <c r="D1" s="65"/>
      <c r="E1" s="65"/>
      <c r="G1" s="14" t="s">
        <v>39</v>
      </c>
      <c r="I1" s="14" t="s">
        <v>37</v>
      </c>
      <c r="J1" s="14" t="s">
        <v>35</v>
      </c>
      <c r="K1" s="14" t="s">
        <v>19</v>
      </c>
      <c r="L1" s="14" t="s">
        <v>32</v>
      </c>
      <c r="M1" s="14" t="s">
        <v>33</v>
      </c>
      <c r="N1" s="14" t="s">
        <v>34</v>
      </c>
    </row>
    <row r="2" spans="1:14" x14ac:dyDescent="0.25">
      <c r="A2" s="14" t="s">
        <v>22</v>
      </c>
      <c r="B2" s="14" t="s">
        <v>19</v>
      </c>
      <c r="C2" s="14" t="s">
        <v>32</v>
      </c>
      <c r="D2" s="14" t="s">
        <v>33</v>
      </c>
      <c r="G2" s="14">
        <f>SUM(I:I)</f>
        <v>188</v>
      </c>
      <c r="I2" s="14">
        <v>0</v>
      </c>
      <c r="J2" s="14" cm="1">
        <f t="array" ref="J2:J126">_xlfn._xlws.FILTER(Tabela2[Comb],Tabela2[Status]="OK","ERRO")</f>
        <v>0</v>
      </c>
      <c r="K2" s="14" t="str" cm="1">
        <f t="array" ref="K2:K126">_xlfn._xlws.FILTER(Tabela2[OP],Tabela2[Status]="OK","ERRO")</f>
        <v>A</v>
      </c>
      <c r="L2" s="14" t="str" cm="1">
        <f t="array" ref="L2:L126">_xlfn._xlws.FILTER(Tabela2[BICO],Tabela2[Status]="OK","ERRO")</f>
        <v>A</v>
      </c>
      <c r="M2" s="14" t="str" cm="1">
        <f t="array" ref="M2:M126">_xlfn._xlws.FILTER(Tabela2[SPACER],Tabela2[Status]="OK","ERRO")</f>
        <v>A</v>
      </c>
      <c r="N2" s="14" t="str" cm="1">
        <f t="array" ref="N2:N126">_xlfn._xlws.FILTER(Tabela2[AGULHA],Tabela2[Status]="OK","ERRO")</f>
        <v>A</v>
      </c>
    </row>
    <row r="3" spans="1:14" x14ac:dyDescent="0.25">
      <c r="A3" s="14" t="s">
        <v>8</v>
      </c>
      <c r="B3" s="6">
        <f>Simluação!P31</f>
        <v>25</v>
      </c>
      <c r="C3" s="14">
        <f>'Lote 5'!C3-'Lote 5'!C10</f>
        <v>0</v>
      </c>
      <c r="D3" s="14">
        <f>'Lote 5'!D3-'Lote 5'!D10</f>
        <v>0</v>
      </c>
      <c r="G3" s="14">
        <f>G2-SUM(B3:B7)</f>
        <v>0</v>
      </c>
      <c r="I3" s="14">
        <v>0</v>
      </c>
      <c r="J3" s="14">
        <v>14</v>
      </c>
      <c r="K3" s="14" t="str">
        <v>A</v>
      </c>
      <c r="L3" s="14" t="str">
        <v>A</v>
      </c>
      <c r="M3" s="14" t="str">
        <v>B</v>
      </c>
      <c r="N3" s="14" t="str">
        <v>B</v>
      </c>
    </row>
    <row r="4" spans="1:14" x14ac:dyDescent="0.25">
      <c r="A4" s="14" t="s">
        <v>9</v>
      </c>
      <c r="B4" s="6">
        <f>Simluação!P32</f>
        <v>37</v>
      </c>
      <c r="C4" s="14">
        <f>'Lote 5'!C4-'Lote 5'!C11</f>
        <v>0</v>
      </c>
      <c r="D4" s="14">
        <f>'Lote 5'!D4-'Lote 5'!D11</f>
        <v>0</v>
      </c>
      <c r="I4" s="14">
        <v>0</v>
      </c>
      <c r="J4" s="14">
        <v>28</v>
      </c>
      <c r="K4" s="14" t="str">
        <v>A</v>
      </c>
      <c r="L4" s="14" t="str">
        <v>A</v>
      </c>
      <c r="M4" s="14" t="str">
        <v>C</v>
      </c>
      <c r="N4" s="14" t="str">
        <v>C</v>
      </c>
    </row>
    <row r="5" spans="1:14" x14ac:dyDescent="0.25">
      <c r="A5" s="14" t="s">
        <v>10</v>
      </c>
      <c r="B5" s="6">
        <f>Simluação!P33</f>
        <v>43</v>
      </c>
      <c r="C5" s="14">
        <f>'Lote 5'!C5-'Lote 5'!C12</f>
        <v>197</v>
      </c>
      <c r="D5" s="14">
        <f>'Lote 5'!D5-'Lote 5'!D12</f>
        <v>209</v>
      </c>
      <c r="I5" s="14">
        <v>0</v>
      </c>
      <c r="J5" s="14">
        <v>42</v>
      </c>
      <c r="K5" s="14" t="str">
        <v>A</v>
      </c>
      <c r="L5" s="14" t="str">
        <v>A</v>
      </c>
      <c r="M5" s="14" t="str">
        <v>D</v>
      </c>
      <c r="N5" s="14" t="str">
        <v>D</v>
      </c>
    </row>
    <row r="6" spans="1:14" x14ac:dyDescent="0.25">
      <c r="A6" s="14" t="s">
        <v>11</v>
      </c>
      <c r="B6" s="6">
        <f>Simluação!P34</f>
        <v>44</v>
      </c>
      <c r="C6" s="14">
        <f>'Lote 5'!C6-'Lote 5'!C13</f>
        <v>427</v>
      </c>
      <c r="D6" s="14">
        <f>'Lote 5'!D6-'Lote 5'!D13</f>
        <v>397</v>
      </c>
      <c r="I6" s="14">
        <v>0</v>
      </c>
      <c r="J6" s="14">
        <v>56</v>
      </c>
      <c r="K6" s="14" t="str">
        <v>A</v>
      </c>
      <c r="L6" s="14" t="str">
        <v>A</v>
      </c>
      <c r="M6" s="14" t="str">
        <v>E</v>
      </c>
      <c r="N6" s="14" t="str">
        <v>E</v>
      </c>
    </row>
    <row r="7" spans="1:14" x14ac:dyDescent="0.25">
      <c r="A7" s="14" t="s">
        <v>13</v>
      </c>
      <c r="B7" s="6">
        <f>Simluação!P35</f>
        <v>39</v>
      </c>
      <c r="C7" s="14">
        <f>'Lote 5'!C7-'Lote 5'!C14</f>
        <v>404</v>
      </c>
      <c r="D7" s="14">
        <f>'Lote 5'!D7-'Lote 5'!D14</f>
        <v>422</v>
      </c>
      <c r="I7" s="14">
        <v>0</v>
      </c>
      <c r="J7" s="14">
        <v>66</v>
      </c>
      <c r="K7" s="14" t="str">
        <v>A</v>
      </c>
      <c r="L7" s="14" t="str">
        <v>B</v>
      </c>
      <c r="M7" s="14" t="str">
        <v>A</v>
      </c>
      <c r="N7" s="14" t="str">
        <v>B</v>
      </c>
    </row>
    <row r="8" spans="1:14" x14ac:dyDescent="0.25">
      <c r="I8" s="14">
        <v>0</v>
      </c>
      <c r="J8" s="14">
        <v>80</v>
      </c>
      <c r="K8" s="14" t="str">
        <v>A</v>
      </c>
      <c r="L8" s="14" t="str">
        <v>B</v>
      </c>
      <c r="M8" s="14" t="str">
        <v>B</v>
      </c>
      <c r="N8" s="14" t="str">
        <v>C</v>
      </c>
    </row>
    <row r="9" spans="1:14" x14ac:dyDescent="0.25">
      <c r="A9" s="14" t="s">
        <v>38</v>
      </c>
      <c r="I9" s="14">
        <v>0</v>
      </c>
      <c r="J9" s="14">
        <v>94</v>
      </c>
      <c r="K9" s="14" t="str">
        <v>A</v>
      </c>
      <c r="L9" s="14" t="str">
        <v>B</v>
      </c>
      <c r="M9" s="14" t="str">
        <v>C</v>
      </c>
      <c r="N9" s="14" t="str">
        <v>D</v>
      </c>
    </row>
    <row r="10" spans="1:14" x14ac:dyDescent="0.25">
      <c r="A10" s="14" t="s">
        <v>8</v>
      </c>
      <c r="B10" s="14">
        <f t="shared" ref="B10:B22" si="0">SUMIF($K:$K,A10,$I:$I)</f>
        <v>25</v>
      </c>
      <c r="C10" s="14">
        <f t="shared" ref="C10:C22" si="1">SUMIF($L:$L,A10,$I:$I)</f>
        <v>0</v>
      </c>
      <c r="D10" s="14">
        <f t="shared" ref="D10:D22" si="2">SUMIF($M:$M,A10,$I:$I)</f>
        <v>0</v>
      </c>
      <c r="E10" s="14">
        <f t="shared" ref="E10:E22" si="3">SUMIF($N:$N,A10,$I:$I)</f>
        <v>0</v>
      </c>
      <c r="F10" s="14">
        <v>-6</v>
      </c>
      <c r="I10" s="14">
        <v>0</v>
      </c>
      <c r="J10" s="14">
        <v>108</v>
      </c>
      <c r="K10" s="14" t="str">
        <v>A</v>
      </c>
      <c r="L10" s="14" t="str">
        <v>B</v>
      </c>
      <c r="M10" s="14" t="str">
        <v>D</v>
      </c>
      <c r="N10" s="14" t="str">
        <v>E</v>
      </c>
    </row>
    <row r="11" spans="1:14" x14ac:dyDescent="0.25">
      <c r="A11" s="14" t="s">
        <v>9</v>
      </c>
      <c r="B11" s="14">
        <f t="shared" si="0"/>
        <v>37</v>
      </c>
      <c r="C11" s="14">
        <f t="shared" si="1"/>
        <v>0</v>
      </c>
      <c r="D11" s="14">
        <f t="shared" si="2"/>
        <v>0</v>
      </c>
      <c r="E11" s="14">
        <f t="shared" si="3"/>
        <v>0</v>
      </c>
      <c r="F11" s="14">
        <v>-5</v>
      </c>
      <c r="I11" s="14">
        <v>0</v>
      </c>
      <c r="J11" s="14">
        <v>122</v>
      </c>
      <c r="K11" s="14" t="str">
        <v>A</v>
      </c>
      <c r="L11" s="14" t="str">
        <v>B</v>
      </c>
      <c r="M11" s="14" t="str">
        <v>E</v>
      </c>
      <c r="N11" s="14" t="str">
        <v>F</v>
      </c>
    </row>
    <row r="12" spans="1:14" x14ac:dyDescent="0.25">
      <c r="A12" s="14" t="s">
        <v>10</v>
      </c>
      <c r="B12" s="14">
        <f t="shared" si="0"/>
        <v>43</v>
      </c>
      <c r="C12" s="14">
        <f t="shared" si="1"/>
        <v>188</v>
      </c>
      <c r="D12" s="14">
        <f t="shared" si="2"/>
        <v>188</v>
      </c>
      <c r="E12" s="14">
        <f t="shared" si="3"/>
        <v>0</v>
      </c>
      <c r="F12" s="14">
        <v>-4</v>
      </c>
      <c r="I12" s="14">
        <v>0</v>
      </c>
      <c r="J12" s="14">
        <v>132</v>
      </c>
      <c r="K12" s="14" t="str">
        <v>A</v>
      </c>
      <c r="L12" s="14" t="str">
        <v>C</v>
      </c>
      <c r="M12" s="14" t="str">
        <v>A</v>
      </c>
      <c r="N12" s="14" t="str">
        <v>C</v>
      </c>
    </row>
    <row r="13" spans="1:14" x14ac:dyDescent="0.25">
      <c r="A13" s="14" t="s">
        <v>11</v>
      </c>
      <c r="B13" s="14">
        <f t="shared" si="0"/>
        <v>44</v>
      </c>
      <c r="C13" s="14">
        <f t="shared" si="1"/>
        <v>0</v>
      </c>
      <c r="D13" s="14">
        <f t="shared" si="2"/>
        <v>0</v>
      </c>
      <c r="E13" s="14">
        <f t="shared" si="3"/>
        <v>0</v>
      </c>
      <c r="F13" s="14">
        <v>-3</v>
      </c>
      <c r="I13" s="14">
        <v>0</v>
      </c>
      <c r="J13" s="14">
        <v>146</v>
      </c>
      <c r="K13" s="14" t="str">
        <v>A</v>
      </c>
      <c r="L13" s="14" t="str">
        <v>C</v>
      </c>
      <c r="M13" s="14" t="str">
        <v>B</v>
      </c>
      <c r="N13" s="14" t="str">
        <v>D</v>
      </c>
    </row>
    <row r="14" spans="1:14" x14ac:dyDescent="0.25">
      <c r="A14" s="14" t="s">
        <v>13</v>
      </c>
      <c r="B14" s="14">
        <f t="shared" si="0"/>
        <v>39</v>
      </c>
      <c r="C14" s="14">
        <f t="shared" si="1"/>
        <v>0</v>
      </c>
      <c r="D14" s="14">
        <f t="shared" si="2"/>
        <v>0</v>
      </c>
      <c r="E14" s="14">
        <f t="shared" si="3"/>
        <v>25</v>
      </c>
      <c r="F14" s="14">
        <v>-2</v>
      </c>
      <c r="I14" s="14">
        <v>25</v>
      </c>
      <c r="J14" s="14">
        <v>160</v>
      </c>
      <c r="K14" s="14" t="str">
        <v>A</v>
      </c>
      <c r="L14" s="14" t="str">
        <v>C</v>
      </c>
      <c r="M14" s="14" t="str">
        <v>C</v>
      </c>
      <c r="N14" s="14" t="str">
        <v>E</v>
      </c>
    </row>
    <row r="15" spans="1:14" x14ac:dyDescent="0.25">
      <c r="A15" s="14" t="s">
        <v>12</v>
      </c>
      <c r="B15" s="14">
        <f t="shared" si="0"/>
        <v>0</v>
      </c>
      <c r="C15" s="14">
        <f t="shared" si="1"/>
        <v>0</v>
      </c>
      <c r="D15" s="14">
        <f t="shared" si="2"/>
        <v>0</v>
      </c>
      <c r="E15" s="14">
        <f t="shared" si="3"/>
        <v>37</v>
      </c>
      <c r="F15" s="14">
        <v>-1</v>
      </c>
      <c r="I15" s="14">
        <v>0</v>
      </c>
      <c r="J15" s="14">
        <v>174</v>
      </c>
      <c r="K15" s="14" t="str">
        <v>A</v>
      </c>
      <c r="L15" s="14" t="str">
        <v>C</v>
      </c>
      <c r="M15" s="14" t="str">
        <v>D</v>
      </c>
      <c r="N15" s="14" t="str">
        <v>F</v>
      </c>
    </row>
    <row r="16" spans="1:14" x14ac:dyDescent="0.25">
      <c r="A16" s="14" t="s">
        <v>14</v>
      </c>
      <c r="B16" s="14">
        <f t="shared" si="0"/>
        <v>0</v>
      </c>
      <c r="C16" s="14">
        <f t="shared" si="1"/>
        <v>0</v>
      </c>
      <c r="D16" s="14">
        <f t="shared" si="2"/>
        <v>0</v>
      </c>
      <c r="E16" s="14">
        <f t="shared" si="3"/>
        <v>43</v>
      </c>
      <c r="F16" s="14">
        <v>0</v>
      </c>
      <c r="I16" s="14">
        <v>0</v>
      </c>
      <c r="J16" s="14">
        <v>188</v>
      </c>
      <c r="K16" s="14" t="str">
        <v>A</v>
      </c>
      <c r="L16" s="14" t="str">
        <v>C</v>
      </c>
      <c r="M16" s="14" t="str">
        <v>E</v>
      </c>
      <c r="N16" s="14" t="str">
        <v>G</v>
      </c>
    </row>
    <row r="17" spans="1:14" x14ac:dyDescent="0.25">
      <c r="A17" s="14" t="s">
        <v>44</v>
      </c>
      <c r="B17" s="14">
        <f t="shared" si="0"/>
        <v>0</v>
      </c>
      <c r="C17" s="14">
        <f t="shared" si="1"/>
        <v>0</v>
      </c>
      <c r="D17" s="14">
        <f t="shared" si="2"/>
        <v>0</v>
      </c>
      <c r="E17" s="14">
        <f t="shared" si="3"/>
        <v>44</v>
      </c>
      <c r="F17" s="14">
        <v>1</v>
      </c>
      <c r="I17" s="14">
        <v>0</v>
      </c>
      <c r="J17" s="14">
        <v>198</v>
      </c>
      <c r="K17" s="14" t="str">
        <v>A</v>
      </c>
      <c r="L17" s="14" t="str">
        <v>D</v>
      </c>
      <c r="M17" s="14" t="str">
        <v>A</v>
      </c>
      <c r="N17" s="14" t="str">
        <v>D</v>
      </c>
    </row>
    <row r="18" spans="1:14" x14ac:dyDescent="0.25">
      <c r="A18" s="14" t="s">
        <v>45</v>
      </c>
      <c r="B18" s="14">
        <f t="shared" si="0"/>
        <v>0</v>
      </c>
      <c r="C18" s="14">
        <f t="shared" si="1"/>
        <v>0</v>
      </c>
      <c r="D18" s="14">
        <f t="shared" si="2"/>
        <v>0</v>
      </c>
      <c r="E18" s="14">
        <f t="shared" si="3"/>
        <v>39</v>
      </c>
      <c r="F18" s="14">
        <v>2</v>
      </c>
      <c r="I18" s="14">
        <v>0</v>
      </c>
      <c r="J18" s="14">
        <v>212</v>
      </c>
      <c r="K18" s="14" t="str">
        <v>A</v>
      </c>
      <c r="L18" s="14" t="str">
        <v>D</v>
      </c>
      <c r="M18" s="14" t="str">
        <v>B</v>
      </c>
      <c r="N18" s="14" t="str">
        <v>E</v>
      </c>
    </row>
    <row r="19" spans="1:14" x14ac:dyDescent="0.25">
      <c r="A19" s="14" t="s">
        <v>46</v>
      </c>
      <c r="B19" s="14">
        <f t="shared" si="0"/>
        <v>0</v>
      </c>
      <c r="C19" s="14">
        <f t="shared" si="1"/>
        <v>0</v>
      </c>
      <c r="D19" s="14">
        <f t="shared" si="2"/>
        <v>0</v>
      </c>
      <c r="E19" s="14">
        <f t="shared" si="3"/>
        <v>0</v>
      </c>
      <c r="F19" s="14">
        <v>3</v>
      </c>
      <c r="I19" s="14">
        <v>0</v>
      </c>
      <c r="J19" s="14">
        <v>226</v>
      </c>
      <c r="K19" s="14" t="str">
        <v>A</v>
      </c>
      <c r="L19" s="14" t="str">
        <v>D</v>
      </c>
      <c r="M19" s="14" t="str">
        <v>C</v>
      </c>
      <c r="N19" s="14" t="str">
        <v>F</v>
      </c>
    </row>
    <row r="20" spans="1:14" x14ac:dyDescent="0.25">
      <c r="A20" s="14" t="s">
        <v>47</v>
      </c>
      <c r="B20" s="14">
        <f t="shared" si="0"/>
        <v>0</v>
      </c>
      <c r="C20" s="14">
        <f t="shared" si="1"/>
        <v>0</v>
      </c>
      <c r="D20" s="14">
        <f t="shared" si="2"/>
        <v>0</v>
      </c>
      <c r="E20" s="14">
        <f t="shared" si="3"/>
        <v>0</v>
      </c>
      <c r="F20" s="14">
        <v>4</v>
      </c>
      <c r="I20" s="14">
        <v>0</v>
      </c>
      <c r="J20" s="14">
        <v>240</v>
      </c>
      <c r="K20" s="14" t="str">
        <v>A</v>
      </c>
      <c r="L20" s="14" t="str">
        <v>D</v>
      </c>
      <c r="M20" s="14" t="str">
        <v>D</v>
      </c>
      <c r="N20" s="14" t="str">
        <v>G</v>
      </c>
    </row>
    <row r="21" spans="1:14" x14ac:dyDescent="0.25">
      <c r="A21" s="14" t="s">
        <v>48</v>
      </c>
      <c r="B21" s="14">
        <f t="shared" si="0"/>
        <v>0</v>
      </c>
      <c r="C21" s="14">
        <f t="shared" si="1"/>
        <v>0</v>
      </c>
      <c r="D21" s="14">
        <f t="shared" si="2"/>
        <v>0</v>
      </c>
      <c r="E21" s="14">
        <f t="shared" si="3"/>
        <v>0</v>
      </c>
      <c r="F21" s="14">
        <v>5</v>
      </c>
      <c r="I21" s="14">
        <v>0</v>
      </c>
      <c r="J21" s="14">
        <v>254</v>
      </c>
      <c r="K21" s="14" t="str">
        <v>A</v>
      </c>
      <c r="L21" s="14" t="str">
        <v>D</v>
      </c>
      <c r="M21" s="14" t="str">
        <v>E</v>
      </c>
      <c r="N21" s="14" t="str">
        <v>H</v>
      </c>
    </row>
    <row r="22" spans="1:14" x14ac:dyDescent="0.25">
      <c r="A22" s="14" t="s">
        <v>49</v>
      </c>
      <c r="B22" s="14">
        <f t="shared" si="0"/>
        <v>0</v>
      </c>
      <c r="C22" s="14">
        <f t="shared" si="1"/>
        <v>0</v>
      </c>
      <c r="D22" s="14">
        <f t="shared" si="2"/>
        <v>0</v>
      </c>
      <c r="E22" s="14">
        <f t="shared" si="3"/>
        <v>0</v>
      </c>
      <c r="F22" s="14">
        <v>6</v>
      </c>
      <c r="I22" s="14">
        <v>0</v>
      </c>
      <c r="J22" s="14">
        <v>264</v>
      </c>
      <c r="K22" s="14" t="str">
        <v>A</v>
      </c>
      <c r="L22" s="14" t="str">
        <v>E</v>
      </c>
      <c r="M22" s="14" t="str">
        <v>A</v>
      </c>
      <c r="N22" s="14" t="str">
        <v>E</v>
      </c>
    </row>
    <row r="23" spans="1:14" x14ac:dyDescent="0.25">
      <c r="B23" s="14">
        <f>SUM(B10:B22)</f>
        <v>188</v>
      </c>
      <c r="C23" s="14">
        <f>SUM(C10:C22)</f>
        <v>188</v>
      </c>
      <c r="D23" s="14">
        <f>SUM(D10:D22)</f>
        <v>188</v>
      </c>
      <c r="E23" s="14">
        <f>SUM(E10:E22)</f>
        <v>188</v>
      </c>
      <c r="I23" s="14">
        <v>0</v>
      </c>
      <c r="J23" s="14">
        <v>278</v>
      </c>
      <c r="K23" s="14" t="str">
        <v>A</v>
      </c>
      <c r="L23" s="14" t="str">
        <v>E</v>
      </c>
      <c r="M23" s="14" t="str">
        <v>B</v>
      </c>
      <c r="N23" s="14" t="str">
        <v>F</v>
      </c>
    </row>
    <row r="24" spans="1:14" x14ac:dyDescent="0.25">
      <c r="I24" s="14">
        <v>0</v>
      </c>
      <c r="J24" s="14">
        <v>292</v>
      </c>
      <c r="K24" s="14" t="str">
        <v>A</v>
      </c>
      <c r="L24" s="14" t="str">
        <v>E</v>
      </c>
      <c r="M24" s="14" t="str">
        <v>C</v>
      </c>
      <c r="N24" s="14" t="str">
        <v>G</v>
      </c>
    </row>
    <row r="25" spans="1:14" x14ac:dyDescent="0.25">
      <c r="I25" s="14">
        <v>0</v>
      </c>
      <c r="J25" s="14">
        <v>306</v>
      </c>
      <c r="K25" s="14" t="str">
        <v>A</v>
      </c>
      <c r="L25" s="14" t="str">
        <v>E</v>
      </c>
      <c r="M25" s="14" t="str">
        <v>D</v>
      </c>
      <c r="N25" s="14" t="str">
        <v>H</v>
      </c>
    </row>
    <row r="26" spans="1:14" x14ac:dyDescent="0.25">
      <c r="I26" s="14">
        <v>0</v>
      </c>
      <c r="J26" s="14">
        <v>320</v>
      </c>
      <c r="K26" s="14" t="str">
        <v>A</v>
      </c>
      <c r="L26" s="14" t="str">
        <v>E</v>
      </c>
      <c r="M26" s="14" t="str">
        <v>E</v>
      </c>
      <c r="N26" s="14" t="str">
        <v>I</v>
      </c>
    </row>
    <row r="27" spans="1:14" x14ac:dyDescent="0.25">
      <c r="I27" s="14">
        <v>0</v>
      </c>
      <c r="J27" s="14">
        <v>326</v>
      </c>
      <c r="K27" s="14" t="str">
        <v>B</v>
      </c>
      <c r="L27" s="14" t="str">
        <v>A</v>
      </c>
      <c r="M27" s="14" t="str">
        <v>A</v>
      </c>
      <c r="N27" s="14" t="str">
        <v>B</v>
      </c>
    </row>
    <row r="28" spans="1:14" x14ac:dyDescent="0.25">
      <c r="I28" s="14">
        <v>0</v>
      </c>
      <c r="J28" s="14">
        <v>340</v>
      </c>
      <c r="K28" s="14" t="str">
        <v>B</v>
      </c>
      <c r="L28" s="14" t="str">
        <v>A</v>
      </c>
      <c r="M28" s="14" t="str">
        <v>B</v>
      </c>
      <c r="N28" s="14" t="str">
        <v>C</v>
      </c>
    </row>
    <row r="29" spans="1:14" x14ac:dyDescent="0.25">
      <c r="I29" s="14">
        <v>0</v>
      </c>
      <c r="J29" s="14">
        <v>354</v>
      </c>
      <c r="K29" s="14" t="str">
        <v>B</v>
      </c>
      <c r="L29" s="14" t="str">
        <v>A</v>
      </c>
      <c r="M29" s="14" t="str">
        <v>C</v>
      </c>
      <c r="N29" s="14" t="str">
        <v>D</v>
      </c>
    </row>
    <row r="30" spans="1:14" x14ac:dyDescent="0.25">
      <c r="I30" s="14">
        <v>0</v>
      </c>
      <c r="J30" s="14">
        <v>368</v>
      </c>
      <c r="K30" s="14" t="str">
        <v>B</v>
      </c>
      <c r="L30" s="14" t="str">
        <v>A</v>
      </c>
      <c r="M30" s="14" t="str">
        <v>D</v>
      </c>
      <c r="N30" s="14" t="str">
        <v>E</v>
      </c>
    </row>
    <row r="31" spans="1:14" x14ac:dyDescent="0.25">
      <c r="I31" s="14">
        <v>0</v>
      </c>
      <c r="J31" s="14">
        <v>382</v>
      </c>
      <c r="K31" s="14" t="str">
        <v>B</v>
      </c>
      <c r="L31" s="14" t="str">
        <v>A</v>
      </c>
      <c r="M31" s="14" t="str">
        <v>E</v>
      </c>
      <c r="N31" s="14" t="str">
        <v>F</v>
      </c>
    </row>
    <row r="32" spans="1:14" x14ac:dyDescent="0.25">
      <c r="I32" s="14">
        <v>0</v>
      </c>
      <c r="J32" s="14">
        <v>392</v>
      </c>
      <c r="K32" s="14" t="str">
        <v>B</v>
      </c>
      <c r="L32" s="14" t="str">
        <v>B</v>
      </c>
      <c r="M32" s="14" t="str">
        <v>A</v>
      </c>
      <c r="N32" s="14" t="str">
        <v>C</v>
      </c>
    </row>
    <row r="33" spans="9:14" x14ac:dyDescent="0.25">
      <c r="I33" s="14">
        <v>0</v>
      </c>
      <c r="J33" s="14">
        <v>406</v>
      </c>
      <c r="K33" s="14" t="str">
        <v>B</v>
      </c>
      <c r="L33" s="14" t="str">
        <v>B</v>
      </c>
      <c r="M33" s="14" t="str">
        <v>B</v>
      </c>
      <c r="N33" s="14" t="str">
        <v>D</v>
      </c>
    </row>
    <row r="34" spans="9:14" x14ac:dyDescent="0.25">
      <c r="I34" s="14">
        <v>0</v>
      </c>
      <c r="J34" s="14">
        <v>420</v>
      </c>
      <c r="K34" s="14" t="str">
        <v>B</v>
      </c>
      <c r="L34" s="14" t="str">
        <v>B</v>
      </c>
      <c r="M34" s="14" t="str">
        <v>C</v>
      </c>
      <c r="N34" s="14" t="str">
        <v>E</v>
      </c>
    </row>
    <row r="35" spans="9:14" x14ac:dyDescent="0.25">
      <c r="I35" s="14">
        <v>0</v>
      </c>
      <c r="J35" s="14">
        <v>434</v>
      </c>
      <c r="K35" s="14" t="str">
        <v>B</v>
      </c>
      <c r="L35" s="14" t="str">
        <v>B</v>
      </c>
      <c r="M35" s="14" t="str">
        <v>D</v>
      </c>
      <c r="N35" s="14" t="str">
        <v>F</v>
      </c>
    </row>
    <row r="36" spans="9:14" x14ac:dyDescent="0.25">
      <c r="I36" s="14">
        <v>0</v>
      </c>
      <c r="J36" s="14">
        <v>448</v>
      </c>
      <c r="K36" s="14" t="str">
        <v>B</v>
      </c>
      <c r="L36" s="14" t="str">
        <v>B</v>
      </c>
      <c r="M36" s="14" t="str">
        <v>E</v>
      </c>
      <c r="N36" s="14" t="str">
        <v>G</v>
      </c>
    </row>
    <row r="37" spans="9:14" x14ac:dyDescent="0.25">
      <c r="I37" s="14">
        <v>0</v>
      </c>
      <c r="J37" s="14">
        <v>458</v>
      </c>
      <c r="K37" s="14" t="str">
        <v>B</v>
      </c>
      <c r="L37" s="14" t="str">
        <v>C</v>
      </c>
      <c r="M37" s="14" t="str">
        <v>A</v>
      </c>
      <c r="N37" s="14" t="str">
        <v>D</v>
      </c>
    </row>
    <row r="38" spans="9:14" x14ac:dyDescent="0.25">
      <c r="I38" s="14">
        <v>0</v>
      </c>
      <c r="J38" s="14">
        <v>472</v>
      </c>
      <c r="K38" s="14" t="str">
        <v>B</v>
      </c>
      <c r="L38" s="14" t="str">
        <v>C</v>
      </c>
      <c r="M38" s="14" t="str">
        <v>B</v>
      </c>
      <c r="N38" s="14" t="str">
        <v>E</v>
      </c>
    </row>
    <row r="39" spans="9:14" x14ac:dyDescent="0.25">
      <c r="I39" s="14">
        <v>37</v>
      </c>
      <c r="J39" s="14">
        <v>486</v>
      </c>
      <c r="K39" s="14" t="str">
        <v>B</v>
      </c>
      <c r="L39" s="14" t="str">
        <v>C</v>
      </c>
      <c r="M39" s="14" t="str">
        <v>C</v>
      </c>
      <c r="N39" s="14" t="str">
        <v>F</v>
      </c>
    </row>
    <row r="40" spans="9:14" x14ac:dyDescent="0.25">
      <c r="I40" s="14">
        <v>0</v>
      </c>
      <c r="J40" s="14">
        <v>500</v>
      </c>
      <c r="K40" s="14" t="str">
        <v>B</v>
      </c>
      <c r="L40" s="14" t="str">
        <v>C</v>
      </c>
      <c r="M40" s="14" t="str">
        <v>D</v>
      </c>
      <c r="N40" s="14" t="str">
        <v>G</v>
      </c>
    </row>
    <row r="41" spans="9:14" x14ac:dyDescent="0.25">
      <c r="I41" s="14">
        <v>0</v>
      </c>
      <c r="J41" s="14">
        <v>514</v>
      </c>
      <c r="K41" s="14" t="str">
        <v>B</v>
      </c>
      <c r="L41" s="14" t="str">
        <v>C</v>
      </c>
      <c r="M41" s="14" t="str">
        <v>E</v>
      </c>
      <c r="N41" s="14" t="str">
        <v>H</v>
      </c>
    </row>
    <row r="42" spans="9:14" x14ac:dyDescent="0.25">
      <c r="I42" s="14">
        <v>0</v>
      </c>
      <c r="J42" s="14">
        <v>524</v>
      </c>
      <c r="K42" s="14" t="str">
        <v>B</v>
      </c>
      <c r="L42" s="14" t="str">
        <v>D</v>
      </c>
      <c r="M42" s="14" t="str">
        <v>A</v>
      </c>
      <c r="N42" s="14" t="str">
        <v>E</v>
      </c>
    </row>
    <row r="43" spans="9:14" x14ac:dyDescent="0.25">
      <c r="I43" s="14">
        <v>0</v>
      </c>
      <c r="J43" s="14">
        <v>538</v>
      </c>
      <c r="K43" s="14" t="str">
        <v>B</v>
      </c>
      <c r="L43" s="14" t="str">
        <v>D</v>
      </c>
      <c r="M43" s="14" t="str">
        <v>B</v>
      </c>
      <c r="N43" s="14" t="str">
        <v>F</v>
      </c>
    </row>
    <row r="44" spans="9:14" x14ac:dyDescent="0.25">
      <c r="I44" s="14">
        <v>0</v>
      </c>
      <c r="J44" s="14">
        <v>552</v>
      </c>
      <c r="K44" s="14" t="str">
        <v>B</v>
      </c>
      <c r="L44" s="14" t="str">
        <v>D</v>
      </c>
      <c r="M44" s="14" t="str">
        <v>C</v>
      </c>
      <c r="N44" s="14" t="str">
        <v>G</v>
      </c>
    </row>
    <row r="45" spans="9:14" x14ac:dyDescent="0.25">
      <c r="I45" s="14">
        <v>0</v>
      </c>
      <c r="J45" s="14">
        <v>566</v>
      </c>
      <c r="K45" s="14" t="str">
        <v>B</v>
      </c>
      <c r="L45" s="14" t="str">
        <v>D</v>
      </c>
      <c r="M45" s="14" t="str">
        <v>D</v>
      </c>
      <c r="N45" s="14" t="str">
        <v>H</v>
      </c>
    </row>
    <row r="46" spans="9:14" x14ac:dyDescent="0.25">
      <c r="I46" s="14">
        <v>0</v>
      </c>
      <c r="J46" s="14">
        <v>580</v>
      </c>
      <c r="K46" s="14" t="str">
        <v>B</v>
      </c>
      <c r="L46" s="14" t="str">
        <v>D</v>
      </c>
      <c r="M46" s="14" t="str">
        <v>E</v>
      </c>
      <c r="N46" s="14" t="str">
        <v>I</v>
      </c>
    </row>
    <row r="47" spans="9:14" x14ac:dyDescent="0.25">
      <c r="I47" s="14">
        <v>0</v>
      </c>
      <c r="J47" s="14">
        <v>590</v>
      </c>
      <c r="K47" s="14" t="str">
        <v>B</v>
      </c>
      <c r="L47" s="14" t="str">
        <v>E</v>
      </c>
      <c r="M47" s="14" t="str">
        <v>A</v>
      </c>
      <c r="N47" s="14" t="str">
        <v>F</v>
      </c>
    </row>
    <row r="48" spans="9:14" x14ac:dyDescent="0.25">
      <c r="I48" s="14">
        <v>0</v>
      </c>
      <c r="J48" s="14">
        <v>604</v>
      </c>
      <c r="K48" s="14" t="str">
        <v>B</v>
      </c>
      <c r="L48" s="14" t="str">
        <v>E</v>
      </c>
      <c r="M48" s="14" t="str">
        <v>B</v>
      </c>
      <c r="N48" s="14" t="str">
        <v>G</v>
      </c>
    </row>
    <row r="49" spans="9:14" x14ac:dyDescent="0.25">
      <c r="I49" s="14">
        <v>0</v>
      </c>
      <c r="J49" s="14">
        <v>618</v>
      </c>
      <c r="K49" s="14" t="str">
        <v>B</v>
      </c>
      <c r="L49" s="14" t="str">
        <v>E</v>
      </c>
      <c r="M49" s="14" t="str">
        <v>C</v>
      </c>
      <c r="N49" s="14" t="str">
        <v>H</v>
      </c>
    </row>
    <row r="50" spans="9:14" x14ac:dyDescent="0.25">
      <c r="I50" s="14">
        <v>0</v>
      </c>
      <c r="J50" s="14">
        <v>632</v>
      </c>
      <c r="K50" s="14" t="str">
        <v>B</v>
      </c>
      <c r="L50" s="14" t="str">
        <v>E</v>
      </c>
      <c r="M50" s="14" t="str">
        <v>D</v>
      </c>
      <c r="N50" s="14" t="str">
        <v>I</v>
      </c>
    </row>
    <row r="51" spans="9:14" x14ac:dyDescent="0.25">
      <c r="I51" s="14">
        <v>0</v>
      </c>
      <c r="J51" s="14">
        <v>646</v>
      </c>
      <c r="K51" s="14" t="str">
        <v>B</v>
      </c>
      <c r="L51" s="14" t="str">
        <v>E</v>
      </c>
      <c r="M51" s="14" t="str">
        <v>E</v>
      </c>
      <c r="N51" s="14" t="str">
        <v>J</v>
      </c>
    </row>
    <row r="52" spans="9:14" x14ac:dyDescent="0.25">
      <c r="I52" s="14">
        <v>0</v>
      </c>
      <c r="J52" s="14">
        <v>652</v>
      </c>
      <c r="K52" s="14" t="str">
        <v>C</v>
      </c>
      <c r="L52" s="14" t="str">
        <v>A</v>
      </c>
      <c r="M52" s="14" t="str">
        <v>A</v>
      </c>
      <c r="N52" s="14" t="str">
        <v>C</v>
      </c>
    </row>
    <row r="53" spans="9:14" x14ac:dyDescent="0.25">
      <c r="I53" s="14">
        <v>0</v>
      </c>
      <c r="J53" s="14">
        <v>666</v>
      </c>
      <c r="K53" s="14" t="str">
        <v>C</v>
      </c>
      <c r="L53" s="14" t="str">
        <v>A</v>
      </c>
      <c r="M53" s="14" t="str">
        <v>B</v>
      </c>
      <c r="N53" s="14" t="str">
        <v>D</v>
      </c>
    </row>
    <row r="54" spans="9:14" x14ac:dyDescent="0.25">
      <c r="I54" s="14">
        <v>0</v>
      </c>
      <c r="J54" s="14">
        <v>680</v>
      </c>
      <c r="K54" s="14" t="str">
        <v>C</v>
      </c>
      <c r="L54" s="14" t="str">
        <v>A</v>
      </c>
      <c r="M54" s="14" t="str">
        <v>C</v>
      </c>
      <c r="N54" s="14" t="str">
        <v>E</v>
      </c>
    </row>
    <row r="55" spans="9:14" x14ac:dyDescent="0.25">
      <c r="I55" s="14">
        <v>0</v>
      </c>
      <c r="J55" s="14">
        <v>694</v>
      </c>
      <c r="K55" s="14" t="str">
        <v>C</v>
      </c>
      <c r="L55" s="14" t="str">
        <v>A</v>
      </c>
      <c r="M55" s="14" t="str">
        <v>D</v>
      </c>
      <c r="N55" s="14" t="str">
        <v>F</v>
      </c>
    </row>
    <row r="56" spans="9:14" x14ac:dyDescent="0.25">
      <c r="I56" s="14">
        <v>0</v>
      </c>
      <c r="J56" s="14">
        <v>708</v>
      </c>
      <c r="K56" s="14" t="str">
        <v>C</v>
      </c>
      <c r="L56" s="14" t="str">
        <v>A</v>
      </c>
      <c r="M56" s="14" t="str">
        <v>E</v>
      </c>
      <c r="N56" s="14" t="str">
        <v>G</v>
      </c>
    </row>
    <row r="57" spans="9:14" x14ac:dyDescent="0.25">
      <c r="I57" s="14">
        <v>0</v>
      </c>
      <c r="J57" s="14">
        <v>718</v>
      </c>
      <c r="K57" s="14" t="str">
        <v>C</v>
      </c>
      <c r="L57" s="14" t="str">
        <v>B</v>
      </c>
      <c r="M57" s="14" t="str">
        <v>A</v>
      </c>
      <c r="N57" s="14" t="str">
        <v>D</v>
      </c>
    </row>
    <row r="58" spans="9:14" x14ac:dyDescent="0.25">
      <c r="I58" s="14">
        <v>0</v>
      </c>
      <c r="J58" s="14">
        <v>732</v>
      </c>
      <c r="K58" s="14" t="str">
        <v>C</v>
      </c>
      <c r="L58" s="14" t="str">
        <v>B</v>
      </c>
      <c r="M58" s="14" t="str">
        <v>B</v>
      </c>
      <c r="N58" s="14" t="str">
        <v>E</v>
      </c>
    </row>
    <row r="59" spans="9:14" x14ac:dyDescent="0.25">
      <c r="I59" s="14">
        <v>0</v>
      </c>
      <c r="J59" s="14">
        <v>746</v>
      </c>
      <c r="K59" s="14" t="str">
        <v>C</v>
      </c>
      <c r="L59" s="14" t="str">
        <v>B</v>
      </c>
      <c r="M59" s="14" t="str">
        <v>C</v>
      </c>
      <c r="N59" s="14" t="str">
        <v>F</v>
      </c>
    </row>
    <row r="60" spans="9:14" x14ac:dyDescent="0.25">
      <c r="I60" s="14">
        <v>0</v>
      </c>
      <c r="J60" s="14">
        <v>760</v>
      </c>
      <c r="K60" s="14" t="str">
        <v>C</v>
      </c>
      <c r="L60" s="14" t="str">
        <v>B</v>
      </c>
      <c r="M60" s="14" t="str">
        <v>D</v>
      </c>
      <c r="N60" s="14" t="str">
        <v>G</v>
      </c>
    </row>
    <row r="61" spans="9:14" x14ac:dyDescent="0.25">
      <c r="I61" s="14">
        <v>0</v>
      </c>
      <c r="J61" s="14">
        <v>774</v>
      </c>
      <c r="K61" s="14" t="str">
        <v>C</v>
      </c>
      <c r="L61" s="14" t="str">
        <v>B</v>
      </c>
      <c r="M61" s="14" t="str">
        <v>E</v>
      </c>
      <c r="N61" s="14" t="str">
        <v>H</v>
      </c>
    </row>
    <row r="62" spans="9:14" x14ac:dyDescent="0.25">
      <c r="I62" s="14">
        <v>0</v>
      </c>
      <c r="J62" s="14">
        <v>784</v>
      </c>
      <c r="K62" s="14" t="str">
        <v>C</v>
      </c>
      <c r="L62" s="14" t="str">
        <v>C</v>
      </c>
      <c r="M62" s="14" t="str">
        <v>A</v>
      </c>
      <c r="N62" s="14" t="str">
        <v>E</v>
      </c>
    </row>
    <row r="63" spans="9:14" x14ac:dyDescent="0.25">
      <c r="I63" s="14">
        <v>0</v>
      </c>
      <c r="J63" s="14">
        <v>798</v>
      </c>
      <c r="K63" s="14" t="str">
        <v>C</v>
      </c>
      <c r="L63" s="14" t="str">
        <v>C</v>
      </c>
      <c r="M63" s="14" t="str">
        <v>B</v>
      </c>
      <c r="N63" s="14" t="str">
        <v>F</v>
      </c>
    </row>
    <row r="64" spans="9:14" x14ac:dyDescent="0.25">
      <c r="I64" s="14">
        <v>43</v>
      </c>
      <c r="J64" s="14">
        <v>812</v>
      </c>
      <c r="K64" s="14" t="str">
        <v>C</v>
      </c>
      <c r="L64" s="14" t="str">
        <v>C</v>
      </c>
      <c r="M64" s="14" t="str">
        <v>C</v>
      </c>
      <c r="N64" s="14" t="str">
        <v>G</v>
      </c>
    </row>
    <row r="65" spans="9:14" x14ac:dyDescent="0.25">
      <c r="I65" s="14">
        <v>0</v>
      </c>
      <c r="J65" s="14">
        <v>826</v>
      </c>
      <c r="K65" s="14" t="str">
        <v>C</v>
      </c>
      <c r="L65" s="14" t="str">
        <v>C</v>
      </c>
      <c r="M65" s="14" t="str">
        <v>D</v>
      </c>
      <c r="N65" s="14" t="str">
        <v>H</v>
      </c>
    </row>
    <row r="66" spans="9:14" x14ac:dyDescent="0.25">
      <c r="I66" s="14">
        <v>0</v>
      </c>
      <c r="J66" s="14">
        <v>840</v>
      </c>
      <c r="K66" s="14" t="str">
        <v>C</v>
      </c>
      <c r="L66" s="14" t="str">
        <v>C</v>
      </c>
      <c r="M66" s="14" t="str">
        <v>E</v>
      </c>
      <c r="N66" s="14" t="str">
        <v>I</v>
      </c>
    </row>
    <row r="67" spans="9:14" x14ac:dyDescent="0.25">
      <c r="I67" s="14">
        <v>0</v>
      </c>
      <c r="J67" s="14">
        <v>850</v>
      </c>
      <c r="K67" s="14" t="str">
        <v>C</v>
      </c>
      <c r="L67" s="14" t="str">
        <v>D</v>
      </c>
      <c r="M67" s="14" t="str">
        <v>A</v>
      </c>
      <c r="N67" s="14" t="str">
        <v>F</v>
      </c>
    </row>
    <row r="68" spans="9:14" x14ac:dyDescent="0.25">
      <c r="I68" s="14">
        <v>0</v>
      </c>
      <c r="J68" s="14">
        <v>864</v>
      </c>
      <c r="K68" s="14" t="str">
        <v>C</v>
      </c>
      <c r="L68" s="14" t="str">
        <v>D</v>
      </c>
      <c r="M68" s="14" t="str">
        <v>B</v>
      </c>
      <c r="N68" s="14" t="str">
        <v>G</v>
      </c>
    </row>
    <row r="69" spans="9:14" x14ac:dyDescent="0.25">
      <c r="I69" s="14">
        <v>0</v>
      </c>
      <c r="J69" s="14">
        <v>878</v>
      </c>
      <c r="K69" s="14" t="str">
        <v>C</v>
      </c>
      <c r="L69" s="14" t="str">
        <v>D</v>
      </c>
      <c r="M69" s="14" t="str">
        <v>C</v>
      </c>
      <c r="N69" s="14" t="str">
        <v>H</v>
      </c>
    </row>
    <row r="70" spans="9:14" x14ac:dyDescent="0.25">
      <c r="I70" s="14">
        <v>0</v>
      </c>
      <c r="J70" s="14">
        <v>892</v>
      </c>
      <c r="K70" s="14" t="str">
        <v>C</v>
      </c>
      <c r="L70" s="14" t="str">
        <v>D</v>
      </c>
      <c r="M70" s="14" t="str">
        <v>D</v>
      </c>
      <c r="N70" s="14" t="str">
        <v>I</v>
      </c>
    </row>
    <row r="71" spans="9:14" x14ac:dyDescent="0.25">
      <c r="I71" s="14">
        <v>0</v>
      </c>
      <c r="J71" s="14">
        <v>906</v>
      </c>
      <c r="K71" s="14" t="str">
        <v>C</v>
      </c>
      <c r="L71" s="14" t="str">
        <v>D</v>
      </c>
      <c r="M71" s="14" t="str">
        <v>E</v>
      </c>
      <c r="N71" s="14" t="str">
        <v>J</v>
      </c>
    </row>
    <row r="72" spans="9:14" x14ac:dyDescent="0.25">
      <c r="I72" s="14">
        <v>0</v>
      </c>
      <c r="J72" s="14">
        <v>916</v>
      </c>
      <c r="K72" s="14" t="str">
        <v>C</v>
      </c>
      <c r="L72" s="14" t="str">
        <v>E</v>
      </c>
      <c r="M72" s="14" t="str">
        <v>A</v>
      </c>
      <c r="N72" s="14" t="str">
        <v>G</v>
      </c>
    </row>
    <row r="73" spans="9:14" x14ac:dyDescent="0.25">
      <c r="I73" s="14">
        <v>0</v>
      </c>
      <c r="J73" s="14">
        <v>930</v>
      </c>
      <c r="K73" s="14" t="str">
        <v>C</v>
      </c>
      <c r="L73" s="14" t="str">
        <v>E</v>
      </c>
      <c r="M73" s="14" t="str">
        <v>B</v>
      </c>
      <c r="N73" s="14" t="str">
        <v>H</v>
      </c>
    </row>
    <row r="74" spans="9:14" x14ac:dyDescent="0.25">
      <c r="I74" s="14">
        <v>0</v>
      </c>
      <c r="J74" s="14">
        <v>944</v>
      </c>
      <c r="K74" s="14" t="str">
        <v>C</v>
      </c>
      <c r="L74" s="14" t="str">
        <v>E</v>
      </c>
      <c r="M74" s="14" t="str">
        <v>C</v>
      </c>
      <c r="N74" s="14" t="str">
        <v>I</v>
      </c>
    </row>
    <row r="75" spans="9:14" x14ac:dyDescent="0.25">
      <c r="I75" s="14">
        <v>0</v>
      </c>
      <c r="J75" s="14">
        <v>958</v>
      </c>
      <c r="K75" s="14" t="str">
        <v>C</v>
      </c>
      <c r="L75" s="14" t="str">
        <v>E</v>
      </c>
      <c r="M75" s="14" t="str">
        <v>D</v>
      </c>
      <c r="N75" s="14" t="str">
        <v>J</v>
      </c>
    </row>
    <row r="76" spans="9:14" x14ac:dyDescent="0.25">
      <c r="I76" s="14">
        <v>0</v>
      </c>
      <c r="J76" s="14">
        <v>972</v>
      </c>
      <c r="K76" s="14" t="str">
        <v>C</v>
      </c>
      <c r="L76" s="14" t="str">
        <v>E</v>
      </c>
      <c r="M76" s="14" t="str">
        <v>E</v>
      </c>
      <c r="N76" s="14" t="str">
        <v>K</v>
      </c>
    </row>
    <row r="77" spans="9:14" x14ac:dyDescent="0.25">
      <c r="I77" s="14">
        <v>0</v>
      </c>
      <c r="J77" s="14">
        <v>978</v>
      </c>
      <c r="K77" s="14" t="str">
        <v>D</v>
      </c>
      <c r="L77" s="14" t="str">
        <v>A</v>
      </c>
      <c r="M77" s="14" t="str">
        <v>A</v>
      </c>
      <c r="N77" s="14" t="str">
        <v>D</v>
      </c>
    </row>
    <row r="78" spans="9:14" x14ac:dyDescent="0.25">
      <c r="I78" s="14">
        <v>0</v>
      </c>
      <c r="J78" s="14">
        <v>992</v>
      </c>
      <c r="K78" s="14" t="str">
        <v>D</v>
      </c>
      <c r="L78" s="14" t="str">
        <v>A</v>
      </c>
      <c r="M78" s="14" t="str">
        <v>B</v>
      </c>
      <c r="N78" s="14" t="str">
        <v>E</v>
      </c>
    </row>
    <row r="79" spans="9:14" x14ac:dyDescent="0.25">
      <c r="I79" s="14">
        <v>0</v>
      </c>
      <c r="J79" s="14">
        <v>1006</v>
      </c>
      <c r="K79" s="14" t="str">
        <v>D</v>
      </c>
      <c r="L79" s="14" t="str">
        <v>A</v>
      </c>
      <c r="M79" s="14" t="str">
        <v>C</v>
      </c>
      <c r="N79" s="14" t="str">
        <v>F</v>
      </c>
    </row>
    <row r="80" spans="9:14" x14ac:dyDescent="0.25">
      <c r="I80" s="14">
        <v>0</v>
      </c>
      <c r="J80" s="14">
        <v>1020</v>
      </c>
      <c r="K80" s="14" t="str">
        <v>D</v>
      </c>
      <c r="L80" s="14" t="str">
        <v>A</v>
      </c>
      <c r="M80" s="14" t="str">
        <v>D</v>
      </c>
      <c r="N80" s="14" t="str">
        <v>G</v>
      </c>
    </row>
    <row r="81" spans="9:14" x14ac:dyDescent="0.25">
      <c r="I81" s="14">
        <v>0</v>
      </c>
      <c r="J81" s="14">
        <v>1034</v>
      </c>
      <c r="K81" s="14" t="str">
        <v>D</v>
      </c>
      <c r="L81" s="14" t="str">
        <v>A</v>
      </c>
      <c r="M81" s="14" t="str">
        <v>E</v>
      </c>
      <c r="N81" s="14" t="str">
        <v>H</v>
      </c>
    </row>
    <row r="82" spans="9:14" x14ac:dyDescent="0.25">
      <c r="I82" s="14">
        <v>0</v>
      </c>
      <c r="J82" s="14">
        <v>1044</v>
      </c>
      <c r="K82" s="14" t="str">
        <v>D</v>
      </c>
      <c r="L82" s="14" t="str">
        <v>B</v>
      </c>
      <c r="M82" s="14" t="str">
        <v>A</v>
      </c>
      <c r="N82" s="14" t="str">
        <v>E</v>
      </c>
    </row>
    <row r="83" spans="9:14" x14ac:dyDescent="0.25">
      <c r="I83" s="14">
        <v>0</v>
      </c>
      <c r="J83" s="14">
        <v>1058</v>
      </c>
      <c r="K83" s="14" t="str">
        <v>D</v>
      </c>
      <c r="L83" s="14" t="str">
        <v>B</v>
      </c>
      <c r="M83" s="14" t="str">
        <v>B</v>
      </c>
      <c r="N83" s="14" t="str">
        <v>F</v>
      </c>
    </row>
    <row r="84" spans="9:14" x14ac:dyDescent="0.25">
      <c r="I84" s="14">
        <v>0</v>
      </c>
      <c r="J84" s="14">
        <v>1072</v>
      </c>
      <c r="K84" s="14" t="str">
        <v>D</v>
      </c>
      <c r="L84" s="14" t="str">
        <v>B</v>
      </c>
      <c r="M84" s="14" t="str">
        <v>C</v>
      </c>
      <c r="N84" s="14" t="str">
        <v>G</v>
      </c>
    </row>
    <row r="85" spans="9:14" x14ac:dyDescent="0.25">
      <c r="I85" s="14">
        <v>0</v>
      </c>
      <c r="J85" s="14">
        <v>1086</v>
      </c>
      <c r="K85" s="14" t="str">
        <v>D</v>
      </c>
      <c r="L85" s="14" t="str">
        <v>B</v>
      </c>
      <c r="M85" s="14" t="str">
        <v>D</v>
      </c>
      <c r="N85" s="14" t="str">
        <v>H</v>
      </c>
    </row>
    <row r="86" spans="9:14" x14ac:dyDescent="0.25">
      <c r="I86" s="14">
        <v>0</v>
      </c>
      <c r="J86" s="14">
        <v>1100</v>
      </c>
      <c r="K86" s="14" t="str">
        <v>D</v>
      </c>
      <c r="L86" s="14" t="str">
        <v>B</v>
      </c>
      <c r="M86" s="14" t="str">
        <v>E</v>
      </c>
      <c r="N86" s="14" t="str">
        <v>I</v>
      </c>
    </row>
    <row r="87" spans="9:14" x14ac:dyDescent="0.25">
      <c r="I87" s="14">
        <v>0</v>
      </c>
      <c r="J87" s="14">
        <v>1110</v>
      </c>
      <c r="K87" s="14" t="str">
        <v>D</v>
      </c>
      <c r="L87" s="14" t="str">
        <v>C</v>
      </c>
      <c r="M87" s="14" t="str">
        <v>A</v>
      </c>
      <c r="N87" s="14" t="str">
        <v>F</v>
      </c>
    </row>
    <row r="88" spans="9:14" x14ac:dyDescent="0.25">
      <c r="I88" s="14">
        <v>0</v>
      </c>
      <c r="J88" s="14">
        <v>1124</v>
      </c>
      <c r="K88" s="14" t="str">
        <v>D</v>
      </c>
      <c r="L88" s="14" t="str">
        <v>C</v>
      </c>
      <c r="M88" s="14" t="str">
        <v>B</v>
      </c>
      <c r="N88" s="14" t="str">
        <v>G</v>
      </c>
    </row>
    <row r="89" spans="9:14" x14ac:dyDescent="0.25">
      <c r="I89" s="14">
        <v>44</v>
      </c>
      <c r="J89" s="14">
        <v>1138</v>
      </c>
      <c r="K89" s="14" t="str">
        <v>D</v>
      </c>
      <c r="L89" s="14" t="str">
        <v>C</v>
      </c>
      <c r="M89" s="14" t="str">
        <v>C</v>
      </c>
      <c r="N89" s="14" t="str">
        <v>H</v>
      </c>
    </row>
    <row r="90" spans="9:14" x14ac:dyDescent="0.25">
      <c r="I90" s="14">
        <v>0</v>
      </c>
      <c r="J90" s="14">
        <v>1152</v>
      </c>
      <c r="K90" s="14" t="str">
        <v>D</v>
      </c>
      <c r="L90" s="14" t="str">
        <v>C</v>
      </c>
      <c r="M90" s="14" t="str">
        <v>D</v>
      </c>
      <c r="N90" s="14" t="str">
        <v>I</v>
      </c>
    </row>
    <row r="91" spans="9:14" x14ac:dyDescent="0.25">
      <c r="I91" s="14">
        <v>0</v>
      </c>
      <c r="J91" s="14">
        <v>1166</v>
      </c>
      <c r="K91" s="14" t="str">
        <v>D</v>
      </c>
      <c r="L91" s="14" t="str">
        <v>C</v>
      </c>
      <c r="M91" s="14" t="str">
        <v>E</v>
      </c>
      <c r="N91" s="14" t="str">
        <v>J</v>
      </c>
    </row>
    <row r="92" spans="9:14" x14ac:dyDescent="0.25">
      <c r="I92" s="14">
        <v>0</v>
      </c>
      <c r="J92" s="14">
        <v>1176</v>
      </c>
      <c r="K92" s="14" t="str">
        <v>D</v>
      </c>
      <c r="L92" s="14" t="str">
        <v>D</v>
      </c>
      <c r="M92" s="14" t="str">
        <v>A</v>
      </c>
      <c r="N92" s="14" t="str">
        <v>G</v>
      </c>
    </row>
    <row r="93" spans="9:14" x14ac:dyDescent="0.25">
      <c r="I93" s="14">
        <v>0</v>
      </c>
      <c r="J93" s="14">
        <v>1190</v>
      </c>
      <c r="K93" s="14" t="str">
        <v>D</v>
      </c>
      <c r="L93" s="14" t="str">
        <v>D</v>
      </c>
      <c r="M93" s="14" t="str">
        <v>B</v>
      </c>
      <c r="N93" s="14" t="str">
        <v>H</v>
      </c>
    </row>
    <row r="94" spans="9:14" x14ac:dyDescent="0.25">
      <c r="I94" s="14">
        <v>0</v>
      </c>
      <c r="J94" s="14">
        <v>1204</v>
      </c>
      <c r="K94" s="14" t="str">
        <v>D</v>
      </c>
      <c r="L94" s="14" t="str">
        <v>D</v>
      </c>
      <c r="M94" s="14" t="str">
        <v>C</v>
      </c>
      <c r="N94" s="14" t="str">
        <v>I</v>
      </c>
    </row>
    <row r="95" spans="9:14" x14ac:dyDescent="0.25">
      <c r="I95" s="14">
        <v>0</v>
      </c>
      <c r="J95" s="14">
        <v>1218</v>
      </c>
      <c r="K95" s="14" t="str">
        <v>D</v>
      </c>
      <c r="L95" s="14" t="str">
        <v>D</v>
      </c>
      <c r="M95" s="14" t="str">
        <v>D</v>
      </c>
      <c r="N95" s="14" t="str">
        <v>J</v>
      </c>
    </row>
    <row r="96" spans="9:14" x14ac:dyDescent="0.25">
      <c r="I96" s="14">
        <v>0</v>
      </c>
      <c r="J96" s="14">
        <v>1232</v>
      </c>
      <c r="K96" s="14" t="str">
        <v>D</v>
      </c>
      <c r="L96" s="14" t="str">
        <v>D</v>
      </c>
      <c r="M96" s="14" t="str">
        <v>E</v>
      </c>
      <c r="N96" s="14" t="str">
        <v>K</v>
      </c>
    </row>
    <row r="97" spans="9:14" x14ac:dyDescent="0.25">
      <c r="I97" s="14">
        <v>0</v>
      </c>
      <c r="J97" s="14">
        <v>1242</v>
      </c>
      <c r="K97" s="14" t="str">
        <v>D</v>
      </c>
      <c r="L97" s="14" t="str">
        <v>E</v>
      </c>
      <c r="M97" s="14" t="str">
        <v>A</v>
      </c>
      <c r="N97" s="14" t="str">
        <v>H</v>
      </c>
    </row>
    <row r="98" spans="9:14" x14ac:dyDescent="0.25">
      <c r="I98" s="14">
        <v>0</v>
      </c>
      <c r="J98" s="14">
        <v>1256</v>
      </c>
      <c r="K98" s="14" t="str">
        <v>D</v>
      </c>
      <c r="L98" s="14" t="str">
        <v>E</v>
      </c>
      <c r="M98" s="14" t="str">
        <v>B</v>
      </c>
      <c r="N98" s="14" t="str">
        <v>I</v>
      </c>
    </row>
    <row r="99" spans="9:14" x14ac:dyDescent="0.25">
      <c r="I99" s="14">
        <v>0</v>
      </c>
      <c r="J99" s="14">
        <v>1270</v>
      </c>
      <c r="K99" s="14" t="str">
        <v>D</v>
      </c>
      <c r="L99" s="14" t="str">
        <v>E</v>
      </c>
      <c r="M99" s="14" t="str">
        <v>C</v>
      </c>
      <c r="N99" s="14" t="str">
        <v>J</v>
      </c>
    </row>
    <row r="100" spans="9:14" x14ac:dyDescent="0.25">
      <c r="I100" s="14">
        <v>0</v>
      </c>
      <c r="J100" s="14">
        <v>1284</v>
      </c>
      <c r="K100" s="14" t="str">
        <v>D</v>
      </c>
      <c r="L100" s="14" t="str">
        <v>E</v>
      </c>
      <c r="M100" s="14" t="str">
        <v>D</v>
      </c>
      <c r="N100" s="14" t="str">
        <v>K</v>
      </c>
    </row>
    <row r="101" spans="9:14" x14ac:dyDescent="0.25">
      <c r="I101" s="14">
        <v>0</v>
      </c>
      <c r="J101" s="14">
        <v>1298</v>
      </c>
      <c r="K101" s="14" t="str">
        <v>D</v>
      </c>
      <c r="L101" s="14" t="str">
        <v>E</v>
      </c>
      <c r="M101" s="14" t="str">
        <v>E</v>
      </c>
      <c r="N101" s="14" t="str">
        <v>L</v>
      </c>
    </row>
    <row r="102" spans="9:14" x14ac:dyDescent="0.25">
      <c r="I102" s="14">
        <v>0</v>
      </c>
      <c r="J102" s="14">
        <v>1304</v>
      </c>
      <c r="K102" s="14" t="str">
        <v>E</v>
      </c>
      <c r="L102" s="14" t="str">
        <v>A</v>
      </c>
      <c r="M102" s="14" t="str">
        <v>A</v>
      </c>
      <c r="N102" s="14" t="str">
        <v>E</v>
      </c>
    </row>
    <row r="103" spans="9:14" x14ac:dyDescent="0.25">
      <c r="I103" s="14">
        <v>0</v>
      </c>
      <c r="J103" s="14">
        <v>1318</v>
      </c>
      <c r="K103" s="14" t="str">
        <v>E</v>
      </c>
      <c r="L103" s="14" t="str">
        <v>A</v>
      </c>
      <c r="M103" s="14" t="str">
        <v>B</v>
      </c>
      <c r="N103" s="14" t="str">
        <v>F</v>
      </c>
    </row>
    <row r="104" spans="9:14" x14ac:dyDescent="0.25">
      <c r="I104" s="14">
        <v>0</v>
      </c>
      <c r="J104" s="14">
        <v>1332</v>
      </c>
      <c r="K104" s="14" t="str">
        <v>E</v>
      </c>
      <c r="L104" s="14" t="str">
        <v>A</v>
      </c>
      <c r="M104" s="14" t="str">
        <v>C</v>
      </c>
      <c r="N104" s="14" t="str">
        <v>G</v>
      </c>
    </row>
    <row r="105" spans="9:14" x14ac:dyDescent="0.25">
      <c r="I105" s="14">
        <v>0</v>
      </c>
      <c r="J105" s="14">
        <v>1346</v>
      </c>
      <c r="K105" s="14" t="str">
        <v>E</v>
      </c>
      <c r="L105" s="14" t="str">
        <v>A</v>
      </c>
      <c r="M105" s="14" t="str">
        <v>D</v>
      </c>
      <c r="N105" s="14" t="str">
        <v>H</v>
      </c>
    </row>
    <row r="106" spans="9:14" x14ac:dyDescent="0.25">
      <c r="I106" s="14">
        <v>0</v>
      </c>
      <c r="J106" s="14">
        <v>1360</v>
      </c>
      <c r="K106" s="14" t="str">
        <v>E</v>
      </c>
      <c r="L106" s="14" t="str">
        <v>A</v>
      </c>
      <c r="M106" s="14" t="str">
        <v>E</v>
      </c>
      <c r="N106" s="14" t="str">
        <v>I</v>
      </c>
    </row>
    <row r="107" spans="9:14" x14ac:dyDescent="0.25">
      <c r="I107" s="14">
        <v>0</v>
      </c>
      <c r="J107" s="14">
        <v>1370</v>
      </c>
      <c r="K107" s="14" t="str">
        <v>E</v>
      </c>
      <c r="L107" s="14" t="str">
        <v>B</v>
      </c>
      <c r="M107" s="14" t="str">
        <v>A</v>
      </c>
      <c r="N107" s="14" t="str">
        <v>F</v>
      </c>
    </row>
    <row r="108" spans="9:14" x14ac:dyDescent="0.25">
      <c r="I108" s="14">
        <v>0</v>
      </c>
      <c r="J108" s="14">
        <v>1384</v>
      </c>
      <c r="K108" s="14" t="str">
        <v>E</v>
      </c>
      <c r="L108" s="14" t="str">
        <v>B</v>
      </c>
      <c r="M108" s="14" t="str">
        <v>B</v>
      </c>
      <c r="N108" s="14" t="str">
        <v>G</v>
      </c>
    </row>
    <row r="109" spans="9:14" x14ac:dyDescent="0.25">
      <c r="I109" s="14">
        <v>0</v>
      </c>
      <c r="J109" s="14">
        <v>1398</v>
      </c>
      <c r="K109" s="14" t="str">
        <v>E</v>
      </c>
      <c r="L109" s="14" t="str">
        <v>B</v>
      </c>
      <c r="M109" s="14" t="str">
        <v>C</v>
      </c>
      <c r="N109" s="14" t="str">
        <v>H</v>
      </c>
    </row>
    <row r="110" spans="9:14" x14ac:dyDescent="0.25">
      <c r="I110" s="14">
        <v>0</v>
      </c>
      <c r="J110" s="14">
        <v>1412</v>
      </c>
      <c r="K110" s="14" t="str">
        <v>E</v>
      </c>
      <c r="L110" s="14" t="str">
        <v>B</v>
      </c>
      <c r="M110" s="14" t="str">
        <v>D</v>
      </c>
      <c r="N110" s="14" t="str">
        <v>I</v>
      </c>
    </row>
    <row r="111" spans="9:14" x14ac:dyDescent="0.25">
      <c r="I111" s="14">
        <v>0</v>
      </c>
      <c r="J111" s="14">
        <v>1426</v>
      </c>
      <c r="K111" s="14" t="str">
        <v>E</v>
      </c>
      <c r="L111" s="14" t="str">
        <v>B</v>
      </c>
      <c r="M111" s="14" t="str">
        <v>E</v>
      </c>
      <c r="N111" s="14" t="str">
        <v>J</v>
      </c>
    </row>
    <row r="112" spans="9:14" x14ac:dyDescent="0.25">
      <c r="I112" s="14">
        <v>0</v>
      </c>
      <c r="J112" s="14">
        <v>1436</v>
      </c>
      <c r="K112" s="14" t="str">
        <v>E</v>
      </c>
      <c r="L112" s="14" t="str">
        <v>C</v>
      </c>
      <c r="M112" s="14" t="str">
        <v>A</v>
      </c>
      <c r="N112" s="14" t="str">
        <v>G</v>
      </c>
    </row>
    <row r="113" spans="9:14" x14ac:dyDescent="0.25">
      <c r="I113" s="14">
        <v>0</v>
      </c>
      <c r="J113" s="14">
        <v>1450</v>
      </c>
      <c r="K113" s="14" t="str">
        <v>E</v>
      </c>
      <c r="L113" s="14" t="str">
        <v>C</v>
      </c>
      <c r="M113" s="14" t="str">
        <v>B</v>
      </c>
      <c r="N113" s="14" t="str">
        <v>H</v>
      </c>
    </row>
    <row r="114" spans="9:14" x14ac:dyDescent="0.25">
      <c r="I114" s="14">
        <v>39</v>
      </c>
      <c r="J114" s="14">
        <v>1464</v>
      </c>
      <c r="K114" s="14" t="str">
        <v>E</v>
      </c>
      <c r="L114" s="14" t="str">
        <v>C</v>
      </c>
      <c r="M114" s="14" t="str">
        <v>C</v>
      </c>
      <c r="N114" s="14" t="str">
        <v>I</v>
      </c>
    </row>
    <row r="115" spans="9:14" x14ac:dyDescent="0.25">
      <c r="I115" s="14">
        <v>0</v>
      </c>
      <c r="J115" s="14">
        <v>1478</v>
      </c>
      <c r="K115" s="14" t="str">
        <v>E</v>
      </c>
      <c r="L115" s="14" t="str">
        <v>C</v>
      </c>
      <c r="M115" s="14" t="str">
        <v>D</v>
      </c>
      <c r="N115" s="14" t="str">
        <v>J</v>
      </c>
    </row>
    <row r="116" spans="9:14" x14ac:dyDescent="0.25">
      <c r="I116" s="14">
        <v>0</v>
      </c>
      <c r="J116" s="14">
        <v>1492</v>
      </c>
      <c r="K116" s="14" t="str">
        <v>E</v>
      </c>
      <c r="L116" s="14" t="str">
        <v>C</v>
      </c>
      <c r="M116" s="14" t="str">
        <v>E</v>
      </c>
      <c r="N116" s="14" t="str">
        <v>K</v>
      </c>
    </row>
    <row r="117" spans="9:14" x14ac:dyDescent="0.25">
      <c r="I117" s="14">
        <v>0</v>
      </c>
      <c r="J117" s="14">
        <v>1502</v>
      </c>
      <c r="K117" s="14" t="str">
        <v>E</v>
      </c>
      <c r="L117" s="14" t="str">
        <v>D</v>
      </c>
      <c r="M117" s="14" t="str">
        <v>A</v>
      </c>
      <c r="N117" s="14" t="str">
        <v>H</v>
      </c>
    </row>
    <row r="118" spans="9:14" x14ac:dyDescent="0.25">
      <c r="I118" s="14">
        <v>0</v>
      </c>
      <c r="J118" s="14">
        <v>1516</v>
      </c>
      <c r="K118" s="14" t="str">
        <v>E</v>
      </c>
      <c r="L118" s="14" t="str">
        <v>D</v>
      </c>
      <c r="M118" s="14" t="str">
        <v>B</v>
      </c>
      <c r="N118" s="14" t="str">
        <v>I</v>
      </c>
    </row>
    <row r="119" spans="9:14" x14ac:dyDescent="0.25">
      <c r="I119" s="14">
        <v>0</v>
      </c>
      <c r="J119" s="14">
        <v>1530</v>
      </c>
      <c r="K119" s="14" t="str">
        <v>E</v>
      </c>
      <c r="L119" s="14" t="str">
        <v>D</v>
      </c>
      <c r="M119" s="14" t="str">
        <v>C</v>
      </c>
      <c r="N119" s="14" t="str">
        <v>J</v>
      </c>
    </row>
    <row r="120" spans="9:14" x14ac:dyDescent="0.25">
      <c r="I120" s="14">
        <v>0</v>
      </c>
      <c r="J120" s="14">
        <v>1544</v>
      </c>
      <c r="K120" s="14" t="str">
        <v>E</v>
      </c>
      <c r="L120" s="14" t="str">
        <v>D</v>
      </c>
      <c r="M120" s="14" t="str">
        <v>D</v>
      </c>
      <c r="N120" s="14" t="str">
        <v>K</v>
      </c>
    </row>
    <row r="121" spans="9:14" x14ac:dyDescent="0.25">
      <c r="I121" s="14">
        <v>0</v>
      </c>
      <c r="J121" s="14">
        <v>1558</v>
      </c>
      <c r="K121" s="14" t="str">
        <v>E</v>
      </c>
      <c r="L121" s="14" t="str">
        <v>D</v>
      </c>
      <c r="M121" s="14" t="str">
        <v>E</v>
      </c>
      <c r="N121" s="14" t="str">
        <v>L</v>
      </c>
    </row>
    <row r="122" spans="9:14" x14ac:dyDescent="0.25">
      <c r="I122" s="14">
        <v>0</v>
      </c>
      <c r="J122" s="14">
        <v>1568</v>
      </c>
      <c r="K122" s="14" t="str">
        <v>E</v>
      </c>
      <c r="L122" s="14" t="str">
        <v>E</v>
      </c>
      <c r="M122" s="14" t="str">
        <v>A</v>
      </c>
      <c r="N122" s="14" t="str">
        <v>I</v>
      </c>
    </row>
    <row r="123" spans="9:14" x14ac:dyDescent="0.25">
      <c r="I123" s="14">
        <v>0</v>
      </c>
      <c r="J123" s="14">
        <v>1582</v>
      </c>
      <c r="K123" s="14" t="str">
        <v>E</v>
      </c>
      <c r="L123" s="14" t="str">
        <v>E</v>
      </c>
      <c r="M123" s="14" t="str">
        <v>B</v>
      </c>
      <c r="N123" s="14" t="str">
        <v>J</v>
      </c>
    </row>
    <row r="124" spans="9:14" x14ac:dyDescent="0.25">
      <c r="I124" s="14">
        <v>0</v>
      </c>
      <c r="J124" s="14">
        <v>1596</v>
      </c>
      <c r="K124" s="14" t="str">
        <v>E</v>
      </c>
      <c r="L124" s="14" t="str">
        <v>E</v>
      </c>
      <c r="M124" s="14" t="str">
        <v>C</v>
      </c>
      <c r="N124" s="14" t="str">
        <v>K</v>
      </c>
    </row>
    <row r="125" spans="9:14" x14ac:dyDescent="0.25">
      <c r="I125" s="14">
        <v>0</v>
      </c>
      <c r="J125" s="14">
        <v>1610</v>
      </c>
      <c r="K125" s="14" t="str">
        <v>E</v>
      </c>
      <c r="L125" s="14" t="str">
        <v>E</v>
      </c>
      <c r="M125" s="14" t="str">
        <v>D</v>
      </c>
      <c r="N125" s="14" t="str">
        <v>L</v>
      </c>
    </row>
    <row r="126" spans="9:14" x14ac:dyDescent="0.25">
      <c r="I126" s="14">
        <v>0</v>
      </c>
      <c r="J126" s="14">
        <v>1624</v>
      </c>
      <c r="K126" s="14" t="str">
        <v>E</v>
      </c>
      <c r="L126" s="14" t="str">
        <v>E</v>
      </c>
      <c r="M126" s="14" t="str">
        <v>E</v>
      </c>
      <c r="N126" s="14" t="str">
        <v>M</v>
      </c>
    </row>
  </sheetData>
  <autoFilter ref="J1:N626" xr:uid="{2A857DF3-92DB-40A9-BB89-D266C93CB73F}"/>
  <mergeCells count="1">
    <mergeCell ref="A1:E1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A7F4C-21F2-45C4-ACF2-95CB43612427}">
  <sheetPr codeName="Planilha10"/>
  <dimension ref="A1:N126"/>
  <sheetViews>
    <sheetView workbookViewId="0">
      <selection sqref="A1:E1"/>
    </sheetView>
  </sheetViews>
  <sheetFormatPr defaultRowHeight="15" x14ac:dyDescent="0.25"/>
  <cols>
    <col min="1" max="5" width="9.140625" style="14"/>
    <col min="6" max="6" width="12.140625" style="14" bestFit="1" customWidth="1"/>
    <col min="7" max="7" width="20" style="14" bestFit="1" customWidth="1"/>
    <col min="8" max="8" width="9.140625" style="14"/>
    <col min="9" max="9" width="20.140625" style="14" bestFit="1" customWidth="1"/>
    <col min="10" max="14" width="9.140625" style="14"/>
    <col min="15" max="18" width="9.140625" style="14" customWidth="1"/>
    <col min="19" max="16384" width="9.140625" style="14"/>
  </cols>
  <sheetData>
    <row r="1" spans="1:14" x14ac:dyDescent="0.25">
      <c r="A1" s="65" t="s">
        <v>31</v>
      </c>
      <c r="B1" s="65"/>
      <c r="C1" s="65"/>
      <c r="D1" s="65"/>
      <c r="E1" s="65"/>
      <c r="G1" s="14" t="s">
        <v>39</v>
      </c>
      <c r="I1" s="14" t="s">
        <v>37</v>
      </c>
      <c r="J1" s="14" t="s">
        <v>35</v>
      </c>
      <c r="K1" s="14" t="s">
        <v>19</v>
      </c>
      <c r="L1" s="14" t="s">
        <v>32</v>
      </c>
      <c r="M1" s="14" t="s">
        <v>33</v>
      </c>
      <c r="N1" s="14" t="s">
        <v>34</v>
      </c>
    </row>
    <row r="2" spans="1:14" x14ac:dyDescent="0.25">
      <c r="A2" s="14" t="s">
        <v>22</v>
      </c>
      <c r="B2" s="14" t="s">
        <v>19</v>
      </c>
      <c r="C2" s="14" t="s">
        <v>32</v>
      </c>
      <c r="D2" s="14" t="s">
        <v>33</v>
      </c>
      <c r="G2" s="14">
        <f>SUM(I:I)</f>
        <v>188</v>
      </c>
      <c r="I2" s="14">
        <v>0</v>
      </c>
      <c r="J2" s="14" cm="1">
        <f t="array" ref="J2:J126">_xlfn._xlws.FILTER(Tabela2[Comb],Tabela2[Status]="OK","ERRO")</f>
        <v>0</v>
      </c>
      <c r="K2" s="14" t="str" cm="1">
        <f t="array" ref="K2:K126">_xlfn._xlws.FILTER(Tabela2[OP],Tabela2[Status]="OK","ERRO")</f>
        <v>A</v>
      </c>
      <c r="L2" s="14" t="str" cm="1">
        <f t="array" ref="L2:L126">_xlfn._xlws.FILTER(Tabela2[BICO],Tabela2[Status]="OK","ERRO")</f>
        <v>A</v>
      </c>
      <c r="M2" s="14" t="str" cm="1">
        <f t="array" ref="M2:M126">_xlfn._xlws.FILTER(Tabela2[SPACER],Tabela2[Status]="OK","ERRO")</f>
        <v>A</v>
      </c>
      <c r="N2" s="14" t="str" cm="1">
        <f t="array" ref="N2:N126">_xlfn._xlws.FILTER(Tabela2[AGULHA],Tabela2[Status]="OK","ERRO")</f>
        <v>A</v>
      </c>
    </row>
    <row r="3" spans="1:14" x14ac:dyDescent="0.25">
      <c r="A3" s="14" t="s">
        <v>8</v>
      </c>
      <c r="B3" s="6">
        <f>Simluação!Q31</f>
        <v>46</v>
      </c>
      <c r="C3" s="14">
        <f>'Lote 6'!C3-'Lote 6'!C10</f>
        <v>0</v>
      </c>
      <c r="D3" s="14">
        <f>'Lote 6'!D3-'Lote 6'!D10</f>
        <v>0</v>
      </c>
      <c r="G3" s="14">
        <f>G2-SUM(B3:B7)</f>
        <v>0</v>
      </c>
      <c r="I3" s="14">
        <v>0</v>
      </c>
      <c r="J3" s="14">
        <v>14</v>
      </c>
      <c r="K3" s="14" t="str">
        <v>A</v>
      </c>
      <c r="L3" s="14" t="str">
        <v>A</v>
      </c>
      <c r="M3" s="14" t="str">
        <v>B</v>
      </c>
      <c r="N3" s="14" t="str">
        <v>B</v>
      </c>
    </row>
    <row r="4" spans="1:14" x14ac:dyDescent="0.25">
      <c r="A4" s="14" t="s">
        <v>9</v>
      </c>
      <c r="B4" s="6">
        <f>Simluação!Q32</f>
        <v>39</v>
      </c>
      <c r="C4" s="14">
        <f>'Lote 6'!C4-'Lote 6'!C11</f>
        <v>0</v>
      </c>
      <c r="D4" s="14">
        <f>'Lote 6'!D4-'Lote 6'!D11</f>
        <v>0</v>
      </c>
      <c r="I4" s="14">
        <v>0</v>
      </c>
      <c r="J4" s="14">
        <v>28</v>
      </c>
      <c r="K4" s="14" t="str">
        <v>A</v>
      </c>
      <c r="L4" s="14" t="str">
        <v>A</v>
      </c>
      <c r="M4" s="14" t="str">
        <v>C</v>
      </c>
      <c r="N4" s="14" t="str">
        <v>C</v>
      </c>
    </row>
    <row r="5" spans="1:14" x14ac:dyDescent="0.25">
      <c r="A5" s="14" t="s">
        <v>10</v>
      </c>
      <c r="B5" s="6">
        <f>Simluação!Q33</f>
        <v>29</v>
      </c>
      <c r="C5" s="14">
        <f>'Lote 6'!C5-'Lote 6'!C12</f>
        <v>9</v>
      </c>
      <c r="D5" s="14">
        <f>'Lote 6'!D5-'Lote 6'!D12</f>
        <v>21</v>
      </c>
      <c r="I5" s="14">
        <v>0</v>
      </c>
      <c r="J5" s="14">
        <v>42</v>
      </c>
      <c r="K5" s="14" t="str">
        <v>A</v>
      </c>
      <c r="L5" s="14" t="str">
        <v>A</v>
      </c>
      <c r="M5" s="14" t="str">
        <v>D</v>
      </c>
      <c r="N5" s="14" t="str">
        <v>D</v>
      </c>
    </row>
    <row r="6" spans="1:14" x14ac:dyDescent="0.25">
      <c r="A6" s="14" t="s">
        <v>11</v>
      </c>
      <c r="B6" s="6">
        <f>Simluação!Q34</f>
        <v>34</v>
      </c>
      <c r="C6" s="14">
        <f>'Lote 6'!C6-'Lote 6'!C13</f>
        <v>427</v>
      </c>
      <c r="D6" s="14">
        <f>'Lote 6'!D6-'Lote 6'!D13</f>
        <v>397</v>
      </c>
      <c r="I6" s="14">
        <v>0</v>
      </c>
      <c r="J6" s="14">
        <v>56</v>
      </c>
      <c r="K6" s="14" t="str">
        <v>A</v>
      </c>
      <c r="L6" s="14" t="str">
        <v>A</v>
      </c>
      <c r="M6" s="14" t="str">
        <v>E</v>
      </c>
      <c r="N6" s="14" t="str">
        <v>E</v>
      </c>
    </row>
    <row r="7" spans="1:14" x14ac:dyDescent="0.25">
      <c r="A7" s="14" t="s">
        <v>13</v>
      </c>
      <c r="B7" s="6">
        <f>Simluação!Q35</f>
        <v>40</v>
      </c>
      <c r="C7" s="14">
        <f>'Lote 6'!C7-'Lote 6'!C14</f>
        <v>404</v>
      </c>
      <c r="D7" s="14">
        <f>'Lote 6'!D7-'Lote 6'!D14</f>
        <v>422</v>
      </c>
      <c r="I7" s="14">
        <v>0</v>
      </c>
      <c r="J7" s="14">
        <v>66</v>
      </c>
      <c r="K7" s="14" t="str">
        <v>A</v>
      </c>
      <c r="L7" s="14" t="str">
        <v>B</v>
      </c>
      <c r="M7" s="14" t="str">
        <v>A</v>
      </c>
      <c r="N7" s="14" t="str">
        <v>B</v>
      </c>
    </row>
    <row r="8" spans="1:14" x14ac:dyDescent="0.25">
      <c r="I8" s="14">
        <v>0</v>
      </c>
      <c r="J8" s="14">
        <v>80</v>
      </c>
      <c r="K8" s="14" t="str">
        <v>A</v>
      </c>
      <c r="L8" s="14" t="str">
        <v>B</v>
      </c>
      <c r="M8" s="14" t="str">
        <v>B</v>
      </c>
      <c r="N8" s="14" t="str">
        <v>C</v>
      </c>
    </row>
    <row r="9" spans="1:14" x14ac:dyDescent="0.25">
      <c r="A9" s="14" t="s">
        <v>38</v>
      </c>
      <c r="I9" s="14">
        <v>0</v>
      </c>
      <c r="J9" s="14">
        <v>94</v>
      </c>
      <c r="K9" s="14" t="str">
        <v>A</v>
      </c>
      <c r="L9" s="14" t="str">
        <v>B</v>
      </c>
      <c r="M9" s="14" t="str">
        <v>C</v>
      </c>
      <c r="N9" s="14" t="str">
        <v>D</v>
      </c>
    </row>
    <row r="10" spans="1:14" x14ac:dyDescent="0.25">
      <c r="A10" s="14" t="s">
        <v>8</v>
      </c>
      <c r="B10" s="14">
        <f t="shared" ref="B10:B22" si="0">SUMIF($K:$K,A10,$I:$I)</f>
        <v>46</v>
      </c>
      <c r="C10" s="14">
        <f t="shared" ref="C10:C22" si="1">SUMIF($L:$L,A10,$I:$I)</f>
        <v>0</v>
      </c>
      <c r="D10" s="14">
        <f t="shared" ref="D10:D22" si="2">SUMIF($M:$M,A10,$I:$I)</f>
        <v>0</v>
      </c>
      <c r="E10" s="14">
        <f t="shared" ref="E10:E22" si="3">SUMIF($N:$N,A10,$I:$I)</f>
        <v>0</v>
      </c>
      <c r="F10" s="14">
        <v>-6</v>
      </c>
      <c r="I10" s="14">
        <v>0</v>
      </c>
      <c r="J10" s="14">
        <v>108</v>
      </c>
      <c r="K10" s="14" t="str">
        <v>A</v>
      </c>
      <c r="L10" s="14" t="str">
        <v>B</v>
      </c>
      <c r="M10" s="14" t="str">
        <v>D</v>
      </c>
      <c r="N10" s="14" t="str">
        <v>E</v>
      </c>
    </row>
    <row r="11" spans="1:14" x14ac:dyDescent="0.25">
      <c r="A11" s="14" t="s">
        <v>9</v>
      </c>
      <c r="B11" s="14">
        <f t="shared" si="0"/>
        <v>39</v>
      </c>
      <c r="C11" s="14">
        <f t="shared" si="1"/>
        <v>0</v>
      </c>
      <c r="D11" s="14">
        <f t="shared" si="2"/>
        <v>0</v>
      </c>
      <c r="E11" s="14">
        <f t="shared" si="3"/>
        <v>0</v>
      </c>
      <c r="F11" s="14">
        <v>-5</v>
      </c>
      <c r="I11" s="14">
        <v>0</v>
      </c>
      <c r="J11" s="14">
        <v>122</v>
      </c>
      <c r="K11" s="14" t="str">
        <v>A</v>
      </c>
      <c r="L11" s="14" t="str">
        <v>B</v>
      </c>
      <c r="M11" s="14" t="str">
        <v>E</v>
      </c>
      <c r="N11" s="14" t="str">
        <v>F</v>
      </c>
    </row>
    <row r="12" spans="1:14" x14ac:dyDescent="0.25">
      <c r="A12" s="14" t="s">
        <v>10</v>
      </c>
      <c r="B12" s="14">
        <f t="shared" si="0"/>
        <v>29</v>
      </c>
      <c r="C12" s="14">
        <f t="shared" si="1"/>
        <v>9</v>
      </c>
      <c r="D12" s="14">
        <f t="shared" si="2"/>
        <v>21</v>
      </c>
      <c r="E12" s="14">
        <f t="shared" si="3"/>
        <v>0</v>
      </c>
      <c r="F12" s="14">
        <v>-4</v>
      </c>
      <c r="I12" s="14">
        <v>0</v>
      </c>
      <c r="J12" s="14">
        <v>132</v>
      </c>
      <c r="K12" s="14" t="str">
        <v>A</v>
      </c>
      <c r="L12" s="14" t="str">
        <v>C</v>
      </c>
      <c r="M12" s="14" t="str">
        <v>A</v>
      </c>
      <c r="N12" s="14" t="str">
        <v>C</v>
      </c>
    </row>
    <row r="13" spans="1:14" x14ac:dyDescent="0.25">
      <c r="A13" s="14" t="s">
        <v>11</v>
      </c>
      <c r="B13" s="14">
        <f t="shared" si="0"/>
        <v>34</v>
      </c>
      <c r="C13" s="14">
        <f t="shared" si="1"/>
        <v>179</v>
      </c>
      <c r="D13" s="14">
        <f t="shared" si="2"/>
        <v>167</v>
      </c>
      <c r="E13" s="14">
        <f t="shared" si="3"/>
        <v>0</v>
      </c>
      <c r="F13" s="14">
        <v>-3</v>
      </c>
      <c r="I13" s="14">
        <v>0</v>
      </c>
      <c r="J13" s="14">
        <v>146</v>
      </c>
      <c r="K13" s="14" t="str">
        <v>A</v>
      </c>
      <c r="L13" s="14" t="str">
        <v>C</v>
      </c>
      <c r="M13" s="14" t="str">
        <v>B</v>
      </c>
      <c r="N13" s="14" t="str">
        <v>D</v>
      </c>
    </row>
    <row r="14" spans="1:14" x14ac:dyDescent="0.25">
      <c r="A14" s="14" t="s">
        <v>13</v>
      </c>
      <c r="B14" s="14">
        <f t="shared" si="0"/>
        <v>40</v>
      </c>
      <c r="C14" s="14">
        <f t="shared" si="1"/>
        <v>0</v>
      </c>
      <c r="D14" s="14">
        <f t="shared" si="2"/>
        <v>0</v>
      </c>
      <c r="E14" s="14">
        <f t="shared" si="3"/>
        <v>0</v>
      </c>
      <c r="F14" s="14">
        <v>-2</v>
      </c>
      <c r="I14" s="14">
        <v>0</v>
      </c>
      <c r="J14" s="14">
        <v>160</v>
      </c>
      <c r="K14" s="14" t="str">
        <v>A</v>
      </c>
      <c r="L14" s="14" t="str">
        <v>C</v>
      </c>
      <c r="M14" s="14" t="str">
        <v>C</v>
      </c>
      <c r="N14" s="14" t="str">
        <v>E</v>
      </c>
    </row>
    <row r="15" spans="1:14" x14ac:dyDescent="0.25">
      <c r="A15" s="14" t="s">
        <v>12</v>
      </c>
      <c r="B15" s="14">
        <f t="shared" si="0"/>
        <v>0</v>
      </c>
      <c r="C15" s="14">
        <f t="shared" si="1"/>
        <v>0</v>
      </c>
      <c r="D15" s="14">
        <f t="shared" si="2"/>
        <v>0</v>
      </c>
      <c r="E15" s="14">
        <f t="shared" si="3"/>
        <v>0</v>
      </c>
      <c r="F15" s="14">
        <v>-1</v>
      </c>
      <c r="I15" s="14">
        <v>0</v>
      </c>
      <c r="J15" s="14">
        <v>174</v>
      </c>
      <c r="K15" s="14" t="str">
        <v>A</v>
      </c>
      <c r="L15" s="14" t="str">
        <v>C</v>
      </c>
      <c r="M15" s="14" t="str">
        <v>D</v>
      </c>
      <c r="N15" s="14" t="str">
        <v>F</v>
      </c>
    </row>
    <row r="16" spans="1:14" x14ac:dyDescent="0.25">
      <c r="A16" s="14" t="s">
        <v>14</v>
      </c>
      <c r="B16" s="14">
        <f t="shared" si="0"/>
        <v>0</v>
      </c>
      <c r="C16" s="14">
        <f t="shared" si="1"/>
        <v>0</v>
      </c>
      <c r="D16" s="14">
        <f t="shared" si="2"/>
        <v>0</v>
      </c>
      <c r="E16" s="14">
        <f t="shared" si="3"/>
        <v>46</v>
      </c>
      <c r="F16" s="14">
        <v>0</v>
      </c>
      <c r="I16" s="14">
        <v>0</v>
      </c>
      <c r="J16" s="14">
        <v>188</v>
      </c>
      <c r="K16" s="14" t="str">
        <v>A</v>
      </c>
      <c r="L16" s="14" t="str">
        <v>C</v>
      </c>
      <c r="M16" s="14" t="str">
        <v>E</v>
      </c>
      <c r="N16" s="14" t="str">
        <v>G</v>
      </c>
    </row>
    <row r="17" spans="1:14" x14ac:dyDescent="0.25">
      <c r="A17" s="14" t="s">
        <v>44</v>
      </c>
      <c r="B17" s="14">
        <f t="shared" si="0"/>
        <v>0</v>
      </c>
      <c r="C17" s="14">
        <f t="shared" si="1"/>
        <v>0</v>
      </c>
      <c r="D17" s="14">
        <f t="shared" si="2"/>
        <v>0</v>
      </c>
      <c r="E17" s="14">
        <f t="shared" si="3"/>
        <v>39</v>
      </c>
      <c r="F17" s="14">
        <v>1</v>
      </c>
      <c r="I17" s="14">
        <v>0</v>
      </c>
      <c r="J17" s="14">
        <v>198</v>
      </c>
      <c r="K17" s="14" t="str">
        <v>A</v>
      </c>
      <c r="L17" s="14" t="str">
        <v>D</v>
      </c>
      <c r="M17" s="14" t="str">
        <v>A</v>
      </c>
      <c r="N17" s="14" t="str">
        <v>D</v>
      </c>
    </row>
    <row r="18" spans="1:14" x14ac:dyDescent="0.25">
      <c r="A18" s="14" t="s">
        <v>45</v>
      </c>
      <c r="B18" s="14">
        <f t="shared" si="0"/>
        <v>0</v>
      </c>
      <c r="C18" s="14">
        <f t="shared" si="1"/>
        <v>0</v>
      </c>
      <c r="D18" s="14">
        <f t="shared" si="2"/>
        <v>0</v>
      </c>
      <c r="E18" s="14">
        <f t="shared" si="3"/>
        <v>29</v>
      </c>
      <c r="F18" s="14">
        <v>2</v>
      </c>
      <c r="I18" s="14">
        <v>0</v>
      </c>
      <c r="J18" s="14">
        <v>212</v>
      </c>
      <c r="K18" s="14" t="str">
        <v>A</v>
      </c>
      <c r="L18" s="14" t="str">
        <v>D</v>
      </c>
      <c r="M18" s="14" t="str">
        <v>B</v>
      </c>
      <c r="N18" s="14" t="str">
        <v>E</v>
      </c>
    </row>
    <row r="19" spans="1:14" x14ac:dyDescent="0.25">
      <c r="A19" s="14" t="s">
        <v>46</v>
      </c>
      <c r="B19" s="14">
        <f t="shared" si="0"/>
        <v>0</v>
      </c>
      <c r="C19" s="14">
        <f t="shared" si="1"/>
        <v>0</v>
      </c>
      <c r="D19" s="14">
        <f t="shared" si="2"/>
        <v>0</v>
      </c>
      <c r="E19" s="14">
        <f t="shared" si="3"/>
        <v>64</v>
      </c>
      <c r="F19" s="14">
        <v>3</v>
      </c>
      <c r="I19" s="14">
        <v>0</v>
      </c>
      <c r="J19" s="14">
        <v>226</v>
      </c>
      <c r="K19" s="14" t="str">
        <v>A</v>
      </c>
      <c r="L19" s="14" t="str">
        <v>D</v>
      </c>
      <c r="M19" s="14" t="str">
        <v>C</v>
      </c>
      <c r="N19" s="14" t="str">
        <v>F</v>
      </c>
    </row>
    <row r="20" spans="1:14" x14ac:dyDescent="0.25">
      <c r="A20" s="14" t="s">
        <v>47</v>
      </c>
      <c r="B20" s="14">
        <f t="shared" si="0"/>
        <v>0</v>
      </c>
      <c r="C20" s="14">
        <f t="shared" si="1"/>
        <v>0</v>
      </c>
      <c r="D20" s="14">
        <f t="shared" si="2"/>
        <v>0</v>
      </c>
      <c r="E20" s="14">
        <f t="shared" si="3"/>
        <v>10</v>
      </c>
      <c r="F20" s="14">
        <v>4</v>
      </c>
      <c r="I20" s="14">
        <v>46</v>
      </c>
      <c r="J20" s="14">
        <v>240</v>
      </c>
      <c r="K20" s="14" t="str">
        <v>A</v>
      </c>
      <c r="L20" s="14" t="str">
        <v>D</v>
      </c>
      <c r="M20" s="14" t="str">
        <v>D</v>
      </c>
      <c r="N20" s="14" t="str">
        <v>G</v>
      </c>
    </row>
    <row r="21" spans="1:14" x14ac:dyDescent="0.25">
      <c r="A21" s="14" t="s">
        <v>48</v>
      </c>
      <c r="B21" s="14">
        <f t="shared" si="0"/>
        <v>0</v>
      </c>
      <c r="C21" s="14">
        <f t="shared" si="1"/>
        <v>0</v>
      </c>
      <c r="D21" s="14">
        <f t="shared" si="2"/>
        <v>0</v>
      </c>
      <c r="E21" s="14">
        <f t="shared" si="3"/>
        <v>0</v>
      </c>
      <c r="F21" s="14">
        <v>5</v>
      </c>
      <c r="I21" s="14">
        <v>0</v>
      </c>
      <c r="J21" s="14">
        <v>254</v>
      </c>
      <c r="K21" s="14" t="str">
        <v>A</v>
      </c>
      <c r="L21" s="14" t="str">
        <v>D</v>
      </c>
      <c r="M21" s="14" t="str">
        <v>E</v>
      </c>
      <c r="N21" s="14" t="str">
        <v>H</v>
      </c>
    </row>
    <row r="22" spans="1:14" x14ac:dyDescent="0.25">
      <c r="A22" s="14" t="s">
        <v>49</v>
      </c>
      <c r="B22" s="14">
        <f t="shared" si="0"/>
        <v>0</v>
      </c>
      <c r="C22" s="14">
        <f t="shared" si="1"/>
        <v>0</v>
      </c>
      <c r="D22" s="14">
        <f t="shared" si="2"/>
        <v>0</v>
      </c>
      <c r="E22" s="14">
        <f t="shared" si="3"/>
        <v>0</v>
      </c>
      <c r="F22" s="14">
        <v>6</v>
      </c>
      <c r="I22" s="14">
        <v>0</v>
      </c>
      <c r="J22" s="14">
        <v>264</v>
      </c>
      <c r="K22" s="14" t="str">
        <v>A</v>
      </c>
      <c r="L22" s="14" t="str">
        <v>E</v>
      </c>
      <c r="M22" s="14" t="str">
        <v>A</v>
      </c>
      <c r="N22" s="14" t="str">
        <v>E</v>
      </c>
    </row>
    <row r="23" spans="1:14" x14ac:dyDescent="0.25">
      <c r="B23" s="14">
        <f>SUM(B10:B22)</f>
        <v>188</v>
      </c>
      <c r="C23" s="14">
        <f>SUM(C10:C22)</f>
        <v>188</v>
      </c>
      <c r="D23" s="14">
        <f>SUM(D10:D22)</f>
        <v>188</v>
      </c>
      <c r="E23" s="14">
        <f>SUM(E10:E22)</f>
        <v>188</v>
      </c>
      <c r="I23" s="14">
        <v>0</v>
      </c>
      <c r="J23" s="14">
        <v>278</v>
      </c>
      <c r="K23" s="14" t="str">
        <v>A</v>
      </c>
      <c r="L23" s="14" t="str">
        <v>E</v>
      </c>
      <c r="M23" s="14" t="str">
        <v>B</v>
      </c>
      <c r="N23" s="14" t="str">
        <v>F</v>
      </c>
    </row>
    <row r="24" spans="1:14" x14ac:dyDescent="0.25">
      <c r="I24" s="14">
        <v>0</v>
      </c>
      <c r="J24" s="14">
        <v>292</v>
      </c>
      <c r="K24" s="14" t="str">
        <v>A</v>
      </c>
      <c r="L24" s="14" t="str">
        <v>E</v>
      </c>
      <c r="M24" s="14" t="str">
        <v>C</v>
      </c>
      <c r="N24" s="14" t="str">
        <v>G</v>
      </c>
    </row>
    <row r="25" spans="1:14" x14ac:dyDescent="0.25">
      <c r="I25" s="14">
        <v>0</v>
      </c>
      <c r="J25" s="14">
        <v>306</v>
      </c>
      <c r="K25" s="14" t="str">
        <v>A</v>
      </c>
      <c r="L25" s="14" t="str">
        <v>E</v>
      </c>
      <c r="M25" s="14" t="str">
        <v>D</v>
      </c>
      <c r="N25" s="14" t="str">
        <v>H</v>
      </c>
    </row>
    <row r="26" spans="1:14" x14ac:dyDescent="0.25">
      <c r="I26" s="14">
        <v>0</v>
      </c>
      <c r="J26" s="14">
        <v>320</v>
      </c>
      <c r="K26" s="14" t="str">
        <v>A</v>
      </c>
      <c r="L26" s="14" t="str">
        <v>E</v>
      </c>
      <c r="M26" s="14" t="str">
        <v>E</v>
      </c>
      <c r="N26" s="14" t="str">
        <v>I</v>
      </c>
    </row>
    <row r="27" spans="1:14" x14ac:dyDescent="0.25">
      <c r="I27" s="14">
        <v>0</v>
      </c>
      <c r="J27" s="14">
        <v>326</v>
      </c>
      <c r="K27" s="14" t="str">
        <v>B</v>
      </c>
      <c r="L27" s="14" t="str">
        <v>A</v>
      </c>
      <c r="M27" s="14" t="str">
        <v>A</v>
      </c>
      <c r="N27" s="14" t="str">
        <v>B</v>
      </c>
    </row>
    <row r="28" spans="1:14" x14ac:dyDescent="0.25">
      <c r="I28" s="14">
        <v>0</v>
      </c>
      <c r="J28" s="14">
        <v>340</v>
      </c>
      <c r="K28" s="14" t="str">
        <v>B</v>
      </c>
      <c r="L28" s="14" t="str">
        <v>A</v>
      </c>
      <c r="M28" s="14" t="str">
        <v>B</v>
      </c>
      <c r="N28" s="14" t="str">
        <v>C</v>
      </c>
    </row>
    <row r="29" spans="1:14" x14ac:dyDescent="0.25">
      <c r="I29" s="14">
        <v>0</v>
      </c>
      <c r="J29" s="14">
        <v>354</v>
      </c>
      <c r="K29" s="14" t="str">
        <v>B</v>
      </c>
      <c r="L29" s="14" t="str">
        <v>A</v>
      </c>
      <c r="M29" s="14" t="str">
        <v>C</v>
      </c>
      <c r="N29" s="14" t="str">
        <v>D</v>
      </c>
    </row>
    <row r="30" spans="1:14" x14ac:dyDescent="0.25">
      <c r="I30" s="14">
        <v>0</v>
      </c>
      <c r="J30" s="14">
        <v>368</v>
      </c>
      <c r="K30" s="14" t="str">
        <v>B</v>
      </c>
      <c r="L30" s="14" t="str">
        <v>A</v>
      </c>
      <c r="M30" s="14" t="str">
        <v>D</v>
      </c>
      <c r="N30" s="14" t="str">
        <v>E</v>
      </c>
    </row>
    <row r="31" spans="1:14" x14ac:dyDescent="0.25">
      <c r="I31" s="14">
        <v>0</v>
      </c>
      <c r="J31" s="14">
        <v>382</v>
      </c>
      <c r="K31" s="14" t="str">
        <v>B</v>
      </c>
      <c r="L31" s="14" t="str">
        <v>A</v>
      </c>
      <c r="M31" s="14" t="str">
        <v>E</v>
      </c>
      <c r="N31" s="14" t="str">
        <v>F</v>
      </c>
    </row>
    <row r="32" spans="1:14" x14ac:dyDescent="0.25">
      <c r="I32" s="14">
        <v>0</v>
      </c>
      <c r="J32" s="14">
        <v>392</v>
      </c>
      <c r="K32" s="14" t="str">
        <v>B</v>
      </c>
      <c r="L32" s="14" t="str">
        <v>B</v>
      </c>
      <c r="M32" s="14" t="str">
        <v>A</v>
      </c>
      <c r="N32" s="14" t="str">
        <v>C</v>
      </c>
    </row>
    <row r="33" spans="9:14" x14ac:dyDescent="0.25">
      <c r="I33" s="14">
        <v>0</v>
      </c>
      <c r="J33" s="14">
        <v>406</v>
      </c>
      <c r="K33" s="14" t="str">
        <v>B</v>
      </c>
      <c r="L33" s="14" t="str">
        <v>B</v>
      </c>
      <c r="M33" s="14" t="str">
        <v>B</v>
      </c>
      <c r="N33" s="14" t="str">
        <v>D</v>
      </c>
    </row>
    <row r="34" spans="9:14" x14ac:dyDescent="0.25">
      <c r="I34" s="14">
        <v>0</v>
      </c>
      <c r="J34" s="14">
        <v>420</v>
      </c>
      <c r="K34" s="14" t="str">
        <v>B</v>
      </c>
      <c r="L34" s="14" t="str">
        <v>B</v>
      </c>
      <c r="M34" s="14" t="str">
        <v>C</v>
      </c>
      <c r="N34" s="14" t="str">
        <v>E</v>
      </c>
    </row>
    <row r="35" spans="9:14" x14ac:dyDescent="0.25">
      <c r="I35" s="14">
        <v>0</v>
      </c>
      <c r="J35" s="14">
        <v>434</v>
      </c>
      <c r="K35" s="14" t="str">
        <v>B</v>
      </c>
      <c r="L35" s="14" t="str">
        <v>B</v>
      </c>
      <c r="M35" s="14" t="str">
        <v>D</v>
      </c>
      <c r="N35" s="14" t="str">
        <v>F</v>
      </c>
    </row>
    <row r="36" spans="9:14" x14ac:dyDescent="0.25">
      <c r="I36" s="14">
        <v>0</v>
      </c>
      <c r="J36" s="14">
        <v>448</v>
      </c>
      <c r="K36" s="14" t="str">
        <v>B</v>
      </c>
      <c r="L36" s="14" t="str">
        <v>B</v>
      </c>
      <c r="M36" s="14" t="str">
        <v>E</v>
      </c>
      <c r="N36" s="14" t="str">
        <v>G</v>
      </c>
    </row>
    <row r="37" spans="9:14" x14ac:dyDescent="0.25">
      <c r="I37" s="14">
        <v>0</v>
      </c>
      <c r="J37" s="14">
        <v>458</v>
      </c>
      <c r="K37" s="14" t="str">
        <v>B</v>
      </c>
      <c r="L37" s="14" t="str">
        <v>C</v>
      </c>
      <c r="M37" s="14" t="str">
        <v>A</v>
      </c>
      <c r="N37" s="14" t="str">
        <v>D</v>
      </c>
    </row>
    <row r="38" spans="9:14" x14ac:dyDescent="0.25">
      <c r="I38" s="14">
        <v>0</v>
      </c>
      <c r="J38" s="14">
        <v>472</v>
      </c>
      <c r="K38" s="14" t="str">
        <v>B</v>
      </c>
      <c r="L38" s="14" t="str">
        <v>C</v>
      </c>
      <c r="M38" s="14" t="str">
        <v>B</v>
      </c>
      <c r="N38" s="14" t="str">
        <v>E</v>
      </c>
    </row>
    <row r="39" spans="9:14" x14ac:dyDescent="0.25">
      <c r="I39" s="14">
        <v>0</v>
      </c>
      <c r="J39" s="14">
        <v>486</v>
      </c>
      <c r="K39" s="14" t="str">
        <v>B</v>
      </c>
      <c r="L39" s="14" t="str">
        <v>C</v>
      </c>
      <c r="M39" s="14" t="str">
        <v>C</v>
      </c>
      <c r="N39" s="14" t="str">
        <v>F</v>
      </c>
    </row>
    <row r="40" spans="9:14" x14ac:dyDescent="0.25">
      <c r="I40" s="14">
        <v>0</v>
      </c>
      <c r="J40" s="14">
        <v>500</v>
      </c>
      <c r="K40" s="14" t="str">
        <v>B</v>
      </c>
      <c r="L40" s="14" t="str">
        <v>C</v>
      </c>
      <c r="M40" s="14" t="str">
        <v>D</v>
      </c>
      <c r="N40" s="14" t="str">
        <v>G</v>
      </c>
    </row>
    <row r="41" spans="9:14" x14ac:dyDescent="0.25">
      <c r="I41" s="14">
        <v>0</v>
      </c>
      <c r="J41" s="14">
        <v>514</v>
      </c>
      <c r="K41" s="14" t="str">
        <v>B</v>
      </c>
      <c r="L41" s="14" t="str">
        <v>C</v>
      </c>
      <c r="M41" s="14" t="str">
        <v>E</v>
      </c>
      <c r="N41" s="14" t="str">
        <v>H</v>
      </c>
    </row>
    <row r="42" spans="9:14" x14ac:dyDescent="0.25">
      <c r="I42" s="14">
        <v>0</v>
      </c>
      <c r="J42" s="14">
        <v>524</v>
      </c>
      <c r="K42" s="14" t="str">
        <v>B</v>
      </c>
      <c r="L42" s="14" t="str">
        <v>D</v>
      </c>
      <c r="M42" s="14" t="str">
        <v>A</v>
      </c>
      <c r="N42" s="14" t="str">
        <v>E</v>
      </c>
    </row>
    <row r="43" spans="9:14" x14ac:dyDescent="0.25">
      <c r="I43" s="14">
        <v>0</v>
      </c>
      <c r="J43" s="14">
        <v>538</v>
      </c>
      <c r="K43" s="14" t="str">
        <v>B</v>
      </c>
      <c r="L43" s="14" t="str">
        <v>D</v>
      </c>
      <c r="M43" s="14" t="str">
        <v>B</v>
      </c>
      <c r="N43" s="14" t="str">
        <v>F</v>
      </c>
    </row>
    <row r="44" spans="9:14" x14ac:dyDescent="0.25">
      <c r="I44" s="14">
        <v>0</v>
      </c>
      <c r="J44" s="14">
        <v>552</v>
      </c>
      <c r="K44" s="14" t="str">
        <v>B</v>
      </c>
      <c r="L44" s="14" t="str">
        <v>D</v>
      </c>
      <c r="M44" s="14" t="str">
        <v>C</v>
      </c>
      <c r="N44" s="14" t="str">
        <v>G</v>
      </c>
    </row>
    <row r="45" spans="9:14" x14ac:dyDescent="0.25">
      <c r="I45" s="14">
        <v>39</v>
      </c>
      <c r="J45" s="14">
        <v>566</v>
      </c>
      <c r="K45" s="14" t="str">
        <v>B</v>
      </c>
      <c r="L45" s="14" t="str">
        <v>D</v>
      </c>
      <c r="M45" s="14" t="str">
        <v>D</v>
      </c>
      <c r="N45" s="14" t="str">
        <v>H</v>
      </c>
    </row>
    <row r="46" spans="9:14" x14ac:dyDescent="0.25">
      <c r="I46" s="14">
        <v>0</v>
      </c>
      <c r="J46" s="14">
        <v>580</v>
      </c>
      <c r="K46" s="14" t="str">
        <v>B</v>
      </c>
      <c r="L46" s="14" t="str">
        <v>D</v>
      </c>
      <c r="M46" s="14" t="str">
        <v>E</v>
      </c>
      <c r="N46" s="14" t="str">
        <v>I</v>
      </c>
    </row>
    <row r="47" spans="9:14" x14ac:dyDescent="0.25">
      <c r="I47" s="14">
        <v>0</v>
      </c>
      <c r="J47" s="14">
        <v>590</v>
      </c>
      <c r="K47" s="14" t="str">
        <v>B</v>
      </c>
      <c r="L47" s="14" t="str">
        <v>E</v>
      </c>
      <c r="M47" s="14" t="str">
        <v>A</v>
      </c>
      <c r="N47" s="14" t="str">
        <v>F</v>
      </c>
    </row>
    <row r="48" spans="9:14" x14ac:dyDescent="0.25">
      <c r="I48" s="14">
        <v>0</v>
      </c>
      <c r="J48" s="14">
        <v>604</v>
      </c>
      <c r="K48" s="14" t="str">
        <v>B</v>
      </c>
      <c r="L48" s="14" t="str">
        <v>E</v>
      </c>
      <c r="M48" s="14" t="str">
        <v>B</v>
      </c>
      <c r="N48" s="14" t="str">
        <v>G</v>
      </c>
    </row>
    <row r="49" spans="9:14" x14ac:dyDescent="0.25">
      <c r="I49" s="14">
        <v>0</v>
      </c>
      <c r="J49" s="14">
        <v>618</v>
      </c>
      <c r="K49" s="14" t="str">
        <v>B</v>
      </c>
      <c r="L49" s="14" t="str">
        <v>E</v>
      </c>
      <c r="M49" s="14" t="str">
        <v>C</v>
      </c>
      <c r="N49" s="14" t="str">
        <v>H</v>
      </c>
    </row>
    <row r="50" spans="9:14" x14ac:dyDescent="0.25">
      <c r="I50" s="14">
        <v>0</v>
      </c>
      <c r="J50" s="14">
        <v>632</v>
      </c>
      <c r="K50" s="14" t="str">
        <v>B</v>
      </c>
      <c r="L50" s="14" t="str">
        <v>E</v>
      </c>
      <c r="M50" s="14" t="str">
        <v>D</v>
      </c>
      <c r="N50" s="14" t="str">
        <v>I</v>
      </c>
    </row>
    <row r="51" spans="9:14" x14ac:dyDescent="0.25">
      <c r="I51" s="14">
        <v>0</v>
      </c>
      <c r="J51" s="14">
        <v>646</v>
      </c>
      <c r="K51" s="14" t="str">
        <v>B</v>
      </c>
      <c r="L51" s="14" t="str">
        <v>E</v>
      </c>
      <c r="M51" s="14" t="str">
        <v>E</v>
      </c>
      <c r="N51" s="14" t="str">
        <v>J</v>
      </c>
    </row>
    <row r="52" spans="9:14" x14ac:dyDescent="0.25">
      <c r="I52" s="14">
        <v>0</v>
      </c>
      <c r="J52" s="14">
        <v>652</v>
      </c>
      <c r="K52" s="14" t="str">
        <v>C</v>
      </c>
      <c r="L52" s="14" t="str">
        <v>A</v>
      </c>
      <c r="M52" s="14" t="str">
        <v>A</v>
      </c>
      <c r="N52" s="14" t="str">
        <v>C</v>
      </c>
    </row>
    <row r="53" spans="9:14" x14ac:dyDescent="0.25">
      <c r="I53" s="14">
        <v>0</v>
      </c>
      <c r="J53" s="14">
        <v>666</v>
      </c>
      <c r="K53" s="14" t="str">
        <v>C</v>
      </c>
      <c r="L53" s="14" t="str">
        <v>A</v>
      </c>
      <c r="M53" s="14" t="str">
        <v>B</v>
      </c>
      <c r="N53" s="14" t="str">
        <v>D</v>
      </c>
    </row>
    <row r="54" spans="9:14" x14ac:dyDescent="0.25">
      <c r="I54" s="14">
        <v>0</v>
      </c>
      <c r="J54" s="14">
        <v>680</v>
      </c>
      <c r="K54" s="14" t="str">
        <v>C</v>
      </c>
      <c r="L54" s="14" t="str">
        <v>A</v>
      </c>
      <c r="M54" s="14" t="str">
        <v>C</v>
      </c>
      <c r="N54" s="14" t="str">
        <v>E</v>
      </c>
    </row>
    <row r="55" spans="9:14" x14ac:dyDescent="0.25">
      <c r="I55" s="14">
        <v>0</v>
      </c>
      <c r="J55" s="14">
        <v>694</v>
      </c>
      <c r="K55" s="14" t="str">
        <v>C</v>
      </c>
      <c r="L55" s="14" t="str">
        <v>A</v>
      </c>
      <c r="M55" s="14" t="str">
        <v>D</v>
      </c>
      <c r="N55" s="14" t="str">
        <v>F</v>
      </c>
    </row>
    <row r="56" spans="9:14" x14ac:dyDescent="0.25">
      <c r="I56" s="14">
        <v>0</v>
      </c>
      <c r="J56" s="14">
        <v>708</v>
      </c>
      <c r="K56" s="14" t="str">
        <v>C</v>
      </c>
      <c r="L56" s="14" t="str">
        <v>A</v>
      </c>
      <c r="M56" s="14" t="str">
        <v>E</v>
      </c>
      <c r="N56" s="14" t="str">
        <v>G</v>
      </c>
    </row>
    <row r="57" spans="9:14" x14ac:dyDescent="0.25">
      <c r="I57" s="14">
        <v>0</v>
      </c>
      <c r="J57" s="14">
        <v>718</v>
      </c>
      <c r="K57" s="14" t="str">
        <v>C</v>
      </c>
      <c r="L57" s="14" t="str">
        <v>B</v>
      </c>
      <c r="M57" s="14" t="str">
        <v>A</v>
      </c>
      <c r="N57" s="14" t="str">
        <v>D</v>
      </c>
    </row>
    <row r="58" spans="9:14" x14ac:dyDescent="0.25">
      <c r="I58" s="14">
        <v>0</v>
      </c>
      <c r="J58" s="14">
        <v>732</v>
      </c>
      <c r="K58" s="14" t="str">
        <v>C</v>
      </c>
      <c r="L58" s="14" t="str">
        <v>B</v>
      </c>
      <c r="M58" s="14" t="str">
        <v>B</v>
      </c>
      <c r="N58" s="14" t="str">
        <v>E</v>
      </c>
    </row>
    <row r="59" spans="9:14" x14ac:dyDescent="0.25">
      <c r="I59" s="14">
        <v>0</v>
      </c>
      <c r="J59" s="14">
        <v>746</v>
      </c>
      <c r="K59" s="14" t="str">
        <v>C</v>
      </c>
      <c r="L59" s="14" t="str">
        <v>B</v>
      </c>
      <c r="M59" s="14" t="str">
        <v>C</v>
      </c>
      <c r="N59" s="14" t="str">
        <v>F</v>
      </c>
    </row>
    <row r="60" spans="9:14" x14ac:dyDescent="0.25">
      <c r="I60" s="14">
        <v>0</v>
      </c>
      <c r="J60" s="14">
        <v>760</v>
      </c>
      <c r="K60" s="14" t="str">
        <v>C</v>
      </c>
      <c r="L60" s="14" t="str">
        <v>B</v>
      </c>
      <c r="M60" s="14" t="str">
        <v>D</v>
      </c>
      <c r="N60" s="14" t="str">
        <v>G</v>
      </c>
    </row>
    <row r="61" spans="9:14" x14ac:dyDescent="0.25">
      <c r="I61" s="14">
        <v>0</v>
      </c>
      <c r="J61" s="14">
        <v>774</v>
      </c>
      <c r="K61" s="14" t="str">
        <v>C</v>
      </c>
      <c r="L61" s="14" t="str">
        <v>B</v>
      </c>
      <c r="M61" s="14" t="str">
        <v>E</v>
      </c>
      <c r="N61" s="14" t="str">
        <v>H</v>
      </c>
    </row>
    <row r="62" spans="9:14" x14ac:dyDescent="0.25">
      <c r="I62" s="14">
        <v>0</v>
      </c>
      <c r="J62" s="14">
        <v>784</v>
      </c>
      <c r="K62" s="14" t="str">
        <v>C</v>
      </c>
      <c r="L62" s="14" t="str">
        <v>C</v>
      </c>
      <c r="M62" s="14" t="str">
        <v>A</v>
      </c>
      <c r="N62" s="14" t="str">
        <v>E</v>
      </c>
    </row>
    <row r="63" spans="9:14" x14ac:dyDescent="0.25">
      <c r="I63" s="14">
        <v>0</v>
      </c>
      <c r="J63" s="14">
        <v>798</v>
      </c>
      <c r="K63" s="14" t="str">
        <v>C</v>
      </c>
      <c r="L63" s="14" t="str">
        <v>C</v>
      </c>
      <c r="M63" s="14" t="str">
        <v>B</v>
      </c>
      <c r="N63" s="14" t="str">
        <v>F</v>
      </c>
    </row>
    <row r="64" spans="9:14" x14ac:dyDescent="0.25">
      <c r="I64" s="14">
        <v>0</v>
      </c>
      <c r="J64" s="14">
        <v>812</v>
      </c>
      <c r="K64" s="14" t="str">
        <v>C</v>
      </c>
      <c r="L64" s="14" t="str">
        <v>C</v>
      </c>
      <c r="M64" s="14" t="str">
        <v>C</v>
      </c>
      <c r="N64" s="14" t="str">
        <v>G</v>
      </c>
    </row>
    <row r="65" spans="9:14" x14ac:dyDescent="0.25">
      <c r="I65" s="14">
        <v>0</v>
      </c>
      <c r="J65" s="14">
        <v>826</v>
      </c>
      <c r="K65" s="14" t="str">
        <v>C</v>
      </c>
      <c r="L65" s="14" t="str">
        <v>C</v>
      </c>
      <c r="M65" s="14" t="str">
        <v>D</v>
      </c>
      <c r="N65" s="14" t="str">
        <v>H</v>
      </c>
    </row>
    <row r="66" spans="9:14" x14ac:dyDescent="0.25">
      <c r="I66" s="14">
        <v>0</v>
      </c>
      <c r="J66" s="14">
        <v>840</v>
      </c>
      <c r="K66" s="14" t="str">
        <v>C</v>
      </c>
      <c r="L66" s="14" t="str">
        <v>C</v>
      </c>
      <c r="M66" s="14" t="str">
        <v>E</v>
      </c>
      <c r="N66" s="14" t="str">
        <v>I</v>
      </c>
    </row>
    <row r="67" spans="9:14" x14ac:dyDescent="0.25">
      <c r="I67" s="14">
        <v>0</v>
      </c>
      <c r="J67" s="14">
        <v>850</v>
      </c>
      <c r="K67" s="14" t="str">
        <v>C</v>
      </c>
      <c r="L67" s="14" t="str">
        <v>D</v>
      </c>
      <c r="M67" s="14" t="str">
        <v>A</v>
      </c>
      <c r="N67" s="14" t="str">
        <v>F</v>
      </c>
    </row>
    <row r="68" spans="9:14" x14ac:dyDescent="0.25">
      <c r="I68" s="14">
        <v>0</v>
      </c>
      <c r="J68" s="14">
        <v>864</v>
      </c>
      <c r="K68" s="14" t="str">
        <v>C</v>
      </c>
      <c r="L68" s="14" t="str">
        <v>D</v>
      </c>
      <c r="M68" s="14" t="str">
        <v>B</v>
      </c>
      <c r="N68" s="14" t="str">
        <v>G</v>
      </c>
    </row>
    <row r="69" spans="9:14" x14ac:dyDescent="0.25">
      <c r="I69" s="14">
        <v>0</v>
      </c>
      <c r="J69" s="14">
        <v>878</v>
      </c>
      <c r="K69" s="14" t="str">
        <v>C</v>
      </c>
      <c r="L69" s="14" t="str">
        <v>D</v>
      </c>
      <c r="M69" s="14" t="str">
        <v>C</v>
      </c>
      <c r="N69" s="14" t="str">
        <v>H</v>
      </c>
    </row>
    <row r="70" spans="9:14" x14ac:dyDescent="0.25">
      <c r="I70" s="14">
        <v>29</v>
      </c>
      <c r="J70" s="14">
        <v>892</v>
      </c>
      <c r="K70" s="14" t="str">
        <v>C</v>
      </c>
      <c r="L70" s="14" t="str">
        <v>D</v>
      </c>
      <c r="M70" s="14" t="str">
        <v>D</v>
      </c>
      <c r="N70" s="14" t="str">
        <v>I</v>
      </c>
    </row>
    <row r="71" spans="9:14" x14ac:dyDescent="0.25">
      <c r="I71" s="14">
        <v>0</v>
      </c>
      <c r="J71" s="14">
        <v>906</v>
      </c>
      <c r="K71" s="14" t="str">
        <v>C</v>
      </c>
      <c r="L71" s="14" t="str">
        <v>D</v>
      </c>
      <c r="M71" s="14" t="str">
        <v>E</v>
      </c>
      <c r="N71" s="14" t="str">
        <v>J</v>
      </c>
    </row>
    <row r="72" spans="9:14" x14ac:dyDescent="0.25">
      <c r="I72" s="14">
        <v>0</v>
      </c>
      <c r="J72" s="14">
        <v>916</v>
      </c>
      <c r="K72" s="14" t="str">
        <v>C</v>
      </c>
      <c r="L72" s="14" t="str">
        <v>E</v>
      </c>
      <c r="M72" s="14" t="str">
        <v>A</v>
      </c>
      <c r="N72" s="14" t="str">
        <v>G</v>
      </c>
    </row>
    <row r="73" spans="9:14" x14ac:dyDescent="0.25">
      <c r="I73" s="14">
        <v>0</v>
      </c>
      <c r="J73" s="14">
        <v>930</v>
      </c>
      <c r="K73" s="14" t="str">
        <v>C</v>
      </c>
      <c r="L73" s="14" t="str">
        <v>E</v>
      </c>
      <c r="M73" s="14" t="str">
        <v>B</v>
      </c>
      <c r="N73" s="14" t="str">
        <v>H</v>
      </c>
    </row>
    <row r="74" spans="9:14" x14ac:dyDescent="0.25">
      <c r="I74" s="14">
        <v>0</v>
      </c>
      <c r="J74" s="14">
        <v>944</v>
      </c>
      <c r="K74" s="14" t="str">
        <v>C</v>
      </c>
      <c r="L74" s="14" t="str">
        <v>E</v>
      </c>
      <c r="M74" s="14" t="str">
        <v>C</v>
      </c>
      <c r="N74" s="14" t="str">
        <v>I</v>
      </c>
    </row>
    <row r="75" spans="9:14" x14ac:dyDescent="0.25">
      <c r="I75" s="14">
        <v>0</v>
      </c>
      <c r="J75" s="14">
        <v>958</v>
      </c>
      <c r="K75" s="14" t="str">
        <v>C</v>
      </c>
      <c r="L75" s="14" t="str">
        <v>E</v>
      </c>
      <c r="M75" s="14" t="str">
        <v>D</v>
      </c>
      <c r="N75" s="14" t="str">
        <v>J</v>
      </c>
    </row>
    <row r="76" spans="9:14" x14ac:dyDescent="0.25">
      <c r="I76" s="14">
        <v>0</v>
      </c>
      <c r="J76" s="14">
        <v>972</v>
      </c>
      <c r="K76" s="14" t="str">
        <v>C</v>
      </c>
      <c r="L76" s="14" t="str">
        <v>E</v>
      </c>
      <c r="M76" s="14" t="str">
        <v>E</v>
      </c>
      <c r="N76" s="14" t="str">
        <v>K</v>
      </c>
    </row>
    <row r="77" spans="9:14" x14ac:dyDescent="0.25">
      <c r="I77" s="14">
        <v>0</v>
      </c>
      <c r="J77" s="14">
        <v>978</v>
      </c>
      <c r="K77" s="14" t="str">
        <v>D</v>
      </c>
      <c r="L77" s="14" t="str">
        <v>A</v>
      </c>
      <c r="M77" s="14" t="str">
        <v>A</v>
      </c>
      <c r="N77" s="14" t="str">
        <v>D</v>
      </c>
    </row>
    <row r="78" spans="9:14" x14ac:dyDescent="0.25">
      <c r="I78" s="14">
        <v>0</v>
      </c>
      <c r="J78" s="14">
        <v>992</v>
      </c>
      <c r="K78" s="14" t="str">
        <v>D</v>
      </c>
      <c r="L78" s="14" t="str">
        <v>A</v>
      </c>
      <c r="M78" s="14" t="str">
        <v>B</v>
      </c>
      <c r="N78" s="14" t="str">
        <v>E</v>
      </c>
    </row>
    <row r="79" spans="9:14" x14ac:dyDescent="0.25">
      <c r="I79" s="14">
        <v>0</v>
      </c>
      <c r="J79" s="14">
        <v>1006</v>
      </c>
      <c r="K79" s="14" t="str">
        <v>D</v>
      </c>
      <c r="L79" s="14" t="str">
        <v>A</v>
      </c>
      <c r="M79" s="14" t="str">
        <v>C</v>
      </c>
      <c r="N79" s="14" t="str">
        <v>F</v>
      </c>
    </row>
    <row r="80" spans="9:14" x14ac:dyDescent="0.25">
      <c r="I80" s="14">
        <v>0</v>
      </c>
      <c r="J80" s="14">
        <v>1020</v>
      </c>
      <c r="K80" s="14" t="str">
        <v>D</v>
      </c>
      <c r="L80" s="14" t="str">
        <v>A</v>
      </c>
      <c r="M80" s="14" t="str">
        <v>D</v>
      </c>
      <c r="N80" s="14" t="str">
        <v>G</v>
      </c>
    </row>
    <row r="81" spans="9:14" x14ac:dyDescent="0.25">
      <c r="I81" s="14">
        <v>0</v>
      </c>
      <c r="J81" s="14">
        <v>1034</v>
      </c>
      <c r="K81" s="14" t="str">
        <v>D</v>
      </c>
      <c r="L81" s="14" t="str">
        <v>A</v>
      </c>
      <c r="M81" s="14" t="str">
        <v>E</v>
      </c>
      <c r="N81" s="14" t="str">
        <v>H</v>
      </c>
    </row>
    <row r="82" spans="9:14" x14ac:dyDescent="0.25">
      <c r="I82" s="14">
        <v>0</v>
      </c>
      <c r="J82" s="14">
        <v>1044</v>
      </c>
      <c r="K82" s="14" t="str">
        <v>D</v>
      </c>
      <c r="L82" s="14" t="str">
        <v>B</v>
      </c>
      <c r="M82" s="14" t="str">
        <v>A</v>
      </c>
      <c r="N82" s="14" t="str">
        <v>E</v>
      </c>
    </row>
    <row r="83" spans="9:14" x14ac:dyDescent="0.25">
      <c r="I83" s="14">
        <v>0</v>
      </c>
      <c r="J83" s="14">
        <v>1058</v>
      </c>
      <c r="K83" s="14" t="str">
        <v>D</v>
      </c>
      <c r="L83" s="14" t="str">
        <v>B</v>
      </c>
      <c r="M83" s="14" t="str">
        <v>B</v>
      </c>
      <c r="N83" s="14" t="str">
        <v>F</v>
      </c>
    </row>
    <row r="84" spans="9:14" x14ac:dyDescent="0.25">
      <c r="I84" s="14">
        <v>0</v>
      </c>
      <c r="J84" s="14">
        <v>1072</v>
      </c>
      <c r="K84" s="14" t="str">
        <v>D</v>
      </c>
      <c r="L84" s="14" t="str">
        <v>B</v>
      </c>
      <c r="M84" s="14" t="str">
        <v>C</v>
      </c>
      <c r="N84" s="14" t="str">
        <v>G</v>
      </c>
    </row>
    <row r="85" spans="9:14" x14ac:dyDescent="0.25">
      <c r="I85" s="14">
        <v>0</v>
      </c>
      <c r="J85" s="14">
        <v>1086</v>
      </c>
      <c r="K85" s="14" t="str">
        <v>D</v>
      </c>
      <c r="L85" s="14" t="str">
        <v>B</v>
      </c>
      <c r="M85" s="14" t="str">
        <v>D</v>
      </c>
      <c r="N85" s="14" t="str">
        <v>H</v>
      </c>
    </row>
    <row r="86" spans="9:14" x14ac:dyDescent="0.25">
      <c r="I86" s="14">
        <v>0</v>
      </c>
      <c r="J86" s="14">
        <v>1100</v>
      </c>
      <c r="K86" s="14" t="str">
        <v>D</v>
      </c>
      <c r="L86" s="14" t="str">
        <v>B</v>
      </c>
      <c r="M86" s="14" t="str">
        <v>E</v>
      </c>
      <c r="N86" s="14" t="str">
        <v>I</v>
      </c>
    </row>
    <row r="87" spans="9:14" x14ac:dyDescent="0.25">
      <c r="I87" s="14">
        <v>0</v>
      </c>
      <c r="J87" s="14">
        <v>1110</v>
      </c>
      <c r="K87" s="14" t="str">
        <v>D</v>
      </c>
      <c r="L87" s="14" t="str">
        <v>C</v>
      </c>
      <c r="M87" s="14" t="str">
        <v>A</v>
      </c>
      <c r="N87" s="14" t="str">
        <v>F</v>
      </c>
    </row>
    <row r="88" spans="9:14" x14ac:dyDescent="0.25">
      <c r="I88" s="14">
        <v>0</v>
      </c>
      <c r="J88" s="14">
        <v>1124</v>
      </c>
      <c r="K88" s="14" t="str">
        <v>D</v>
      </c>
      <c r="L88" s="14" t="str">
        <v>C</v>
      </c>
      <c r="M88" s="14" t="str">
        <v>B</v>
      </c>
      <c r="N88" s="14" t="str">
        <v>G</v>
      </c>
    </row>
    <row r="89" spans="9:14" x14ac:dyDescent="0.25">
      <c r="I89" s="14">
        <v>0</v>
      </c>
      <c r="J89" s="14">
        <v>1138</v>
      </c>
      <c r="K89" s="14" t="str">
        <v>D</v>
      </c>
      <c r="L89" s="14" t="str">
        <v>C</v>
      </c>
      <c r="M89" s="14" t="str">
        <v>C</v>
      </c>
      <c r="N89" s="14" t="str">
        <v>H</v>
      </c>
    </row>
    <row r="90" spans="9:14" x14ac:dyDescent="0.25">
      <c r="I90" s="14">
        <v>0</v>
      </c>
      <c r="J90" s="14">
        <v>1152</v>
      </c>
      <c r="K90" s="14" t="str">
        <v>D</v>
      </c>
      <c r="L90" s="14" t="str">
        <v>C</v>
      </c>
      <c r="M90" s="14" t="str">
        <v>D</v>
      </c>
      <c r="N90" s="14" t="str">
        <v>I</v>
      </c>
    </row>
    <row r="91" spans="9:14" x14ac:dyDescent="0.25">
      <c r="I91" s="14">
        <v>0</v>
      </c>
      <c r="J91" s="14">
        <v>1166</v>
      </c>
      <c r="K91" s="14" t="str">
        <v>D</v>
      </c>
      <c r="L91" s="14" t="str">
        <v>C</v>
      </c>
      <c r="M91" s="14" t="str">
        <v>E</v>
      </c>
      <c r="N91" s="14" t="str">
        <v>J</v>
      </c>
    </row>
    <row r="92" spans="9:14" x14ac:dyDescent="0.25">
      <c r="I92" s="14">
        <v>0</v>
      </c>
      <c r="J92" s="14">
        <v>1176</v>
      </c>
      <c r="K92" s="14" t="str">
        <v>D</v>
      </c>
      <c r="L92" s="14" t="str">
        <v>D</v>
      </c>
      <c r="M92" s="14" t="str">
        <v>A</v>
      </c>
      <c r="N92" s="14" t="str">
        <v>G</v>
      </c>
    </row>
    <row r="93" spans="9:14" x14ac:dyDescent="0.25">
      <c r="I93" s="14">
        <v>0</v>
      </c>
      <c r="J93" s="14">
        <v>1190</v>
      </c>
      <c r="K93" s="14" t="str">
        <v>D</v>
      </c>
      <c r="L93" s="14" t="str">
        <v>D</v>
      </c>
      <c r="M93" s="14" t="str">
        <v>B</v>
      </c>
      <c r="N93" s="14" t="str">
        <v>H</v>
      </c>
    </row>
    <row r="94" spans="9:14" x14ac:dyDescent="0.25">
      <c r="I94" s="14">
        <v>0</v>
      </c>
      <c r="J94" s="14">
        <v>1204</v>
      </c>
      <c r="K94" s="14" t="str">
        <v>D</v>
      </c>
      <c r="L94" s="14" t="str">
        <v>D</v>
      </c>
      <c r="M94" s="14" t="str">
        <v>C</v>
      </c>
      <c r="N94" s="14" t="str">
        <v>I</v>
      </c>
    </row>
    <row r="95" spans="9:14" x14ac:dyDescent="0.25">
      <c r="I95" s="14">
        <v>34</v>
      </c>
      <c r="J95" s="14">
        <v>1218</v>
      </c>
      <c r="K95" s="14" t="str">
        <v>D</v>
      </c>
      <c r="L95" s="14" t="str">
        <v>D</v>
      </c>
      <c r="M95" s="14" t="str">
        <v>D</v>
      </c>
      <c r="N95" s="14" t="str">
        <v>J</v>
      </c>
    </row>
    <row r="96" spans="9:14" x14ac:dyDescent="0.25">
      <c r="I96" s="14">
        <v>0</v>
      </c>
      <c r="J96" s="14">
        <v>1232</v>
      </c>
      <c r="K96" s="14" t="str">
        <v>D</v>
      </c>
      <c r="L96" s="14" t="str">
        <v>D</v>
      </c>
      <c r="M96" s="14" t="str">
        <v>E</v>
      </c>
      <c r="N96" s="14" t="str">
        <v>K</v>
      </c>
    </row>
    <row r="97" spans="9:14" x14ac:dyDescent="0.25">
      <c r="I97" s="14">
        <v>0</v>
      </c>
      <c r="J97" s="14">
        <v>1242</v>
      </c>
      <c r="K97" s="14" t="str">
        <v>D</v>
      </c>
      <c r="L97" s="14" t="str">
        <v>E</v>
      </c>
      <c r="M97" s="14" t="str">
        <v>A</v>
      </c>
      <c r="N97" s="14" t="str">
        <v>H</v>
      </c>
    </row>
    <row r="98" spans="9:14" x14ac:dyDescent="0.25">
      <c r="I98" s="14">
        <v>0</v>
      </c>
      <c r="J98" s="14">
        <v>1256</v>
      </c>
      <c r="K98" s="14" t="str">
        <v>D</v>
      </c>
      <c r="L98" s="14" t="str">
        <v>E</v>
      </c>
      <c r="M98" s="14" t="str">
        <v>B</v>
      </c>
      <c r="N98" s="14" t="str">
        <v>I</v>
      </c>
    </row>
    <row r="99" spans="9:14" x14ac:dyDescent="0.25">
      <c r="I99" s="14">
        <v>0</v>
      </c>
      <c r="J99" s="14">
        <v>1270</v>
      </c>
      <c r="K99" s="14" t="str">
        <v>D</v>
      </c>
      <c r="L99" s="14" t="str">
        <v>E</v>
      </c>
      <c r="M99" s="14" t="str">
        <v>C</v>
      </c>
      <c r="N99" s="14" t="str">
        <v>J</v>
      </c>
    </row>
    <row r="100" spans="9:14" x14ac:dyDescent="0.25">
      <c r="I100" s="14">
        <v>0</v>
      </c>
      <c r="J100" s="14">
        <v>1284</v>
      </c>
      <c r="K100" s="14" t="str">
        <v>D</v>
      </c>
      <c r="L100" s="14" t="str">
        <v>E</v>
      </c>
      <c r="M100" s="14" t="str">
        <v>D</v>
      </c>
      <c r="N100" s="14" t="str">
        <v>K</v>
      </c>
    </row>
    <row r="101" spans="9:14" x14ac:dyDescent="0.25">
      <c r="I101" s="14">
        <v>0</v>
      </c>
      <c r="J101" s="14">
        <v>1298</v>
      </c>
      <c r="K101" s="14" t="str">
        <v>D</v>
      </c>
      <c r="L101" s="14" t="str">
        <v>E</v>
      </c>
      <c r="M101" s="14" t="str">
        <v>E</v>
      </c>
      <c r="N101" s="14" t="str">
        <v>L</v>
      </c>
    </row>
    <row r="102" spans="9:14" x14ac:dyDescent="0.25">
      <c r="I102" s="14">
        <v>0</v>
      </c>
      <c r="J102" s="14">
        <v>1304</v>
      </c>
      <c r="K102" s="14" t="str">
        <v>E</v>
      </c>
      <c r="L102" s="14" t="str">
        <v>A</v>
      </c>
      <c r="M102" s="14" t="str">
        <v>A</v>
      </c>
      <c r="N102" s="14" t="str">
        <v>E</v>
      </c>
    </row>
    <row r="103" spans="9:14" x14ac:dyDescent="0.25">
      <c r="I103" s="14">
        <v>0</v>
      </c>
      <c r="J103" s="14">
        <v>1318</v>
      </c>
      <c r="K103" s="14" t="str">
        <v>E</v>
      </c>
      <c r="L103" s="14" t="str">
        <v>A</v>
      </c>
      <c r="M103" s="14" t="str">
        <v>B</v>
      </c>
      <c r="N103" s="14" t="str">
        <v>F</v>
      </c>
    </row>
    <row r="104" spans="9:14" x14ac:dyDescent="0.25">
      <c r="I104" s="14">
        <v>0</v>
      </c>
      <c r="J104" s="14">
        <v>1332</v>
      </c>
      <c r="K104" s="14" t="str">
        <v>E</v>
      </c>
      <c r="L104" s="14" t="str">
        <v>A</v>
      </c>
      <c r="M104" s="14" t="str">
        <v>C</v>
      </c>
      <c r="N104" s="14" t="str">
        <v>G</v>
      </c>
    </row>
    <row r="105" spans="9:14" x14ac:dyDescent="0.25">
      <c r="I105" s="14">
        <v>0</v>
      </c>
      <c r="J105" s="14">
        <v>1346</v>
      </c>
      <c r="K105" s="14" t="str">
        <v>E</v>
      </c>
      <c r="L105" s="14" t="str">
        <v>A</v>
      </c>
      <c r="M105" s="14" t="str">
        <v>D</v>
      </c>
      <c r="N105" s="14" t="str">
        <v>H</v>
      </c>
    </row>
    <row r="106" spans="9:14" x14ac:dyDescent="0.25">
      <c r="I106" s="14">
        <v>0</v>
      </c>
      <c r="J106" s="14">
        <v>1360</v>
      </c>
      <c r="K106" s="14" t="str">
        <v>E</v>
      </c>
      <c r="L106" s="14" t="str">
        <v>A</v>
      </c>
      <c r="M106" s="14" t="str">
        <v>E</v>
      </c>
      <c r="N106" s="14" t="str">
        <v>I</v>
      </c>
    </row>
    <row r="107" spans="9:14" x14ac:dyDescent="0.25">
      <c r="I107" s="14">
        <v>0</v>
      </c>
      <c r="J107" s="14">
        <v>1370</v>
      </c>
      <c r="K107" s="14" t="str">
        <v>E</v>
      </c>
      <c r="L107" s="14" t="str">
        <v>B</v>
      </c>
      <c r="M107" s="14" t="str">
        <v>A</v>
      </c>
      <c r="N107" s="14" t="str">
        <v>F</v>
      </c>
    </row>
    <row r="108" spans="9:14" x14ac:dyDescent="0.25">
      <c r="I108" s="14">
        <v>0</v>
      </c>
      <c r="J108" s="14">
        <v>1384</v>
      </c>
      <c r="K108" s="14" t="str">
        <v>E</v>
      </c>
      <c r="L108" s="14" t="str">
        <v>B</v>
      </c>
      <c r="M108" s="14" t="str">
        <v>B</v>
      </c>
      <c r="N108" s="14" t="str">
        <v>G</v>
      </c>
    </row>
    <row r="109" spans="9:14" x14ac:dyDescent="0.25">
      <c r="I109" s="14">
        <v>0</v>
      </c>
      <c r="J109" s="14">
        <v>1398</v>
      </c>
      <c r="K109" s="14" t="str">
        <v>E</v>
      </c>
      <c r="L109" s="14" t="str">
        <v>B</v>
      </c>
      <c r="M109" s="14" t="str">
        <v>C</v>
      </c>
      <c r="N109" s="14" t="str">
        <v>H</v>
      </c>
    </row>
    <row r="110" spans="9:14" x14ac:dyDescent="0.25">
      <c r="I110" s="14">
        <v>0</v>
      </c>
      <c r="J110" s="14">
        <v>1412</v>
      </c>
      <c r="K110" s="14" t="str">
        <v>E</v>
      </c>
      <c r="L110" s="14" t="str">
        <v>B</v>
      </c>
      <c r="M110" s="14" t="str">
        <v>D</v>
      </c>
      <c r="N110" s="14" t="str">
        <v>I</v>
      </c>
    </row>
    <row r="111" spans="9:14" x14ac:dyDescent="0.25">
      <c r="I111" s="14">
        <v>0</v>
      </c>
      <c r="J111" s="14">
        <v>1426</v>
      </c>
      <c r="K111" s="14" t="str">
        <v>E</v>
      </c>
      <c r="L111" s="14" t="str">
        <v>B</v>
      </c>
      <c r="M111" s="14" t="str">
        <v>E</v>
      </c>
      <c r="N111" s="14" t="str">
        <v>J</v>
      </c>
    </row>
    <row r="112" spans="9:14" x14ac:dyDescent="0.25">
      <c r="I112" s="14">
        <v>0</v>
      </c>
      <c r="J112" s="14">
        <v>1436</v>
      </c>
      <c r="K112" s="14" t="str">
        <v>E</v>
      </c>
      <c r="L112" s="14" t="str">
        <v>C</v>
      </c>
      <c r="M112" s="14" t="str">
        <v>A</v>
      </c>
      <c r="N112" s="14" t="str">
        <v>G</v>
      </c>
    </row>
    <row r="113" spans="9:14" x14ac:dyDescent="0.25">
      <c r="I113" s="14">
        <v>0</v>
      </c>
      <c r="J113" s="14">
        <v>1450</v>
      </c>
      <c r="K113" s="14" t="str">
        <v>E</v>
      </c>
      <c r="L113" s="14" t="str">
        <v>C</v>
      </c>
      <c r="M113" s="14" t="str">
        <v>B</v>
      </c>
      <c r="N113" s="14" t="str">
        <v>H</v>
      </c>
    </row>
    <row r="114" spans="9:14" x14ac:dyDescent="0.25">
      <c r="I114" s="14">
        <v>0</v>
      </c>
      <c r="J114" s="14">
        <v>1464</v>
      </c>
      <c r="K114" s="14" t="str">
        <v>E</v>
      </c>
      <c r="L114" s="14" t="str">
        <v>C</v>
      </c>
      <c r="M114" s="14" t="str">
        <v>C</v>
      </c>
      <c r="N114" s="14" t="str">
        <v>I</v>
      </c>
    </row>
    <row r="115" spans="9:14" x14ac:dyDescent="0.25">
      <c r="I115" s="14">
        <v>9</v>
      </c>
      <c r="J115" s="14">
        <v>1478</v>
      </c>
      <c r="K115" s="14" t="str">
        <v>E</v>
      </c>
      <c r="L115" s="14" t="str">
        <v>C</v>
      </c>
      <c r="M115" s="14" t="str">
        <v>D</v>
      </c>
      <c r="N115" s="14" t="str">
        <v>J</v>
      </c>
    </row>
    <row r="116" spans="9:14" x14ac:dyDescent="0.25">
      <c r="I116" s="14">
        <v>0</v>
      </c>
      <c r="J116" s="14">
        <v>1492</v>
      </c>
      <c r="K116" s="14" t="str">
        <v>E</v>
      </c>
      <c r="L116" s="14" t="str">
        <v>C</v>
      </c>
      <c r="M116" s="14" t="str">
        <v>E</v>
      </c>
      <c r="N116" s="14" t="str">
        <v>K</v>
      </c>
    </row>
    <row r="117" spans="9:14" x14ac:dyDescent="0.25">
      <c r="I117" s="14">
        <v>0</v>
      </c>
      <c r="J117" s="14">
        <v>1502</v>
      </c>
      <c r="K117" s="14" t="str">
        <v>E</v>
      </c>
      <c r="L117" s="14" t="str">
        <v>D</v>
      </c>
      <c r="M117" s="14" t="str">
        <v>A</v>
      </c>
      <c r="N117" s="14" t="str">
        <v>H</v>
      </c>
    </row>
    <row r="118" spans="9:14" x14ac:dyDescent="0.25">
      <c r="I118" s="14">
        <v>0</v>
      </c>
      <c r="J118" s="14">
        <v>1516</v>
      </c>
      <c r="K118" s="14" t="str">
        <v>E</v>
      </c>
      <c r="L118" s="14" t="str">
        <v>D</v>
      </c>
      <c r="M118" s="14" t="str">
        <v>B</v>
      </c>
      <c r="N118" s="14" t="str">
        <v>I</v>
      </c>
    </row>
    <row r="119" spans="9:14" x14ac:dyDescent="0.25">
      <c r="I119" s="14">
        <v>21</v>
      </c>
      <c r="J119" s="14">
        <v>1530</v>
      </c>
      <c r="K119" s="14" t="str">
        <v>E</v>
      </c>
      <c r="L119" s="14" t="str">
        <v>D</v>
      </c>
      <c r="M119" s="14" t="str">
        <v>C</v>
      </c>
      <c r="N119" s="14" t="str">
        <v>J</v>
      </c>
    </row>
    <row r="120" spans="9:14" x14ac:dyDescent="0.25">
      <c r="I120" s="14">
        <v>10</v>
      </c>
      <c r="J120" s="14">
        <v>1544</v>
      </c>
      <c r="K120" s="14" t="str">
        <v>E</v>
      </c>
      <c r="L120" s="14" t="str">
        <v>D</v>
      </c>
      <c r="M120" s="14" t="str">
        <v>D</v>
      </c>
      <c r="N120" s="14" t="str">
        <v>K</v>
      </c>
    </row>
    <row r="121" spans="9:14" x14ac:dyDescent="0.25">
      <c r="I121" s="14">
        <v>0</v>
      </c>
      <c r="J121" s="14">
        <v>1558</v>
      </c>
      <c r="K121" s="14" t="str">
        <v>E</v>
      </c>
      <c r="L121" s="14" t="str">
        <v>D</v>
      </c>
      <c r="M121" s="14" t="str">
        <v>E</v>
      </c>
      <c r="N121" s="14" t="str">
        <v>L</v>
      </c>
    </row>
    <row r="122" spans="9:14" x14ac:dyDescent="0.25">
      <c r="I122" s="14">
        <v>0</v>
      </c>
      <c r="J122" s="14">
        <v>1568</v>
      </c>
      <c r="K122" s="14" t="str">
        <v>E</v>
      </c>
      <c r="L122" s="14" t="str">
        <v>E</v>
      </c>
      <c r="M122" s="14" t="str">
        <v>A</v>
      </c>
      <c r="N122" s="14" t="str">
        <v>I</v>
      </c>
    </row>
    <row r="123" spans="9:14" x14ac:dyDescent="0.25">
      <c r="I123" s="14">
        <v>0</v>
      </c>
      <c r="J123" s="14">
        <v>1582</v>
      </c>
      <c r="K123" s="14" t="str">
        <v>E</v>
      </c>
      <c r="L123" s="14" t="str">
        <v>E</v>
      </c>
      <c r="M123" s="14" t="str">
        <v>B</v>
      </c>
      <c r="N123" s="14" t="str">
        <v>J</v>
      </c>
    </row>
    <row r="124" spans="9:14" x14ac:dyDescent="0.25">
      <c r="I124" s="14">
        <v>0</v>
      </c>
      <c r="J124" s="14">
        <v>1596</v>
      </c>
      <c r="K124" s="14" t="str">
        <v>E</v>
      </c>
      <c r="L124" s="14" t="str">
        <v>E</v>
      </c>
      <c r="M124" s="14" t="str">
        <v>C</v>
      </c>
      <c r="N124" s="14" t="str">
        <v>K</v>
      </c>
    </row>
    <row r="125" spans="9:14" x14ac:dyDescent="0.25">
      <c r="I125" s="14">
        <v>0</v>
      </c>
      <c r="J125" s="14">
        <v>1610</v>
      </c>
      <c r="K125" s="14" t="str">
        <v>E</v>
      </c>
      <c r="L125" s="14" t="str">
        <v>E</v>
      </c>
      <c r="M125" s="14" t="str">
        <v>D</v>
      </c>
      <c r="N125" s="14" t="str">
        <v>L</v>
      </c>
    </row>
    <row r="126" spans="9:14" x14ac:dyDescent="0.25">
      <c r="I126" s="14">
        <v>0</v>
      </c>
      <c r="J126" s="14">
        <v>1624</v>
      </c>
      <c r="K126" s="14" t="str">
        <v>E</v>
      </c>
      <c r="L126" s="14" t="str">
        <v>E</v>
      </c>
      <c r="M126" s="14" t="str">
        <v>E</v>
      </c>
      <c r="N126" s="14" t="str">
        <v>M</v>
      </c>
    </row>
  </sheetData>
  <autoFilter ref="J1:N626" xr:uid="{2A857DF3-92DB-40A9-BB89-D266C93CB73F}"/>
  <mergeCells count="1">
    <mergeCell ref="A1:E1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53F29-C10C-47B2-BCE5-B50200E7246C}">
  <sheetPr codeName="Planilha11"/>
  <dimension ref="A1:N126"/>
  <sheetViews>
    <sheetView workbookViewId="0">
      <selection sqref="A1:E1"/>
    </sheetView>
  </sheetViews>
  <sheetFormatPr defaultRowHeight="15" x14ac:dyDescent="0.25"/>
  <cols>
    <col min="1" max="5" width="9.140625" style="14"/>
    <col min="6" max="6" width="12.140625" style="14" bestFit="1" customWidth="1"/>
    <col min="7" max="7" width="20" style="14" bestFit="1" customWidth="1"/>
    <col min="8" max="8" width="9.140625" style="14"/>
    <col min="9" max="9" width="20.140625" style="14" bestFit="1" customWidth="1"/>
    <col min="10" max="14" width="9.140625" style="14"/>
    <col min="15" max="18" width="9.140625" style="14" customWidth="1"/>
    <col min="19" max="16384" width="9.140625" style="14"/>
  </cols>
  <sheetData>
    <row r="1" spans="1:14" x14ac:dyDescent="0.25">
      <c r="A1" s="65" t="s">
        <v>31</v>
      </c>
      <c r="B1" s="65"/>
      <c r="C1" s="65"/>
      <c r="D1" s="65"/>
      <c r="E1" s="65"/>
      <c r="G1" s="14" t="s">
        <v>39</v>
      </c>
      <c r="I1" s="14" t="s">
        <v>37</v>
      </c>
      <c r="J1" s="14" t="s">
        <v>35</v>
      </c>
      <c r="K1" s="14" t="s">
        <v>19</v>
      </c>
      <c r="L1" s="14" t="s">
        <v>32</v>
      </c>
      <c r="M1" s="14" t="s">
        <v>33</v>
      </c>
      <c r="N1" s="14" t="s">
        <v>34</v>
      </c>
    </row>
    <row r="2" spans="1:14" x14ac:dyDescent="0.25">
      <c r="A2" s="14" t="s">
        <v>22</v>
      </c>
      <c r="B2" s="14" t="s">
        <v>19</v>
      </c>
      <c r="C2" s="14" t="s">
        <v>32</v>
      </c>
      <c r="D2" s="14" t="s">
        <v>33</v>
      </c>
      <c r="G2" s="14">
        <f>SUM(I:I)</f>
        <v>184</v>
      </c>
      <c r="I2" s="14">
        <v>0</v>
      </c>
      <c r="J2" s="14" cm="1">
        <f t="array" ref="J2:J126">_xlfn._xlws.FILTER(Tabela2[Comb],Tabela2[Status]="OK","ERRO")</f>
        <v>0</v>
      </c>
      <c r="K2" s="14" t="str" cm="1">
        <f t="array" ref="K2:K126">_xlfn._xlws.FILTER(Tabela2[OP],Tabela2[Status]="OK","ERRO")</f>
        <v>A</v>
      </c>
      <c r="L2" s="14" t="str" cm="1">
        <f t="array" ref="L2:L126">_xlfn._xlws.FILTER(Tabela2[BICO],Tabela2[Status]="OK","ERRO")</f>
        <v>A</v>
      </c>
      <c r="M2" s="14" t="str" cm="1">
        <f t="array" ref="M2:M126">_xlfn._xlws.FILTER(Tabela2[SPACER],Tabela2[Status]="OK","ERRO")</f>
        <v>A</v>
      </c>
      <c r="N2" s="14" t="str" cm="1">
        <f t="array" ref="N2:N126">_xlfn._xlws.FILTER(Tabela2[AGULHA],Tabela2[Status]="OK","ERRO")</f>
        <v>A</v>
      </c>
    </row>
    <row r="3" spans="1:14" x14ac:dyDescent="0.25">
      <c r="A3" s="14" t="s">
        <v>8</v>
      </c>
      <c r="B3" s="6">
        <f>Simluação!R31</f>
        <v>41</v>
      </c>
      <c r="C3" s="14">
        <f>'Lote 7'!C3-'Lote 7'!C10</f>
        <v>0</v>
      </c>
      <c r="D3" s="14">
        <f>'Lote 7'!D3-'Lote 7'!D10</f>
        <v>0</v>
      </c>
      <c r="G3" s="14">
        <f>G2-SUM(B3:B7)</f>
        <v>0</v>
      </c>
      <c r="I3" s="14">
        <v>0</v>
      </c>
      <c r="J3" s="14">
        <v>14</v>
      </c>
      <c r="K3" s="14" t="str">
        <v>A</v>
      </c>
      <c r="L3" s="14" t="str">
        <v>A</v>
      </c>
      <c r="M3" s="14" t="str">
        <v>B</v>
      </c>
      <c r="N3" s="14" t="str">
        <v>B</v>
      </c>
    </row>
    <row r="4" spans="1:14" x14ac:dyDescent="0.25">
      <c r="A4" s="14" t="s">
        <v>9</v>
      </c>
      <c r="B4" s="6">
        <f>Simluação!R32</f>
        <v>33</v>
      </c>
      <c r="C4" s="14">
        <f>'Lote 7'!C4-'Lote 7'!C11</f>
        <v>0</v>
      </c>
      <c r="D4" s="14">
        <f>'Lote 7'!D4-'Lote 7'!D11</f>
        <v>0</v>
      </c>
      <c r="I4" s="14">
        <v>0</v>
      </c>
      <c r="J4" s="14">
        <v>28</v>
      </c>
      <c r="K4" s="14" t="str">
        <v>A</v>
      </c>
      <c r="L4" s="14" t="str">
        <v>A</v>
      </c>
      <c r="M4" s="14" t="str">
        <v>C</v>
      </c>
      <c r="N4" s="14" t="str">
        <v>C</v>
      </c>
    </row>
    <row r="5" spans="1:14" x14ac:dyDescent="0.25">
      <c r="A5" s="14" t="s">
        <v>10</v>
      </c>
      <c r="B5" s="6">
        <f>Simluação!R33</f>
        <v>32</v>
      </c>
      <c r="C5" s="14">
        <f>'Lote 7'!C5-'Lote 7'!C12</f>
        <v>0</v>
      </c>
      <c r="D5" s="14">
        <f>'Lote 7'!D5-'Lote 7'!D12</f>
        <v>0</v>
      </c>
      <c r="I5" s="14">
        <v>0</v>
      </c>
      <c r="J5" s="14">
        <v>42</v>
      </c>
      <c r="K5" s="14" t="str">
        <v>A</v>
      </c>
      <c r="L5" s="14" t="str">
        <v>A</v>
      </c>
      <c r="M5" s="14" t="str">
        <v>D</v>
      </c>
      <c r="N5" s="14" t="str">
        <v>D</v>
      </c>
    </row>
    <row r="6" spans="1:14" x14ac:dyDescent="0.25">
      <c r="A6" s="14" t="s">
        <v>11</v>
      </c>
      <c r="B6" s="6">
        <f>Simluação!R34</f>
        <v>37</v>
      </c>
      <c r="C6" s="14">
        <f>'Lote 7'!C6-'Lote 7'!C13</f>
        <v>248</v>
      </c>
      <c r="D6" s="14">
        <f>'Lote 7'!D6-'Lote 7'!D13</f>
        <v>230</v>
      </c>
      <c r="I6" s="14">
        <v>0</v>
      </c>
      <c r="J6" s="14">
        <v>56</v>
      </c>
      <c r="K6" s="14" t="str">
        <v>A</v>
      </c>
      <c r="L6" s="14" t="str">
        <v>A</v>
      </c>
      <c r="M6" s="14" t="str">
        <v>E</v>
      </c>
      <c r="N6" s="14" t="str">
        <v>E</v>
      </c>
    </row>
    <row r="7" spans="1:14" x14ac:dyDescent="0.25">
      <c r="A7" s="14" t="s">
        <v>13</v>
      </c>
      <c r="B7" s="6">
        <f>Simluação!R35</f>
        <v>41</v>
      </c>
      <c r="C7" s="14">
        <f>'Lote 7'!C7-'Lote 7'!C14</f>
        <v>404</v>
      </c>
      <c r="D7" s="14">
        <f>'Lote 7'!D7-'Lote 7'!D14</f>
        <v>422</v>
      </c>
      <c r="I7" s="14">
        <v>0</v>
      </c>
      <c r="J7" s="14">
        <v>66</v>
      </c>
      <c r="K7" s="14" t="str">
        <v>A</v>
      </c>
      <c r="L7" s="14" t="str">
        <v>B</v>
      </c>
      <c r="M7" s="14" t="str">
        <v>A</v>
      </c>
      <c r="N7" s="14" t="str">
        <v>B</v>
      </c>
    </row>
    <row r="8" spans="1:14" x14ac:dyDescent="0.25">
      <c r="I8" s="14">
        <v>0</v>
      </c>
      <c r="J8" s="14">
        <v>80</v>
      </c>
      <c r="K8" s="14" t="str">
        <v>A</v>
      </c>
      <c r="L8" s="14" t="str">
        <v>B</v>
      </c>
      <c r="M8" s="14" t="str">
        <v>B</v>
      </c>
      <c r="N8" s="14" t="str">
        <v>C</v>
      </c>
    </row>
    <row r="9" spans="1:14" x14ac:dyDescent="0.25">
      <c r="A9" s="14" t="s">
        <v>38</v>
      </c>
      <c r="I9" s="14">
        <v>0</v>
      </c>
      <c r="J9" s="14">
        <v>94</v>
      </c>
      <c r="K9" s="14" t="str">
        <v>A</v>
      </c>
      <c r="L9" s="14" t="str">
        <v>B</v>
      </c>
      <c r="M9" s="14" t="str">
        <v>C</v>
      </c>
      <c r="N9" s="14" t="str">
        <v>D</v>
      </c>
    </row>
    <row r="10" spans="1:14" x14ac:dyDescent="0.25">
      <c r="A10" s="14" t="s">
        <v>8</v>
      </c>
      <c r="B10" s="14">
        <f t="shared" ref="B10:B22" si="0">SUMIF($K:$K,A10,$I:$I)</f>
        <v>41</v>
      </c>
      <c r="C10" s="14">
        <f t="shared" ref="C10:C22" si="1">SUMIF($L:$L,A10,$I:$I)</f>
        <v>0</v>
      </c>
      <c r="D10" s="14">
        <f t="shared" ref="D10:D22" si="2">SUMIF($M:$M,A10,$I:$I)</f>
        <v>0</v>
      </c>
      <c r="E10" s="14">
        <f t="shared" ref="E10:E22" si="3">SUMIF($N:$N,A10,$I:$I)</f>
        <v>0</v>
      </c>
      <c r="F10" s="14">
        <v>-6</v>
      </c>
      <c r="I10" s="14">
        <v>0</v>
      </c>
      <c r="J10" s="14">
        <v>108</v>
      </c>
      <c r="K10" s="14" t="str">
        <v>A</v>
      </c>
      <c r="L10" s="14" t="str">
        <v>B</v>
      </c>
      <c r="M10" s="14" t="str">
        <v>D</v>
      </c>
      <c r="N10" s="14" t="str">
        <v>E</v>
      </c>
    </row>
    <row r="11" spans="1:14" x14ac:dyDescent="0.25">
      <c r="A11" s="14" t="s">
        <v>9</v>
      </c>
      <c r="B11" s="14">
        <f t="shared" si="0"/>
        <v>33</v>
      </c>
      <c r="C11" s="14">
        <f t="shared" si="1"/>
        <v>0</v>
      </c>
      <c r="D11" s="14">
        <f t="shared" si="2"/>
        <v>0</v>
      </c>
      <c r="E11" s="14">
        <f t="shared" si="3"/>
        <v>0</v>
      </c>
      <c r="F11" s="14">
        <v>-5</v>
      </c>
      <c r="I11" s="14">
        <v>0</v>
      </c>
      <c r="J11" s="14">
        <v>122</v>
      </c>
      <c r="K11" s="14" t="str">
        <v>A</v>
      </c>
      <c r="L11" s="14" t="str">
        <v>B</v>
      </c>
      <c r="M11" s="14" t="str">
        <v>E</v>
      </c>
      <c r="N11" s="14" t="str">
        <v>F</v>
      </c>
    </row>
    <row r="12" spans="1:14" x14ac:dyDescent="0.25">
      <c r="A12" s="14" t="s">
        <v>10</v>
      </c>
      <c r="B12" s="14">
        <f t="shared" si="0"/>
        <v>32</v>
      </c>
      <c r="C12" s="14">
        <f t="shared" si="1"/>
        <v>0</v>
      </c>
      <c r="D12" s="14">
        <f t="shared" si="2"/>
        <v>0</v>
      </c>
      <c r="E12" s="14">
        <f t="shared" si="3"/>
        <v>0</v>
      </c>
      <c r="F12" s="14">
        <v>-4</v>
      </c>
      <c r="I12" s="14">
        <v>0</v>
      </c>
      <c r="J12" s="14">
        <v>132</v>
      </c>
      <c r="K12" s="14" t="str">
        <v>A</v>
      </c>
      <c r="L12" s="14" t="str">
        <v>C</v>
      </c>
      <c r="M12" s="14" t="str">
        <v>A</v>
      </c>
      <c r="N12" s="14" t="str">
        <v>C</v>
      </c>
    </row>
    <row r="13" spans="1:14" x14ac:dyDescent="0.25">
      <c r="A13" s="14" t="s">
        <v>11</v>
      </c>
      <c r="B13" s="14">
        <f t="shared" si="0"/>
        <v>37</v>
      </c>
      <c r="C13" s="14">
        <f t="shared" si="1"/>
        <v>184</v>
      </c>
      <c r="D13" s="14">
        <f t="shared" si="2"/>
        <v>184</v>
      </c>
      <c r="E13" s="14">
        <f t="shared" si="3"/>
        <v>0</v>
      </c>
      <c r="F13" s="14">
        <v>-3</v>
      </c>
      <c r="I13" s="14">
        <v>0</v>
      </c>
      <c r="J13" s="14">
        <v>146</v>
      </c>
      <c r="K13" s="14" t="str">
        <v>A</v>
      </c>
      <c r="L13" s="14" t="str">
        <v>C</v>
      </c>
      <c r="M13" s="14" t="str">
        <v>B</v>
      </c>
      <c r="N13" s="14" t="str">
        <v>D</v>
      </c>
    </row>
    <row r="14" spans="1:14" x14ac:dyDescent="0.25">
      <c r="A14" s="14" t="s">
        <v>13</v>
      </c>
      <c r="B14" s="14">
        <f t="shared" si="0"/>
        <v>41</v>
      </c>
      <c r="C14" s="14">
        <f t="shared" si="1"/>
        <v>0</v>
      </c>
      <c r="D14" s="14">
        <f t="shared" si="2"/>
        <v>0</v>
      </c>
      <c r="E14" s="14">
        <f t="shared" si="3"/>
        <v>0</v>
      </c>
      <c r="F14" s="14">
        <v>-2</v>
      </c>
      <c r="I14" s="14">
        <v>0</v>
      </c>
      <c r="J14" s="14">
        <v>160</v>
      </c>
      <c r="K14" s="14" t="str">
        <v>A</v>
      </c>
      <c r="L14" s="14" t="str">
        <v>C</v>
      </c>
      <c r="M14" s="14" t="str">
        <v>C</v>
      </c>
      <c r="N14" s="14" t="str">
        <v>E</v>
      </c>
    </row>
    <row r="15" spans="1:14" x14ac:dyDescent="0.25">
      <c r="A15" s="14" t="s">
        <v>12</v>
      </c>
      <c r="B15" s="14">
        <f t="shared" si="0"/>
        <v>0</v>
      </c>
      <c r="C15" s="14">
        <f t="shared" si="1"/>
        <v>0</v>
      </c>
      <c r="D15" s="14">
        <f t="shared" si="2"/>
        <v>0</v>
      </c>
      <c r="E15" s="14">
        <f t="shared" si="3"/>
        <v>0</v>
      </c>
      <c r="F15" s="14">
        <v>-1</v>
      </c>
      <c r="I15" s="14">
        <v>0</v>
      </c>
      <c r="J15" s="14">
        <v>174</v>
      </c>
      <c r="K15" s="14" t="str">
        <v>A</v>
      </c>
      <c r="L15" s="14" t="str">
        <v>C</v>
      </c>
      <c r="M15" s="14" t="str">
        <v>D</v>
      </c>
      <c r="N15" s="14" t="str">
        <v>F</v>
      </c>
    </row>
    <row r="16" spans="1:14" x14ac:dyDescent="0.25">
      <c r="A16" s="14" t="s">
        <v>14</v>
      </c>
      <c r="B16" s="14">
        <f t="shared" si="0"/>
        <v>0</v>
      </c>
      <c r="C16" s="14">
        <f t="shared" si="1"/>
        <v>0</v>
      </c>
      <c r="D16" s="14">
        <f t="shared" si="2"/>
        <v>0</v>
      </c>
      <c r="E16" s="14">
        <f t="shared" si="3"/>
        <v>41</v>
      </c>
      <c r="F16" s="14">
        <v>0</v>
      </c>
      <c r="I16" s="14">
        <v>0</v>
      </c>
      <c r="J16" s="14">
        <v>188</v>
      </c>
      <c r="K16" s="14" t="str">
        <v>A</v>
      </c>
      <c r="L16" s="14" t="str">
        <v>C</v>
      </c>
      <c r="M16" s="14" t="str">
        <v>E</v>
      </c>
      <c r="N16" s="14" t="str">
        <v>G</v>
      </c>
    </row>
    <row r="17" spans="1:14" x14ac:dyDescent="0.25">
      <c r="A17" s="14" t="s">
        <v>44</v>
      </c>
      <c r="B17" s="14">
        <f t="shared" si="0"/>
        <v>0</v>
      </c>
      <c r="C17" s="14">
        <f t="shared" si="1"/>
        <v>0</v>
      </c>
      <c r="D17" s="14">
        <f t="shared" si="2"/>
        <v>0</v>
      </c>
      <c r="E17" s="14">
        <f t="shared" si="3"/>
        <v>33</v>
      </c>
      <c r="F17" s="14">
        <v>1</v>
      </c>
      <c r="I17" s="14">
        <v>0</v>
      </c>
      <c r="J17" s="14">
        <v>198</v>
      </c>
      <c r="K17" s="14" t="str">
        <v>A</v>
      </c>
      <c r="L17" s="14" t="str">
        <v>D</v>
      </c>
      <c r="M17" s="14" t="str">
        <v>A</v>
      </c>
      <c r="N17" s="14" t="str">
        <v>D</v>
      </c>
    </row>
    <row r="18" spans="1:14" x14ac:dyDescent="0.25">
      <c r="A18" s="14" t="s">
        <v>45</v>
      </c>
      <c r="B18" s="14">
        <f t="shared" si="0"/>
        <v>0</v>
      </c>
      <c r="C18" s="14">
        <f t="shared" si="1"/>
        <v>0</v>
      </c>
      <c r="D18" s="14">
        <f t="shared" si="2"/>
        <v>0</v>
      </c>
      <c r="E18" s="14">
        <f t="shared" si="3"/>
        <v>32</v>
      </c>
      <c r="F18" s="14">
        <v>2</v>
      </c>
      <c r="I18" s="14">
        <v>0</v>
      </c>
      <c r="J18" s="14">
        <v>212</v>
      </c>
      <c r="K18" s="14" t="str">
        <v>A</v>
      </c>
      <c r="L18" s="14" t="str">
        <v>D</v>
      </c>
      <c r="M18" s="14" t="str">
        <v>B</v>
      </c>
      <c r="N18" s="14" t="str">
        <v>E</v>
      </c>
    </row>
    <row r="19" spans="1:14" x14ac:dyDescent="0.25">
      <c r="A19" s="14" t="s">
        <v>46</v>
      </c>
      <c r="B19" s="14">
        <f t="shared" si="0"/>
        <v>0</v>
      </c>
      <c r="C19" s="14">
        <f t="shared" si="1"/>
        <v>0</v>
      </c>
      <c r="D19" s="14">
        <f t="shared" si="2"/>
        <v>0</v>
      </c>
      <c r="E19" s="14">
        <f t="shared" si="3"/>
        <v>37</v>
      </c>
      <c r="F19" s="14">
        <v>3</v>
      </c>
      <c r="I19" s="14">
        <v>0</v>
      </c>
      <c r="J19" s="14">
        <v>226</v>
      </c>
      <c r="K19" s="14" t="str">
        <v>A</v>
      </c>
      <c r="L19" s="14" t="str">
        <v>D</v>
      </c>
      <c r="M19" s="14" t="str">
        <v>C</v>
      </c>
      <c r="N19" s="14" t="str">
        <v>F</v>
      </c>
    </row>
    <row r="20" spans="1:14" x14ac:dyDescent="0.25">
      <c r="A20" s="14" t="s">
        <v>47</v>
      </c>
      <c r="B20" s="14">
        <f t="shared" si="0"/>
        <v>0</v>
      </c>
      <c r="C20" s="14">
        <f t="shared" si="1"/>
        <v>0</v>
      </c>
      <c r="D20" s="14">
        <f t="shared" si="2"/>
        <v>0</v>
      </c>
      <c r="E20" s="14">
        <f t="shared" si="3"/>
        <v>41</v>
      </c>
      <c r="F20" s="14">
        <v>4</v>
      </c>
      <c r="I20" s="14">
        <v>41</v>
      </c>
      <c r="J20" s="14">
        <v>240</v>
      </c>
      <c r="K20" s="14" t="str">
        <v>A</v>
      </c>
      <c r="L20" s="14" t="str">
        <v>D</v>
      </c>
      <c r="M20" s="14" t="str">
        <v>D</v>
      </c>
      <c r="N20" s="14" t="str">
        <v>G</v>
      </c>
    </row>
    <row r="21" spans="1:14" x14ac:dyDescent="0.25">
      <c r="A21" s="14" t="s">
        <v>48</v>
      </c>
      <c r="B21" s="14">
        <f t="shared" si="0"/>
        <v>0</v>
      </c>
      <c r="C21" s="14">
        <f t="shared" si="1"/>
        <v>0</v>
      </c>
      <c r="D21" s="14">
        <f t="shared" si="2"/>
        <v>0</v>
      </c>
      <c r="E21" s="14">
        <f t="shared" si="3"/>
        <v>0</v>
      </c>
      <c r="F21" s="14">
        <v>5</v>
      </c>
      <c r="I21" s="14">
        <v>0</v>
      </c>
      <c r="J21" s="14">
        <v>254</v>
      </c>
      <c r="K21" s="14" t="str">
        <v>A</v>
      </c>
      <c r="L21" s="14" t="str">
        <v>D</v>
      </c>
      <c r="M21" s="14" t="str">
        <v>E</v>
      </c>
      <c r="N21" s="14" t="str">
        <v>H</v>
      </c>
    </row>
    <row r="22" spans="1:14" x14ac:dyDescent="0.25">
      <c r="A22" s="14" t="s">
        <v>49</v>
      </c>
      <c r="B22" s="14">
        <f t="shared" si="0"/>
        <v>0</v>
      </c>
      <c r="C22" s="14">
        <f t="shared" si="1"/>
        <v>0</v>
      </c>
      <c r="D22" s="14">
        <f t="shared" si="2"/>
        <v>0</v>
      </c>
      <c r="E22" s="14">
        <f t="shared" si="3"/>
        <v>0</v>
      </c>
      <c r="F22" s="14">
        <v>6</v>
      </c>
      <c r="I22" s="14">
        <v>0</v>
      </c>
      <c r="J22" s="14">
        <v>264</v>
      </c>
      <c r="K22" s="14" t="str">
        <v>A</v>
      </c>
      <c r="L22" s="14" t="str">
        <v>E</v>
      </c>
      <c r="M22" s="14" t="str">
        <v>A</v>
      </c>
      <c r="N22" s="14" t="str">
        <v>E</v>
      </c>
    </row>
    <row r="23" spans="1:14" x14ac:dyDescent="0.25">
      <c r="B23" s="14">
        <f>SUM(B10:B22)</f>
        <v>184</v>
      </c>
      <c r="C23" s="14">
        <f>SUM(C10:C22)</f>
        <v>184</v>
      </c>
      <c r="D23" s="14">
        <f>SUM(D10:D22)</f>
        <v>184</v>
      </c>
      <c r="E23" s="14">
        <f>SUM(E10:E22)</f>
        <v>184</v>
      </c>
      <c r="I23" s="14">
        <v>0</v>
      </c>
      <c r="J23" s="14">
        <v>278</v>
      </c>
      <c r="K23" s="14" t="str">
        <v>A</v>
      </c>
      <c r="L23" s="14" t="str">
        <v>E</v>
      </c>
      <c r="M23" s="14" t="str">
        <v>B</v>
      </c>
      <c r="N23" s="14" t="str">
        <v>F</v>
      </c>
    </row>
    <row r="24" spans="1:14" x14ac:dyDescent="0.25">
      <c r="I24" s="14">
        <v>0</v>
      </c>
      <c r="J24" s="14">
        <v>292</v>
      </c>
      <c r="K24" s="14" t="str">
        <v>A</v>
      </c>
      <c r="L24" s="14" t="str">
        <v>E</v>
      </c>
      <c r="M24" s="14" t="str">
        <v>C</v>
      </c>
      <c r="N24" s="14" t="str">
        <v>G</v>
      </c>
    </row>
    <row r="25" spans="1:14" x14ac:dyDescent="0.25">
      <c r="I25" s="14">
        <v>0</v>
      </c>
      <c r="J25" s="14">
        <v>306</v>
      </c>
      <c r="K25" s="14" t="str">
        <v>A</v>
      </c>
      <c r="L25" s="14" t="str">
        <v>E</v>
      </c>
      <c r="M25" s="14" t="str">
        <v>D</v>
      </c>
      <c r="N25" s="14" t="str">
        <v>H</v>
      </c>
    </row>
    <row r="26" spans="1:14" x14ac:dyDescent="0.25">
      <c r="I26" s="14">
        <v>0</v>
      </c>
      <c r="J26" s="14">
        <v>320</v>
      </c>
      <c r="K26" s="14" t="str">
        <v>A</v>
      </c>
      <c r="L26" s="14" t="str">
        <v>E</v>
      </c>
      <c r="M26" s="14" t="str">
        <v>E</v>
      </c>
      <c r="N26" s="14" t="str">
        <v>I</v>
      </c>
    </row>
    <row r="27" spans="1:14" x14ac:dyDescent="0.25">
      <c r="I27" s="14">
        <v>0</v>
      </c>
      <c r="J27" s="14">
        <v>326</v>
      </c>
      <c r="K27" s="14" t="str">
        <v>B</v>
      </c>
      <c r="L27" s="14" t="str">
        <v>A</v>
      </c>
      <c r="M27" s="14" t="str">
        <v>A</v>
      </c>
      <c r="N27" s="14" t="str">
        <v>B</v>
      </c>
    </row>
    <row r="28" spans="1:14" x14ac:dyDescent="0.25">
      <c r="I28" s="14">
        <v>0</v>
      </c>
      <c r="J28" s="14">
        <v>340</v>
      </c>
      <c r="K28" s="14" t="str">
        <v>B</v>
      </c>
      <c r="L28" s="14" t="str">
        <v>A</v>
      </c>
      <c r="M28" s="14" t="str">
        <v>B</v>
      </c>
      <c r="N28" s="14" t="str">
        <v>C</v>
      </c>
    </row>
    <row r="29" spans="1:14" x14ac:dyDescent="0.25">
      <c r="I29" s="14">
        <v>0</v>
      </c>
      <c r="J29" s="14">
        <v>354</v>
      </c>
      <c r="K29" s="14" t="str">
        <v>B</v>
      </c>
      <c r="L29" s="14" t="str">
        <v>A</v>
      </c>
      <c r="M29" s="14" t="str">
        <v>C</v>
      </c>
      <c r="N29" s="14" t="str">
        <v>D</v>
      </c>
    </row>
    <row r="30" spans="1:14" x14ac:dyDescent="0.25">
      <c r="I30" s="14">
        <v>0</v>
      </c>
      <c r="J30" s="14">
        <v>368</v>
      </c>
      <c r="K30" s="14" t="str">
        <v>B</v>
      </c>
      <c r="L30" s="14" t="str">
        <v>A</v>
      </c>
      <c r="M30" s="14" t="str">
        <v>D</v>
      </c>
      <c r="N30" s="14" t="str">
        <v>E</v>
      </c>
    </row>
    <row r="31" spans="1:14" x14ac:dyDescent="0.25">
      <c r="I31" s="14">
        <v>0</v>
      </c>
      <c r="J31" s="14">
        <v>382</v>
      </c>
      <c r="K31" s="14" t="str">
        <v>B</v>
      </c>
      <c r="L31" s="14" t="str">
        <v>A</v>
      </c>
      <c r="M31" s="14" t="str">
        <v>E</v>
      </c>
      <c r="N31" s="14" t="str">
        <v>F</v>
      </c>
    </row>
    <row r="32" spans="1:14" x14ac:dyDescent="0.25">
      <c r="I32" s="14">
        <v>0</v>
      </c>
      <c r="J32" s="14">
        <v>392</v>
      </c>
      <c r="K32" s="14" t="str">
        <v>B</v>
      </c>
      <c r="L32" s="14" t="str">
        <v>B</v>
      </c>
      <c r="M32" s="14" t="str">
        <v>A</v>
      </c>
      <c r="N32" s="14" t="str">
        <v>C</v>
      </c>
    </row>
    <row r="33" spans="9:14" x14ac:dyDescent="0.25">
      <c r="I33" s="14">
        <v>0</v>
      </c>
      <c r="J33" s="14">
        <v>406</v>
      </c>
      <c r="K33" s="14" t="str">
        <v>B</v>
      </c>
      <c r="L33" s="14" t="str">
        <v>B</v>
      </c>
      <c r="M33" s="14" t="str">
        <v>B</v>
      </c>
      <c r="N33" s="14" t="str">
        <v>D</v>
      </c>
    </row>
    <row r="34" spans="9:14" x14ac:dyDescent="0.25">
      <c r="I34" s="14">
        <v>0</v>
      </c>
      <c r="J34" s="14">
        <v>420</v>
      </c>
      <c r="K34" s="14" t="str">
        <v>B</v>
      </c>
      <c r="L34" s="14" t="str">
        <v>B</v>
      </c>
      <c r="M34" s="14" t="str">
        <v>C</v>
      </c>
      <c r="N34" s="14" t="str">
        <v>E</v>
      </c>
    </row>
    <row r="35" spans="9:14" x14ac:dyDescent="0.25">
      <c r="I35" s="14">
        <v>0</v>
      </c>
      <c r="J35" s="14">
        <v>434</v>
      </c>
      <c r="K35" s="14" t="str">
        <v>B</v>
      </c>
      <c r="L35" s="14" t="str">
        <v>B</v>
      </c>
      <c r="M35" s="14" t="str">
        <v>D</v>
      </c>
      <c r="N35" s="14" t="str">
        <v>F</v>
      </c>
    </row>
    <row r="36" spans="9:14" x14ac:dyDescent="0.25">
      <c r="I36" s="14">
        <v>0</v>
      </c>
      <c r="J36" s="14">
        <v>448</v>
      </c>
      <c r="K36" s="14" t="str">
        <v>B</v>
      </c>
      <c r="L36" s="14" t="str">
        <v>B</v>
      </c>
      <c r="M36" s="14" t="str">
        <v>E</v>
      </c>
      <c r="N36" s="14" t="str">
        <v>G</v>
      </c>
    </row>
    <row r="37" spans="9:14" x14ac:dyDescent="0.25">
      <c r="I37" s="14">
        <v>0</v>
      </c>
      <c r="J37" s="14">
        <v>458</v>
      </c>
      <c r="K37" s="14" t="str">
        <v>B</v>
      </c>
      <c r="L37" s="14" t="str">
        <v>C</v>
      </c>
      <c r="M37" s="14" t="str">
        <v>A</v>
      </c>
      <c r="N37" s="14" t="str">
        <v>D</v>
      </c>
    </row>
    <row r="38" spans="9:14" x14ac:dyDescent="0.25">
      <c r="I38" s="14">
        <v>0</v>
      </c>
      <c r="J38" s="14">
        <v>472</v>
      </c>
      <c r="K38" s="14" t="str">
        <v>B</v>
      </c>
      <c r="L38" s="14" t="str">
        <v>C</v>
      </c>
      <c r="M38" s="14" t="str">
        <v>B</v>
      </c>
      <c r="N38" s="14" t="str">
        <v>E</v>
      </c>
    </row>
    <row r="39" spans="9:14" x14ac:dyDescent="0.25">
      <c r="I39" s="14">
        <v>0</v>
      </c>
      <c r="J39" s="14">
        <v>486</v>
      </c>
      <c r="K39" s="14" t="str">
        <v>B</v>
      </c>
      <c r="L39" s="14" t="str">
        <v>C</v>
      </c>
      <c r="M39" s="14" t="str">
        <v>C</v>
      </c>
      <c r="N39" s="14" t="str">
        <v>F</v>
      </c>
    </row>
    <row r="40" spans="9:14" x14ac:dyDescent="0.25">
      <c r="I40" s="14">
        <v>0</v>
      </c>
      <c r="J40" s="14">
        <v>500</v>
      </c>
      <c r="K40" s="14" t="str">
        <v>B</v>
      </c>
      <c r="L40" s="14" t="str">
        <v>C</v>
      </c>
      <c r="M40" s="14" t="str">
        <v>D</v>
      </c>
      <c r="N40" s="14" t="str">
        <v>G</v>
      </c>
    </row>
    <row r="41" spans="9:14" x14ac:dyDescent="0.25">
      <c r="I41" s="14">
        <v>0</v>
      </c>
      <c r="J41" s="14">
        <v>514</v>
      </c>
      <c r="K41" s="14" t="str">
        <v>B</v>
      </c>
      <c r="L41" s="14" t="str">
        <v>C</v>
      </c>
      <c r="M41" s="14" t="str">
        <v>E</v>
      </c>
      <c r="N41" s="14" t="str">
        <v>H</v>
      </c>
    </row>
    <row r="42" spans="9:14" x14ac:dyDescent="0.25">
      <c r="I42" s="14">
        <v>0</v>
      </c>
      <c r="J42" s="14">
        <v>524</v>
      </c>
      <c r="K42" s="14" t="str">
        <v>B</v>
      </c>
      <c r="L42" s="14" t="str">
        <v>D</v>
      </c>
      <c r="M42" s="14" t="str">
        <v>A</v>
      </c>
      <c r="N42" s="14" t="str">
        <v>E</v>
      </c>
    </row>
    <row r="43" spans="9:14" x14ac:dyDescent="0.25">
      <c r="I43" s="14">
        <v>0</v>
      </c>
      <c r="J43" s="14">
        <v>538</v>
      </c>
      <c r="K43" s="14" t="str">
        <v>B</v>
      </c>
      <c r="L43" s="14" t="str">
        <v>D</v>
      </c>
      <c r="M43" s="14" t="str">
        <v>B</v>
      </c>
      <c r="N43" s="14" t="str">
        <v>F</v>
      </c>
    </row>
    <row r="44" spans="9:14" x14ac:dyDescent="0.25">
      <c r="I44" s="14">
        <v>0</v>
      </c>
      <c r="J44" s="14">
        <v>552</v>
      </c>
      <c r="K44" s="14" t="str">
        <v>B</v>
      </c>
      <c r="L44" s="14" t="str">
        <v>D</v>
      </c>
      <c r="M44" s="14" t="str">
        <v>C</v>
      </c>
      <c r="N44" s="14" t="str">
        <v>G</v>
      </c>
    </row>
    <row r="45" spans="9:14" x14ac:dyDescent="0.25">
      <c r="I45" s="14">
        <v>33</v>
      </c>
      <c r="J45" s="14">
        <v>566</v>
      </c>
      <c r="K45" s="14" t="str">
        <v>B</v>
      </c>
      <c r="L45" s="14" t="str">
        <v>D</v>
      </c>
      <c r="M45" s="14" t="str">
        <v>D</v>
      </c>
      <c r="N45" s="14" t="str">
        <v>H</v>
      </c>
    </row>
    <row r="46" spans="9:14" x14ac:dyDescent="0.25">
      <c r="I46" s="14">
        <v>0</v>
      </c>
      <c r="J46" s="14">
        <v>580</v>
      </c>
      <c r="K46" s="14" t="str">
        <v>B</v>
      </c>
      <c r="L46" s="14" t="str">
        <v>D</v>
      </c>
      <c r="M46" s="14" t="str">
        <v>E</v>
      </c>
      <c r="N46" s="14" t="str">
        <v>I</v>
      </c>
    </row>
    <row r="47" spans="9:14" x14ac:dyDescent="0.25">
      <c r="I47" s="14">
        <v>0</v>
      </c>
      <c r="J47" s="14">
        <v>590</v>
      </c>
      <c r="K47" s="14" t="str">
        <v>B</v>
      </c>
      <c r="L47" s="14" t="str">
        <v>E</v>
      </c>
      <c r="M47" s="14" t="str">
        <v>A</v>
      </c>
      <c r="N47" s="14" t="str">
        <v>F</v>
      </c>
    </row>
    <row r="48" spans="9:14" x14ac:dyDescent="0.25">
      <c r="I48" s="14">
        <v>0</v>
      </c>
      <c r="J48" s="14">
        <v>604</v>
      </c>
      <c r="K48" s="14" t="str">
        <v>B</v>
      </c>
      <c r="L48" s="14" t="str">
        <v>E</v>
      </c>
      <c r="M48" s="14" t="str">
        <v>B</v>
      </c>
      <c r="N48" s="14" t="str">
        <v>G</v>
      </c>
    </row>
    <row r="49" spans="9:14" x14ac:dyDescent="0.25">
      <c r="I49" s="14">
        <v>0</v>
      </c>
      <c r="J49" s="14">
        <v>618</v>
      </c>
      <c r="K49" s="14" t="str">
        <v>B</v>
      </c>
      <c r="L49" s="14" t="str">
        <v>E</v>
      </c>
      <c r="M49" s="14" t="str">
        <v>C</v>
      </c>
      <c r="N49" s="14" t="str">
        <v>H</v>
      </c>
    </row>
    <row r="50" spans="9:14" x14ac:dyDescent="0.25">
      <c r="I50" s="14">
        <v>0</v>
      </c>
      <c r="J50" s="14">
        <v>632</v>
      </c>
      <c r="K50" s="14" t="str">
        <v>B</v>
      </c>
      <c r="L50" s="14" t="str">
        <v>E</v>
      </c>
      <c r="M50" s="14" t="str">
        <v>D</v>
      </c>
      <c r="N50" s="14" t="str">
        <v>I</v>
      </c>
    </row>
    <row r="51" spans="9:14" x14ac:dyDescent="0.25">
      <c r="I51" s="14">
        <v>0</v>
      </c>
      <c r="J51" s="14">
        <v>646</v>
      </c>
      <c r="K51" s="14" t="str">
        <v>B</v>
      </c>
      <c r="L51" s="14" t="str">
        <v>E</v>
      </c>
      <c r="M51" s="14" t="str">
        <v>E</v>
      </c>
      <c r="N51" s="14" t="str">
        <v>J</v>
      </c>
    </row>
    <row r="52" spans="9:14" x14ac:dyDescent="0.25">
      <c r="I52" s="14">
        <v>0</v>
      </c>
      <c r="J52" s="14">
        <v>652</v>
      </c>
      <c r="K52" s="14" t="str">
        <v>C</v>
      </c>
      <c r="L52" s="14" t="str">
        <v>A</v>
      </c>
      <c r="M52" s="14" t="str">
        <v>A</v>
      </c>
      <c r="N52" s="14" t="str">
        <v>C</v>
      </c>
    </row>
    <row r="53" spans="9:14" x14ac:dyDescent="0.25">
      <c r="I53" s="14">
        <v>0</v>
      </c>
      <c r="J53" s="14">
        <v>666</v>
      </c>
      <c r="K53" s="14" t="str">
        <v>C</v>
      </c>
      <c r="L53" s="14" t="str">
        <v>A</v>
      </c>
      <c r="M53" s="14" t="str">
        <v>B</v>
      </c>
      <c r="N53" s="14" t="str">
        <v>D</v>
      </c>
    </row>
    <row r="54" spans="9:14" x14ac:dyDescent="0.25">
      <c r="I54" s="14">
        <v>0</v>
      </c>
      <c r="J54" s="14">
        <v>680</v>
      </c>
      <c r="K54" s="14" t="str">
        <v>C</v>
      </c>
      <c r="L54" s="14" t="str">
        <v>A</v>
      </c>
      <c r="M54" s="14" t="str">
        <v>C</v>
      </c>
      <c r="N54" s="14" t="str">
        <v>E</v>
      </c>
    </row>
    <row r="55" spans="9:14" x14ac:dyDescent="0.25">
      <c r="I55" s="14">
        <v>0</v>
      </c>
      <c r="J55" s="14">
        <v>694</v>
      </c>
      <c r="K55" s="14" t="str">
        <v>C</v>
      </c>
      <c r="L55" s="14" t="str">
        <v>A</v>
      </c>
      <c r="M55" s="14" t="str">
        <v>D</v>
      </c>
      <c r="N55" s="14" t="str">
        <v>F</v>
      </c>
    </row>
    <row r="56" spans="9:14" x14ac:dyDescent="0.25">
      <c r="I56" s="14">
        <v>0</v>
      </c>
      <c r="J56" s="14">
        <v>708</v>
      </c>
      <c r="K56" s="14" t="str">
        <v>C</v>
      </c>
      <c r="L56" s="14" t="str">
        <v>A</v>
      </c>
      <c r="M56" s="14" t="str">
        <v>E</v>
      </c>
      <c r="N56" s="14" t="str">
        <v>G</v>
      </c>
    </row>
    <row r="57" spans="9:14" x14ac:dyDescent="0.25">
      <c r="I57" s="14">
        <v>0</v>
      </c>
      <c r="J57" s="14">
        <v>718</v>
      </c>
      <c r="K57" s="14" t="str">
        <v>C</v>
      </c>
      <c r="L57" s="14" t="str">
        <v>B</v>
      </c>
      <c r="M57" s="14" t="str">
        <v>A</v>
      </c>
      <c r="N57" s="14" t="str">
        <v>D</v>
      </c>
    </row>
    <row r="58" spans="9:14" x14ac:dyDescent="0.25">
      <c r="I58" s="14">
        <v>0</v>
      </c>
      <c r="J58" s="14">
        <v>732</v>
      </c>
      <c r="K58" s="14" t="str">
        <v>C</v>
      </c>
      <c r="L58" s="14" t="str">
        <v>B</v>
      </c>
      <c r="M58" s="14" t="str">
        <v>B</v>
      </c>
      <c r="N58" s="14" t="str">
        <v>E</v>
      </c>
    </row>
    <row r="59" spans="9:14" x14ac:dyDescent="0.25">
      <c r="I59" s="14">
        <v>0</v>
      </c>
      <c r="J59" s="14">
        <v>746</v>
      </c>
      <c r="K59" s="14" t="str">
        <v>C</v>
      </c>
      <c r="L59" s="14" t="str">
        <v>B</v>
      </c>
      <c r="M59" s="14" t="str">
        <v>C</v>
      </c>
      <c r="N59" s="14" t="str">
        <v>F</v>
      </c>
    </row>
    <row r="60" spans="9:14" x14ac:dyDescent="0.25">
      <c r="I60" s="14">
        <v>0</v>
      </c>
      <c r="J60" s="14">
        <v>760</v>
      </c>
      <c r="K60" s="14" t="str">
        <v>C</v>
      </c>
      <c r="L60" s="14" t="str">
        <v>B</v>
      </c>
      <c r="M60" s="14" t="str">
        <v>D</v>
      </c>
      <c r="N60" s="14" t="str">
        <v>G</v>
      </c>
    </row>
    <row r="61" spans="9:14" x14ac:dyDescent="0.25">
      <c r="I61" s="14">
        <v>0</v>
      </c>
      <c r="J61" s="14">
        <v>774</v>
      </c>
      <c r="K61" s="14" t="str">
        <v>C</v>
      </c>
      <c r="L61" s="14" t="str">
        <v>B</v>
      </c>
      <c r="M61" s="14" t="str">
        <v>E</v>
      </c>
      <c r="N61" s="14" t="str">
        <v>H</v>
      </c>
    </row>
    <row r="62" spans="9:14" x14ac:dyDescent="0.25">
      <c r="I62" s="14">
        <v>0</v>
      </c>
      <c r="J62" s="14">
        <v>784</v>
      </c>
      <c r="K62" s="14" t="str">
        <v>C</v>
      </c>
      <c r="L62" s="14" t="str">
        <v>C</v>
      </c>
      <c r="M62" s="14" t="str">
        <v>A</v>
      </c>
      <c r="N62" s="14" t="str">
        <v>E</v>
      </c>
    </row>
    <row r="63" spans="9:14" x14ac:dyDescent="0.25">
      <c r="I63" s="14">
        <v>0</v>
      </c>
      <c r="J63" s="14">
        <v>798</v>
      </c>
      <c r="K63" s="14" t="str">
        <v>C</v>
      </c>
      <c r="L63" s="14" t="str">
        <v>C</v>
      </c>
      <c r="M63" s="14" t="str">
        <v>B</v>
      </c>
      <c r="N63" s="14" t="str">
        <v>F</v>
      </c>
    </row>
    <row r="64" spans="9:14" x14ac:dyDescent="0.25">
      <c r="I64" s="14">
        <v>0</v>
      </c>
      <c r="J64" s="14">
        <v>812</v>
      </c>
      <c r="K64" s="14" t="str">
        <v>C</v>
      </c>
      <c r="L64" s="14" t="str">
        <v>C</v>
      </c>
      <c r="M64" s="14" t="str">
        <v>C</v>
      </c>
      <c r="N64" s="14" t="str">
        <v>G</v>
      </c>
    </row>
    <row r="65" spans="9:14" x14ac:dyDescent="0.25">
      <c r="I65" s="14">
        <v>0</v>
      </c>
      <c r="J65" s="14">
        <v>826</v>
      </c>
      <c r="K65" s="14" t="str">
        <v>C</v>
      </c>
      <c r="L65" s="14" t="str">
        <v>C</v>
      </c>
      <c r="M65" s="14" t="str">
        <v>D</v>
      </c>
      <c r="N65" s="14" t="str">
        <v>H</v>
      </c>
    </row>
    <row r="66" spans="9:14" x14ac:dyDescent="0.25">
      <c r="I66" s="14">
        <v>0</v>
      </c>
      <c r="J66" s="14">
        <v>840</v>
      </c>
      <c r="K66" s="14" t="str">
        <v>C</v>
      </c>
      <c r="L66" s="14" t="str">
        <v>C</v>
      </c>
      <c r="M66" s="14" t="str">
        <v>E</v>
      </c>
      <c r="N66" s="14" t="str">
        <v>I</v>
      </c>
    </row>
    <row r="67" spans="9:14" x14ac:dyDescent="0.25">
      <c r="I67" s="14">
        <v>0</v>
      </c>
      <c r="J67" s="14">
        <v>850</v>
      </c>
      <c r="K67" s="14" t="str">
        <v>C</v>
      </c>
      <c r="L67" s="14" t="str">
        <v>D</v>
      </c>
      <c r="M67" s="14" t="str">
        <v>A</v>
      </c>
      <c r="N67" s="14" t="str">
        <v>F</v>
      </c>
    </row>
    <row r="68" spans="9:14" x14ac:dyDescent="0.25">
      <c r="I68" s="14">
        <v>0</v>
      </c>
      <c r="J68" s="14">
        <v>864</v>
      </c>
      <c r="K68" s="14" t="str">
        <v>C</v>
      </c>
      <c r="L68" s="14" t="str">
        <v>D</v>
      </c>
      <c r="M68" s="14" t="str">
        <v>B</v>
      </c>
      <c r="N68" s="14" t="str">
        <v>G</v>
      </c>
    </row>
    <row r="69" spans="9:14" x14ac:dyDescent="0.25">
      <c r="I69" s="14">
        <v>0</v>
      </c>
      <c r="J69" s="14">
        <v>878</v>
      </c>
      <c r="K69" s="14" t="str">
        <v>C</v>
      </c>
      <c r="L69" s="14" t="str">
        <v>D</v>
      </c>
      <c r="M69" s="14" t="str">
        <v>C</v>
      </c>
      <c r="N69" s="14" t="str">
        <v>H</v>
      </c>
    </row>
    <row r="70" spans="9:14" x14ac:dyDescent="0.25">
      <c r="I70" s="14">
        <v>32</v>
      </c>
      <c r="J70" s="14">
        <v>892</v>
      </c>
      <c r="K70" s="14" t="str">
        <v>C</v>
      </c>
      <c r="L70" s="14" t="str">
        <v>D</v>
      </c>
      <c r="M70" s="14" t="str">
        <v>D</v>
      </c>
      <c r="N70" s="14" t="str">
        <v>I</v>
      </c>
    </row>
    <row r="71" spans="9:14" x14ac:dyDescent="0.25">
      <c r="I71" s="14">
        <v>0</v>
      </c>
      <c r="J71" s="14">
        <v>906</v>
      </c>
      <c r="K71" s="14" t="str">
        <v>C</v>
      </c>
      <c r="L71" s="14" t="str">
        <v>D</v>
      </c>
      <c r="M71" s="14" t="str">
        <v>E</v>
      </c>
      <c r="N71" s="14" t="str">
        <v>J</v>
      </c>
    </row>
    <row r="72" spans="9:14" x14ac:dyDescent="0.25">
      <c r="I72" s="14">
        <v>0</v>
      </c>
      <c r="J72" s="14">
        <v>916</v>
      </c>
      <c r="K72" s="14" t="str">
        <v>C</v>
      </c>
      <c r="L72" s="14" t="str">
        <v>E</v>
      </c>
      <c r="M72" s="14" t="str">
        <v>A</v>
      </c>
      <c r="N72" s="14" t="str">
        <v>G</v>
      </c>
    </row>
    <row r="73" spans="9:14" x14ac:dyDescent="0.25">
      <c r="I73" s="14">
        <v>0</v>
      </c>
      <c r="J73" s="14">
        <v>930</v>
      </c>
      <c r="K73" s="14" t="str">
        <v>C</v>
      </c>
      <c r="L73" s="14" t="str">
        <v>E</v>
      </c>
      <c r="M73" s="14" t="str">
        <v>B</v>
      </c>
      <c r="N73" s="14" t="str">
        <v>H</v>
      </c>
    </row>
    <row r="74" spans="9:14" x14ac:dyDescent="0.25">
      <c r="I74" s="14">
        <v>0</v>
      </c>
      <c r="J74" s="14">
        <v>944</v>
      </c>
      <c r="K74" s="14" t="str">
        <v>C</v>
      </c>
      <c r="L74" s="14" t="str">
        <v>E</v>
      </c>
      <c r="M74" s="14" t="str">
        <v>C</v>
      </c>
      <c r="N74" s="14" t="str">
        <v>I</v>
      </c>
    </row>
    <row r="75" spans="9:14" x14ac:dyDescent="0.25">
      <c r="I75" s="14">
        <v>0</v>
      </c>
      <c r="J75" s="14">
        <v>958</v>
      </c>
      <c r="K75" s="14" t="str">
        <v>C</v>
      </c>
      <c r="L75" s="14" t="str">
        <v>E</v>
      </c>
      <c r="M75" s="14" t="str">
        <v>D</v>
      </c>
      <c r="N75" s="14" t="str">
        <v>J</v>
      </c>
    </row>
    <row r="76" spans="9:14" x14ac:dyDescent="0.25">
      <c r="I76" s="14">
        <v>0</v>
      </c>
      <c r="J76" s="14">
        <v>972</v>
      </c>
      <c r="K76" s="14" t="str">
        <v>C</v>
      </c>
      <c r="L76" s="14" t="str">
        <v>E</v>
      </c>
      <c r="M76" s="14" t="str">
        <v>E</v>
      </c>
      <c r="N76" s="14" t="str">
        <v>K</v>
      </c>
    </row>
    <row r="77" spans="9:14" x14ac:dyDescent="0.25">
      <c r="I77" s="14">
        <v>0</v>
      </c>
      <c r="J77" s="14">
        <v>978</v>
      </c>
      <c r="K77" s="14" t="str">
        <v>D</v>
      </c>
      <c r="L77" s="14" t="str">
        <v>A</v>
      </c>
      <c r="M77" s="14" t="str">
        <v>A</v>
      </c>
      <c r="N77" s="14" t="str">
        <v>D</v>
      </c>
    </row>
    <row r="78" spans="9:14" x14ac:dyDescent="0.25">
      <c r="I78" s="14">
        <v>0</v>
      </c>
      <c r="J78" s="14">
        <v>992</v>
      </c>
      <c r="K78" s="14" t="str">
        <v>D</v>
      </c>
      <c r="L78" s="14" t="str">
        <v>A</v>
      </c>
      <c r="M78" s="14" t="str">
        <v>B</v>
      </c>
      <c r="N78" s="14" t="str">
        <v>E</v>
      </c>
    </row>
    <row r="79" spans="9:14" x14ac:dyDescent="0.25">
      <c r="I79" s="14">
        <v>0</v>
      </c>
      <c r="J79" s="14">
        <v>1006</v>
      </c>
      <c r="K79" s="14" t="str">
        <v>D</v>
      </c>
      <c r="L79" s="14" t="str">
        <v>A</v>
      </c>
      <c r="M79" s="14" t="str">
        <v>C</v>
      </c>
      <c r="N79" s="14" t="str">
        <v>F</v>
      </c>
    </row>
    <row r="80" spans="9:14" x14ac:dyDescent="0.25">
      <c r="I80" s="14">
        <v>0</v>
      </c>
      <c r="J80" s="14">
        <v>1020</v>
      </c>
      <c r="K80" s="14" t="str">
        <v>D</v>
      </c>
      <c r="L80" s="14" t="str">
        <v>A</v>
      </c>
      <c r="M80" s="14" t="str">
        <v>D</v>
      </c>
      <c r="N80" s="14" t="str">
        <v>G</v>
      </c>
    </row>
    <row r="81" spans="9:14" x14ac:dyDescent="0.25">
      <c r="I81" s="14">
        <v>0</v>
      </c>
      <c r="J81" s="14">
        <v>1034</v>
      </c>
      <c r="K81" s="14" t="str">
        <v>D</v>
      </c>
      <c r="L81" s="14" t="str">
        <v>A</v>
      </c>
      <c r="M81" s="14" t="str">
        <v>E</v>
      </c>
      <c r="N81" s="14" t="str">
        <v>H</v>
      </c>
    </row>
    <row r="82" spans="9:14" x14ac:dyDescent="0.25">
      <c r="I82" s="14">
        <v>0</v>
      </c>
      <c r="J82" s="14">
        <v>1044</v>
      </c>
      <c r="K82" s="14" t="str">
        <v>D</v>
      </c>
      <c r="L82" s="14" t="str">
        <v>B</v>
      </c>
      <c r="M82" s="14" t="str">
        <v>A</v>
      </c>
      <c r="N82" s="14" t="str">
        <v>E</v>
      </c>
    </row>
    <row r="83" spans="9:14" x14ac:dyDescent="0.25">
      <c r="I83" s="14">
        <v>0</v>
      </c>
      <c r="J83" s="14">
        <v>1058</v>
      </c>
      <c r="K83" s="14" t="str">
        <v>D</v>
      </c>
      <c r="L83" s="14" t="str">
        <v>B</v>
      </c>
      <c r="M83" s="14" t="str">
        <v>B</v>
      </c>
      <c r="N83" s="14" t="str">
        <v>F</v>
      </c>
    </row>
    <row r="84" spans="9:14" x14ac:dyDescent="0.25">
      <c r="I84" s="14">
        <v>0</v>
      </c>
      <c r="J84" s="14">
        <v>1072</v>
      </c>
      <c r="K84" s="14" t="str">
        <v>D</v>
      </c>
      <c r="L84" s="14" t="str">
        <v>B</v>
      </c>
      <c r="M84" s="14" t="str">
        <v>C</v>
      </c>
      <c r="N84" s="14" t="str">
        <v>G</v>
      </c>
    </row>
    <row r="85" spans="9:14" x14ac:dyDescent="0.25">
      <c r="I85" s="14">
        <v>0</v>
      </c>
      <c r="J85" s="14">
        <v>1086</v>
      </c>
      <c r="K85" s="14" t="str">
        <v>D</v>
      </c>
      <c r="L85" s="14" t="str">
        <v>B</v>
      </c>
      <c r="M85" s="14" t="str">
        <v>D</v>
      </c>
      <c r="N85" s="14" t="str">
        <v>H</v>
      </c>
    </row>
    <row r="86" spans="9:14" x14ac:dyDescent="0.25">
      <c r="I86" s="14">
        <v>0</v>
      </c>
      <c r="J86" s="14">
        <v>1100</v>
      </c>
      <c r="K86" s="14" t="str">
        <v>D</v>
      </c>
      <c r="L86" s="14" t="str">
        <v>B</v>
      </c>
      <c r="M86" s="14" t="str">
        <v>E</v>
      </c>
      <c r="N86" s="14" t="str">
        <v>I</v>
      </c>
    </row>
    <row r="87" spans="9:14" x14ac:dyDescent="0.25">
      <c r="I87" s="14">
        <v>0</v>
      </c>
      <c r="J87" s="14">
        <v>1110</v>
      </c>
      <c r="K87" s="14" t="str">
        <v>D</v>
      </c>
      <c r="L87" s="14" t="str">
        <v>C</v>
      </c>
      <c r="M87" s="14" t="str">
        <v>A</v>
      </c>
      <c r="N87" s="14" t="str">
        <v>F</v>
      </c>
    </row>
    <row r="88" spans="9:14" x14ac:dyDescent="0.25">
      <c r="I88" s="14">
        <v>0</v>
      </c>
      <c r="J88" s="14">
        <v>1124</v>
      </c>
      <c r="K88" s="14" t="str">
        <v>D</v>
      </c>
      <c r="L88" s="14" t="str">
        <v>C</v>
      </c>
      <c r="M88" s="14" t="str">
        <v>B</v>
      </c>
      <c r="N88" s="14" t="str">
        <v>G</v>
      </c>
    </row>
    <row r="89" spans="9:14" x14ac:dyDescent="0.25">
      <c r="I89" s="14">
        <v>0</v>
      </c>
      <c r="J89" s="14">
        <v>1138</v>
      </c>
      <c r="K89" s="14" t="str">
        <v>D</v>
      </c>
      <c r="L89" s="14" t="str">
        <v>C</v>
      </c>
      <c r="M89" s="14" t="str">
        <v>C</v>
      </c>
      <c r="N89" s="14" t="str">
        <v>H</v>
      </c>
    </row>
    <row r="90" spans="9:14" x14ac:dyDescent="0.25">
      <c r="I90" s="14">
        <v>0</v>
      </c>
      <c r="J90" s="14">
        <v>1152</v>
      </c>
      <c r="K90" s="14" t="str">
        <v>D</v>
      </c>
      <c r="L90" s="14" t="str">
        <v>C</v>
      </c>
      <c r="M90" s="14" t="str">
        <v>D</v>
      </c>
      <c r="N90" s="14" t="str">
        <v>I</v>
      </c>
    </row>
    <row r="91" spans="9:14" x14ac:dyDescent="0.25">
      <c r="I91" s="14">
        <v>0</v>
      </c>
      <c r="J91" s="14">
        <v>1166</v>
      </c>
      <c r="K91" s="14" t="str">
        <v>D</v>
      </c>
      <c r="L91" s="14" t="str">
        <v>C</v>
      </c>
      <c r="M91" s="14" t="str">
        <v>E</v>
      </c>
      <c r="N91" s="14" t="str">
        <v>J</v>
      </c>
    </row>
    <row r="92" spans="9:14" x14ac:dyDescent="0.25">
      <c r="I92" s="14">
        <v>0</v>
      </c>
      <c r="J92" s="14">
        <v>1176</v>
      </c>
      <c r="K92" s="14" t="str">
        <v>D</v>
      </c>
      <c r="L92" s="14" t="str">
        <v>D</v>
      </c>
      <c r="M92" s="14" t="str">
        <v>A</v>
      </c>
      <c r="N92" s="14" t="str">
        <v>G</v>
      </c>
    </row>
    <row r="93" spans="9:14" x14ac:dyDescent="0.25">
      <c r="I93" s="14">
        <v>0</v>
      </c>
      <c r="J93" s="14">
        <v>1190</v>
      </c>
      <c r="K93" s="14" t="str">
        <v>D</v>
      </c>
      <c r="L93" s="14" t="str">
        <v>D</v>
      </c>
      <c r="M93" s="14" t="str">
        <v>B</v>
      </c>
      <c r="N93" s="14" t="str">
        <v>H</v>
      </c>
    </row>
    <row r="94" spans="9:14" x14ac:dyDescent="0.25">
      <c r="I94" s="14">
        <v>0</v>
      </c>
      <c r="J94" s="14">
        <v>1204</v>
      </c>
      <c r="K94" s="14" t="str">
        <v>D</v>
      </c>
      <c r="L94" s="14" t="str">
        <v>D</v>
      </c>
      <c r="M94" s="14" t="str">
        <v>C</v>
      </c>
      <c r="N94" s="14" t="str">
        <v>I</v>
      </c>
    </row>
    <row r="95" spans="9:14" x14ac:dyDescent="0.25">
      <c r="I95" s="14">
        <v>37</v>
      </c>
      <c r="J95" s="14">
        <v>1218</v>
      </c>
      <c r="K95" s="14" t="str">
        <v>D</v>
      </c>
      <c r="L95" s="14" t="str">
        <v>D</v>
      </c>
      <c r="M95" s="14" t="str">
        <v>D</v>
      </c>
      <c r="N95" s="14" t="str">
        <v>J</v>
      </c>
    </row>
    <row r="96" spans="9:14" x14ac:dyDescent="0.25">
      <c r="I96" s="14">
        <v>0</v>
      </c>
      <c r="J96" s="14">
        <v>1232</v>
      </c>
      <c r="K96" s="14" t="str">
        <v>D</v>
      </c>
      <c r="L96" s="14" t="str">
        <v>D</v>
      </c>
      <c r="M96" s="14" t="str">
        <v>E</v>
      </c>
      <c r="N96" s="14" t="str">
        <v>K</v>
      </c>
    </row>
    <row r="97" spans="9:14" x14ac:dyDescent="0.25">
      <c r="I97" s="14">
        <v>0</v>
      </c>
      <c r="J97" s="14">
        <v>1242</v>
      </c>
      <c r="K97" s="14" t="str">
        <v>D</v>
      </c>
      <c r="L97" s="14" t="str">
        <v>E</v>
      </c>
      <c r="M97" s="14" t="str">
        <v>A</v>
      </c>
      <c r="N97" s="14" t="str">
        <v>H</v>
      </c>
    </row>
    <row r="98" spans="9:14" x14ac:dyDescent="0.25">
      <c r="I98" s="14">
        <v>0</v>
      </c>
      <c r="J98" s="14">
        <v>1256</v>
      </c>
      <c r="K98" s="14" t="str">
        <v>D</v>
      </c>
      <c r="L98" s="14" t="str">
        <v>E</v>
      </c>
      <c r="M98" s="14" t="str">
        <v>B</v>
      </c>
      <c r="N98" s="14" t="str">
        <v>I</v>
      </c>
    </row>
    <row r="99" spans="9:14" x14ac:dyDescent="0.25">
      <c r="I99" s="14">
        <v>0</v>
      </c>
      <c r="J99" s="14">
        <v>1270</v>
      </c>
      <c r="K99" s="14" t="str">
        <v>D</v>
      </c>
      <c r="L99" s="14" t="str">
        <v>E</v>
      </c>
      <c r="M99" s="14" t="str">
        <v>C</v>
      </c>
      <c r="N99" s="14" t="str">
        <v>J</v>
      </c>
    </row>
    <row r="100" spans="9:14" x14ac:dyDescent="0.25">
      <c r="I100" s="14">
        <v>0</v>
      </c>
      <c r="J100" s="14">
        <v>1284</v>
      </c>
      <c r="K100" s="14" t="str">
        <v>D</v>
      </c>
      <c r="L100" s="14" t="str">
        <v>E</v>
      </c>
      <c r="M100" s="14" t="str">
        <v>D</v>
      </c>
      <c r="N100" s="14" t="str">
        <v>K</v>
      </c>
    </row>
    <row r="101" spans="9:14" x14ac:dyDescent="0.25">
      <c r="I101" s="14">
        <v>0</v>
      </c>
      <c r="J101" s="14">
        <v>1298</v>
      </c>
      <c r="K101" s="14" t="str">
        <v>D</v>
      </c>
      <c r="L101" s="14" t="str">
        <v>E</v>
      </c>
      <c r="M101" s="14" t="str">
        <v>E</v>
      </c>
      <c r="N101" s="14" t="str">
        <v>L</v>
      </c>
    </row>
    <row r="102" spans="9:14" x14ac:dyDescent="0.25">
      <c r="I102" s="14">
        <v>0</v>
      </c>
      <c r="J102" s="14">
        <v>1304</v>
      </c>
      <c r="K102" s="14" t="str">
        <v>E</v>
      </c>
      <c r="L102" s="14" t="str">
        <v>A</v>
      </c>
      <c r="M102" s="14" t="str">
        <v>A</v>
      </c>
      <c r="N102" s="14" t="str">
        <v>E</v>
      </c>
    </row>
    <row r="103" spans="9:14" x14ac:dyDescent="0.25">
      <c r="I103" s="14">
        <v>0</v>
      </c>
      <c r="J103" s="14">
        <v>1318</v>
      </c>
      <c r="K103" s="14" t="str">
        <v>E</v>
      </c>
      <c r="L103" s="14" t="str">
        <v>A</v>
      </c>
      <c r="M103" s="14" t="str">
        <v>B</v>
      </c>
      <c r="N103" s="14" t="str">
        <v>F</v>
      </c>
    </row>
    <row r="104" spans="9:14" x14ac:dyDescent="0.25">
      <c r="I104" s="14">
        <v>0</v>
      </c>
      <c r="J104" s="14">
        <v>1332</v>
      </c>
      <c r="K104" s="14" t="str">
        <v>E</v>
      </c>
      <c r="L104" s="14" t="str">
        <v>A</v>
      </c>
      <c r="M104" s="14" t="str">
        <v>C</v>
      </c>
      <c r="N104" s="14" t="str">
        <v>G</v>
      </c>
    </row>
    <row r="105" spans="9:14" x14ac:dyDescent="0.25">
      <c r="I105" s="14">
        <v>0</v>
      </c>
      <c r="J105" s="14">
        <v>1346</v>
      </c>
      <c r="K105" s="14" t="str">
        <v>E</v>
      </c>
      <c r="L105" s="14" t="str">
        <v>A</v>
      </c>
      <c r="M105" s="14" t="str">
        <v>D</v>
      </c>
      <c r="N105" s="14" t="str">
        <v>H</v>
      </c>
    </row>
    <row r="106" spans="9:14" x14ac:dyDescent="0.25">
      <c r="I106" s="14">
        <v>0</v>
      </c>
      <c r="J106" s="14">
        <v>1360</v>
      </c>
      <c r="K106" s="14" t="str">
        <v>E</v>
      </c>
      <c r="L106" s="14" t="str">
        <v>A</v>
      </c>
      <c r="M106" s="14" t="str">
        <v>E</v>
      </c>
      <c r="N106" s="14" t="str">
        <v>I</v>
      </c>
    </row>
    <row r="107" spans="9:14" x14ac:dyDescent="0.25">
      <c r="I107" s="14">
        <v>0</v>
      </c>
      <c r="J107" s="14">
        <v>1370</v>
      </c>
      <c r="K107" s="14" t="str">
        <v>E</v>
      </c>
      <c r="L107" s="14" t="str">
        <v>B</v>
      </c>
      <c r="M107" s="14" t="str">
        <v>A</v>
      </c>
      <c r="N107" s="14" t="str">
        <v>F</v>
      </c>
    </row>
    <row r="108" spans="9:14" x14ac:dyDescent="0.25">
      <c r="I108" s="14">
        <v>0</v>
      </c>
      <c r="J108" s="14">
        <v>1384</v>
      </c>
      <c r="K108" s="14" t="str">
        <v>E</v>
      </c>
      <c r="L108" s="14" t="str">
        <v>B</v>
      </c>
      <c r="M108" s="14" t="str">
        <v>B</v>
      </c>
      <c r="N108" s="14" t="str">
        <v>G</v>
      </c>
    </row>
    <row r="109" spans="9:14" x14ac:dyDescent="0.25">
      <c r="I109" s="14">
        <v>0</v>
      </c>
      <c r="J109" s="14">
        <v>1398</v>
      </c>
      <c r="K109" s="14" t="str">
        <v>E</v>
      </c>
      <c r="L109" s="14" t="str">
        <v>B</v>
      </c>
      <c r="M109" s="14" t="str">
        <v>C</v>
      </c>
      <c r="N109" s="14" t="str">
        <v>H</v>
      </c>
    </row>
    <row r="110" spans="9:14" x14ac:dyDescent="0.25">
      <c r="I110" s="14">
        <v>0</v>
      </c>
      <c r="J110" s="14">
        <v>1412</v>
      </c>
      <c r="K110" s="14" t="str">
        <v>E</v>
      </c>
      <c r="L110" s="14" t="str">
        <v>B</v>
      </c>
      <c r="M110" s="14" t="str">
        <v>D</v>
      </c>
      <c r="N110" s="14" t="str">
        <v>I</v>
      </c>
    </row>
    <row r="111" spans="9:14" x14ac:dyDescent="0.25">
      <c r="I111" s="14">
        <v>0</v>
      </c>
      <c r="J111" s="14">
        <v>1426</v>
      </c>
      <c r="K111" s="14" t="str">
        <v>E</v>
      </c>
      <c r="L111" s="14" t="str">
        <v>B</v>
      </c>
      <c r="M111" s="14" t="str">
        <v>E</v>
      </c>
      <c r="N111" s="14" t="str">
        <v>J</v>
      </c>
    </row>
    <row r="112" spans="9:14" x14ac:dyDescent="0.25">
      <c r="I112" s="14">
        <v>0</v>
      </c>
      <c r="J112" s="14">
        <v>1436</v>
      </c>
      <c r="K112" s="14" t="str">
        <v>E</v>
      </c>
      <c r="L112" s="14" t="str">
        <v>C</v>
      </c>
      <c r="M112" s="14" t="str">
        <v>A</v>
      </c>
      <c r="N112" s="14" t="str">
        <v>G</v>
      </c>
    </row>
    <row r="113" spans="9:14" x14ac:dyDescent="0.25">
      <c r="I113" s="14">
        <v>0</v>
      </c>
      <c r="J113" s="14">
        <v>1450</v>
      </c>
      <c r="K113" s="14" t="str">
        <v>E</v>
      </c>
      <c r="L113" s="14" t="str">
        <v>C</v>
      </c>
      <c r="M113" s="14" t="str">
        <v>B</v>
      </c>
      <c r="N113" s="14" t="str">
        <v>H</v>
      </c>
    </row>
    <row r="114" spans="9:14" x14ac:dyDescent="0.25">
      <c r="I114" s="14">
        <v>0</v>
      </c>
      <c r="J114" s="14">
        <v>1464</v>
      </c>
      <c r="K114" s="14" t="str">
        <v>E</v>
      </c>
      <c r="L114" s="14" t="str">
        <v>C</v>
      </c>
      <c r="M114" s="14" t="str">
        <v>C</v>
      </c>
      <c r="N114" s="14" t="str">
        <v>I</v>
      </c>
    </row>
    <row r="115" spans="9:14" x14ac:dyDescent="0.25">
      <c r="I115" s="14">
        <v>0</v>
      </c>
      <c r="J115" s="14">
        <v>1478</v>
      </c>
      <c r="K115" s="14" t="str">
        <v>E</v>
      </c>
      <c r="L115" s="14" t="str">
        <v>C</v>
      </c>
      <c r="M115" s="14" t="str">
        <v>D</v>
      </c>
      <c r="N115" s="14" t="str">
        <v>J</v>
      </c>
    </row>
    <row r="116" spans="9:14" x14ac:dyDescent="0.25">
      <c r="I116" s="14">
        <v>0</v>
      </c>
      <c r="J116" s="14">
        <v>1492</v>
      </c>
      <c r="K116" s="14" t="str">
        <v>E</v>
      </c>
      <c r="L116" s="14" t="str">
        <v>C</v>
      </c>
      <c r="M116" s="14" t="str">
        <v>E</v>
      </c>
      <c r="N116" s="14" t="str">
        <v>K</v>
      </c>
    </row>
    <row r="117" spans="9:14" x14ac:dyDescent="0.25">
      <c r="I117" s="14">
        <v>0</v>
      </c>
      <c r="J117" s="14">
        <v>1502</v>
      </c>
      <c r="K117" s="14" t="str">
        <v>E</v>
      </c>
      <c r="L117" s="14" t="str">
        <v>D</v>
      </c>
      <c r="M117" s="14" t="str">
        <v>A</v>
      </c>
      <c r="N117" s="14" t="str">
        <v>H</v>
      </c>
    </row>
    <row r="118" spans="9:14" x14ac:dyDescent="0.25">
      <c r="I118" s="14">
        <v>0</v>
      </c>
      <c r="J118" s="14">
        <v>1516</v>
      </c>
      <c r="K118" s="14" t="str">
        <v>E</v>
      </c>
      <c r="L118" s="14" t="str">
        <v>D</v>
      </c>
      <c r="M118" s="14" t="str">
        <v>B</v>
      </c>
      <c r="N118" s="14" t="str">
        <v>I</v>
      </c>
    </row>
    <row r="119" spans="9:14" x14ac:dyDescent="0.25">
      <c r="I119" s="14">
        <v>0</v>
      </c>
      <c r="J119" s="14">
        <v>1530</v>
      </c>
      <c r="K119" s="14" t="str">
        <v>E</v>
      </c>
      <c r="L119" s="14" t="str">
        <v>D</v>
      </c>
      <c r="M119" s="14" t="str">
        <v>C</v>
      </c>
      <c r="N119" s="14" t="str">
        <v>J</v>
      </c>
    </row>
    <row r="120" spans="9:14" x14ac:dyDescent="0.25">
      <c r="I120" s="14">
        <v>41</v>
      </c>
      <c r="J120" s="14">
        <v>1544</v>
      </c>
      <c r="K120" s="14" t="str">
        <v>E</v>
      </c>
      <c r="L120" s="14" t="str">
        <v>D</v>
      </c>
      <c r="M120" s="14" t="str">
        <v>D</v>
      </c>
      <c r="N120" s="14" t="str">
        <v>K</v>
      </c>
    </row>
    <row r="121" spans="9:14" x14ac:dyDescent="0.25">
      <c r="I121" s="14">
        <v>0</v>
      </c>
      <c r="J121" s="14">
        <v>1558</v>
      </c>
      <c r="K121" s="14" t="str">
        <v>E</v>
      </c>
      <c r="L121" s="14" t="str">
        <v>D</v>
      </c>
      <c r="M121" s="14" t="str">
        <v>E</v>
      </c>
      <c r="N121" s="14" t="str">
        <v>L</v>
      </c>
    </row>
    <row r="122" spans="9:14" x14ac:dyDescent="0.25">
      <c r="I122" s="14">
        <v>0</v>
      </c>
      <c r="J122" s="14">
        <v>1568</v>
      </c>
      <c r="K122" s="14" t="str">
        <v>E</v>
      </c>
      <c r="L122" s="14" t="str">
        <v>E</v>
      </c>
      <c r="M122" s="14" t="str">
        <v>A</v>
      </c>
      <c r="N122" s="14" t="str">
        <v>I</v>
      </c>
    </row>
    <row r="123" spans="9:14" x14ac:dyDescent="0.25">
      <c r="I123" s="14">
        <v>0</v>
      </c>
      <c r="J123" s="14">
        <v>1582</v>
      </c>
      <c r="K123" s="14" t="str">
        <v>E</v>
      </c>
      <c r="L123" s="14" t="str">
        <v>E</v>
      </c>
      <c r="M123" s="14" t="str">
        <v>B</v>
      </c>
      <c r="N123" s="14" t="str">
        <v>J</v>
      </c>
    </row>
    <row r="124" spans="9:14" x14ac:dyDescent="0.25">
      <c r="I124" s="14">
        <v>0</v>
      </c>
      <c r="J124" s="14">
        <v>1596</v>
      </c>
      <c r="K124" s="14" t="str">
        <v>E</v>
      </c>
      <c r="L124" s="14" t="str">
        <v>E</v>
      </c>
      <c r="M124" s="14" t="str">
        <v>C</v>
      </c>
      <c r="N124" s="14" t="str">
        <v>K</v>
      </c>
    </row>
    <row r="125" spans="9:14" x14ac:dyDescent="0.25">
      <c r="I125" s="14">
        <v>0</v>
      </c>
      <c r="J125" s="14">
        <v>1610</v>
      </c>
      <c r="K125" s="14" t="str">
        <v>E</v>
      </c>
      <c r="L125" s="14" t="str">
        <v>E</v>
      </c>
      <c r="M125" s="14" t="str">
        <v>D</v>
      </c>
      <c r="N125" s="14" t="str">
        <v>L</v>
      </c>
    </row>
    <row r="126" spans="9:14" x14ac:dyDescent="0.25">
      <c r="I126" s="14">
        <v>0</v>
      </c>
      <c r="J126" s="14">
        <v>1624</v>
      </c>
      <c r="K126" s="14" t="str">
        <v>E</v>
      </c>
      <c r="L126" s="14" t="str">
        <v>E</v>
      </c>
      <c r="M126" s="14" t="str">
        <v>E</v>
      </c>
      <c r="N126" s="14" t="str">
        <v>M</v>
      </c>
    </row>
  </sheetData>
  <autoFilter ref="J1:N626" xr:uid="{2A857DF3-92DB-40A9-BB89-D266C93CB73F}"/>
  <mergeCells count="1">
    <mergeCell ref="A1:E1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2C26F-1BD8-4611-850D-634FAD77361F}">
  <sheetPr codeName="Planilha12"/>
  <dimension ref="A1:N126"/>
  <sheetViews>
    <sheetView workbookViewId="0">
      <selection activeCell="E15" sqref="E15"/>
    </sheetView>
  </sheetViews>
  <sheetFormatPr defaultRowHeight="15" x14ac:dyDescent="0.25"/>
  <cols>
    <col min="1" max="5" width="9.140625" style="14"/>
    <col min="6" max="6" width="12.140625" style="14" bestFit="1" customWidth="1"/>
    <col min="7" max="7" width="20" style="14" bestFit="1" customWidth="1"/>
    <col min="8" max="8" width="9.140625" style="14"/>
    <col min="9" max="9" width="20.140625" style="14" bestFit="1" customWidth="1"/>
    <col min="10" max="14" width="9.140625" style="14"/>
    <col min="15" max="18" width="9.140625" style="14" customWidth="1"/>
    <col min="19" max="16384" width="9.140625" style="14"/>
  </cols>
  <sheetData>
    <row r="1" spans="1:14" x14ac:dyDescent="0.25">
      <c r="A1" s="65" t="s">
        <v>31</v>
      </c>
      <c r="B1" s="65"/>
      <c r="C1" s="65"/>
      <c r="D1" s="65"/>
      <c r="E1" s="65"/>
      <c r="G1" s="14" t="s">
        <v>39</v>
      </c>
      <c r="I1" s="14" t="s">
        <v>37</v>
      </c>
      <c r="J1" s="14" t="s">
        <v>35</v>
      </c>
      <c r="K1" s="14" t="s">
        <v>19</v>
      </c>
      <c r="L1" s="14" t="s">
        <v>32</v>
      </c>
      <c r="M1" s="14" t="s">
        <v>33</v>
      </c>
      <c r="N1" s="14" t="s">
        <v>34</v>
      </c>
    </row>
    <row r="2" spans="1:14" x14ac:dyDescent="0.25">
      <c r="A2" s="14" t="s">
        <v>22</v>
      </c>
      <c r="B2" s="14" t="s">
        <v>19</v>
      </c>
      <c r="C2" s="14" t="s">
        <v>32</v>
      </c>
      <c r="D2" s="14" t="s">
        <v>33</v>
      </c>
      <c r="G2" s="14">
        <f>SUM(I:I)</f>
        <v>239</v>
      </c>
      <c r="I2" s="14">
        <v>0</v>
      </c>
      <c r="J2" s="14" cm="1">
        <f t="array" ref="J2:J126">_xlfn._xlws.FILTER(Tabela2[Comb],Tabela2[Status]="OK","ERRO")</f>
        <v>0</v>
      </c>
      <c r="K2" s="14" t="str" cm="1">
        <f t="array" ref="K2:K126">_xlfn._xlws.FILTER(Tabela2[OP],Tabela2[Status]="OK","ERRO")</f>
        <v>A</v>
      </c>
      <c r="L2" s="14" t="str" cm="1">
        <f t="array" ref="L2:L126">_xlfn._xlws.FILTER(Tabela2[BICO],Tabela2[Status]="OK","ERRO")</f>
        <v>A</v>
      </c>
      <c r="M2" s="14" t="str" cm="1">
        <f t="array" ref="M2:M126">_xlfn._xlws.FILTER(Tabela2[SPACER],Tabela2[Status]="OK","ERRO")</f>
        <v>A</v>
      </c>
      <c r="N2" s="14" t="str" cm="1">
        <f t="array" ref="N2:N126">_xlfn._xlws.FILTER(Tabela2[AGULHA],Tabela2[Status]="OK","ERRO")</f>
        <v>A</v>
      </c>
    </row>
    <row r="3" spans="1:14" x14ac:dyDescent="0.25">
      <c r="A3" s="14" t="s">
        <v>8</v>
      </c>
      <c r="B3" s="6">
        <f>Simluação!S31</f>
        <v>41</v>
      </c>
      <c r="C3" s="14">
        <f>'Lote 8'!C3-'Lote 8'!C10</f>
        <v>0</v>
      </c>
      <c r="D3" s="14">
        <f>'Lote 8'!D3-'Lote 8'!D10</f>
        <v>0</v>
      </c>
      <c r="G3" s="14">
        <f>G2-SUM(B3:B7)</f>
        <v>0</v>
      </c>
      <c r="I3" s="14">
        <v>0</v>
      </c>
      <c r="J3" s="14">
        <v>14</v>
      </c>
      <c r="K3" s="14" t="str">
        <v>A</v>
      </c>
      <c r="L3" s="14" t="str">
        <v>A</v>
      </c>
      <c r="M3" s="14" t="str">
        <v>B</v>
      </c>
      <c r="N3" s="14" t="str">
        <v>B</v>
      </c>
    </row>
    <row r="4" spans="1:14" x14ac:dyDescent="0.25">
      <c r="A4" s="14" t="s">
        <v>9</v>
      </c>
      <c r="B4" s="6">
        <f>Simluação!S32</f>
        <v>45</v>
      </c>
      <c r="C4" s="14">
        <f>'Lote 8'!C4-'Lote 8'!C11</f>
        <v>0</v>
      </c>
      <c r="D4" s="14">
        <f>'Lote 8'!D4-'Lote 8'!D11</f>
        <v>0</v>
      </c>
      <c r="I4" s="14">
        <v>0</v>
      </c>
      <c r="J4" s="14">
        <v>28</v>
      </c>
      <c r="K4" s="14" t="str">
        <v>A</v>
      </c>
      <c r="L4" s="14" t="str">
        <v>A</v>
      </c>
      <c r="M4" s="14" t="str">
        <v>C</v>
      </c>
      <c r="N4" s="14" t="str">
        <v>C</v>
      </c>
    </row>
    <row r="5" spans="1:14" x14ac:dyDescent="0.25">
      <c r="A5" s="14" t="s">
        <v>10</v>
      </c>
      <c r="B5" s="6">
        <f>Simluação!S33</f>
        <v>50</v>
      </c>
      <c r="C5" s="14">
        <f>'Lote 8'!C5-'Lote 8'!C12</f>
        <v>0</v>
      </c>
      <c r="D5" s="14">
        <f>'Lote 8'!D5-'Lote 8'!D12</f>
        <v>0</v>
      </c>
      <c r="I5" s="14">
        <v>0</v>
      </c>
      <c r="J5" s="14">
        <v>42</v>
      </c>
      <c r="K5" s="14" t="str">
        <v>A</v>
      </c>
      <c r="L5" s="14" t="str">
        <v>A</v>
      </c>
      <c r="M5" s="14" t="str">
        <v>D</v>
      </c>
      <c r="N5" s="14" t="str">
        <v>D</v>
      </c>
    </row>
    <row r="6" spans="1:14" x14ac:dyDescent="0.25">
      <c r="A6" s="14" t="s">
        <v>11</v>
      </c>
      <c r="B6" s="6">
        <f>Simluação!S34</f>
        <v>50</v>
      </c>
      <c r="C6" s="14">
        <f>'Lote 8'!C6-'Lote 8'!C13</f>
        <v>64</v>
      </c>
      <c r="D6" s="14">
        <f>'Lote 8'!D6-'Lote 8'!D13</f>
        <v>46</v>
      </c>
      <c r="I6" s="14">
        <v>0</v>
      </c>
      <c r="J6" s="14">
        <v>56</v>
      </c>
      <c r="K6" s="14" t="str">
        <v>A</v>
      </c>
      <c r="L6" s="14" t="str">
        <v>A</v>
      </c>
      <c r="M6" s="14" t="str">
        <v>E</v>
      </c>
      <c r="N6" s="14" t="str">
        <v>E</v>
      </c>
    </row>
    <row r="7" spans="1:14" x14ac:dyDescent="0.25">
      <c r="A7" s="14" t="s">
        <v>13</v>
      </c>
      <c r="B7" s="6">
        <f>Simluação!S35</f>
        <v>53</v>
      </c>
      <c r="C7" s="14">
        <f>'Lote 8'!C7-'Lote 8'!C14</f>
        <v>404</v>
      </c>
      <c r="D7" s="14">
        <f>'Lote 8'!D7-'Lote 8'!D14</f>
        <v>422</v>
      </c>
      <c r="I7" s="14">
        <v>0</v>
      </c>
      <c r="J7" s="14">
        <v>66</v>
      </c>
      <c r="K7" s="14" t="str">
        <v>A</v>
      </c>
      <c r="L7" s="14" t="str">
        <v>B</v>
      </c>
      <c r="M7" s="14" t="str">
        <v>A</v>
      </c>
      <c r="N7" s="14" t="str">
        <v>B</v>
      </c>
    </row>
    <row r="8" spans="1:14" x14ac:dyDescent="0.25">
      <c r="I8" s="14">
        <v>0</v>
      </c>
      <c r="J8" s="14">
        <v>80</v>
      </c>
      <c r="K8" s="14" t="str">
        <v>A</v>
      </c>
      <c r="L8" s="14" t="str">
        <v>B</v>
      </c>
      <c r="M8" s="14" t="str">
        <v>B</v>
      </c>
      <c r="N8" s="14" t="str">
        <v>C</v>
      </c>
    </row>
    <row r="9" spans="1:14" x14ac:dyDescent="0.25">
      <c r="A9" s="14" t="s">
        <v>38</v>
      </c>
      <c r="I9" s="14">
        <v>0</v>
      </c>
      <c r="J9" s="14">
        <v>94</v>
      </c>
      <c r="K9" s="14" t="str">
        <v>A</v>
      </c>
      <c r="L9" s="14" t="str">
        <v>B</v>
      </c>
      <c r="M9" s="14" t="str">
        <v>C</v>
      </c>
      <c r="N9" s="14" t="str">
        <v>D</v>
      </c>
    </row>
    <row r="10" spans="1:14" x14ac:dyDescent="0.25">
      <c r="A10" s="14" t="s">
        <v>8</v>
      </c>
      <c r="B10" s="14">
        <f t="shared" ref="B10:B22" si="0">SUMIF($K:$K,A10,$I:$I)</f>
        <v>41</v>
      </c>
      <c r="C10" s="14">
        <f t="shared" ref="C10:C22" si="1">SUMIF($L:$L,A10,$I:$I)</f>
        <v>0</v>
      </c>
      <c r="D10" s="14">
        <f t="shared" ref="D10:D22" si="2">SUMIF($M:$M,A10,$I:$I)</f>
        <v>0</v>
      </c>
      <c r="E10" s="14">
        <f t="shared" ref="E10:E22" si="3">SUMIF($N:$N,A10,$I:$I)</f>
        <v>0</v>
      </c>
      <c r="F10" s="14">
        <v>-6</v>
      </c>
      <c r="I10" s="14">
        <v>0</v>
      </c>
      <c r="J10" s="14">
        <v>108</v>
      </c>
      <c r="K10" s="14" t="str">
        <v>A</v>
      </c>
      <c r="L10" s="14" t="str">
        <v>B</v>
      </c>
      <c r="M10" s="14" t="str">
        <v>D</v>
      </c>
      <c r="N10" s="14" t="str">
        <v>E</v>
      </c>
    </row>
    <row r="11" spans="1:14" x14ac:dyDescent="0.25">
      <c r="A11" s="14" t="s">
        <v>9</v>
      </c>
      <c r="B11" s="14">
        <f t="shared" si="0"/>
        <v>45</v>
      </c>
      <c r="C11" s="14">
        <f t="shared" si="1"/>
        <v>0</v>
      </c>
      <c r="D11" s="14">
        <f t="shared" si="2"/>
        <v>0</v>
      </c>
      <c r="E11" s="14">
        <f t="shared" si="3"/>
        <v>0</v>
      </c>
      <c r="F11" s="14">
        <v>-5</v>
      </c>
      <c r="I11" s="14">
        <v>0</v>
      </c>
      <c r="J11" s="14">
        <v>122</v>
      </c>
      <c r="K11" s="14" t="str">
        <v>A</v>
      </c>
      <c r="L11" s="14" t="str">
        <v>B</v>
      </c>
      <c r="M11" s="14" t="str">
        <v>E</v>
      </c>
      <c r="N11" s="14" t="str">
        <v>F</v>
      </c>
    </row>
    <row r="12" spans="1:14" x14ac:dyDescent="0.25">
      <c r="A12" s="14" t="s">
        <v>10</v>
      </c>
      <c r="B12" s="14">
        <f t="shared" si="0"/>
        <v>50</v>
      </c>
      <c r="C12" s="14">
        <f t="shared" si="1"/>
        <v>0</v>
      </c>
      <c r="D12" s="14">
        <f t="shared" si="2"/>
        <v>0</v>
      </c>
      <c r="E12" s="14">
        <f t="shared" si="3"/>
        <v>0</v>
      </c>
      <c r="F12" s="14">
        <v>-4</v>
      </c>
      <c r="I12" s="14">
        <v>0</v>
      </c>
      <c r="J12" s="14">
        <v>132</v>
      </c>
      <c r="K12" s="14" t="str">
        <v>A</v>
      </c>
      <c r="L12" s="14" t="str">
        <v>C</v>
      </c>
      <c r="M12" s="14" t="str">
        <v>A</v>
      </c>
      <c r="N12" s="14" t="str">
        <v>C</v>
      </c>
    </row>
    <row r="13" spans="1:14" x14ac:dyDescent="0.25">
      <c r="A13" s="14" t="s">
        <v>11</v>
      </c>
      <c r="B13" s="14">
        <f t="shared" si="0"/>
        <v>50</v>
      </c>
      <c r="C13" s="14">
        <f t="shared" si="1"/>
        <v>64</v>
      </c>
      <c r="D13" s="14">
        <f t="shared" si="2"/>
        <v>45</v>
      </c>
      <c r="E13" s="14">
        <f t="shared" si="3"/>
        <v>0</v>
      </c>
      <c r="F13" s="14">
        <v>-3</v>
      </c>
      <c r="I13" s="14">
        <v>0</v>
      </c>
      <c r="J13" s="14">
        <v>146</v>
      </c>
      <c r="K13" s="14" t="str">
        <v>A</v>
      </c>
      <c r="L13" s="14" t="str">
        <v>C</v>
      </c>
      <c r="M13" s="14" t="str">
        <v>B</v>
      </c>
      <c r="N13" s="14" t="str">
        <v>D</v>
      </c>
    </row>
    <row r="14" spans="1:14" x14ac:dyDescent="0.25">
      <c r="A14" s="14" t="s">
        <v>13</v>
      </c>
      <c r="B14" s="14">
        <f t="shared" si="0"/>
        <v>53</v>
      </c>
      <c r="C14" s="14">
        <f t="shared" si="1"/>
        <v>175</v>
      </c>
      <c r="D14" s="14">
        <f t="shared" si="2"/>
        <v>194</v>
      </c>
      <c r="E14" s="14">
        <f t="shared" si="3"/>
        <v>0</v>
      </c>
      <c r="F14" s="14">
        <v>-2</v>
      </c>
      <c r="I14" s="14">
        <v>0</v>
      </c>
      <c r="J14" s="14">
        <v>160</v>
      </c>
      <c r="K14" s="14" t="str">
        <v>A</v>
      </c>
      <c r="L14" s="14" t="str">
        <v>C</v>
      </c>
      <c r="M14" s="14" t="str">
        <v>C</v>
      </c>
      <c r="N14" s="14" t="str">
        <v>E</v>
      </c>
    </row>
    <row r="15" spans="1:14" x14ac:dyDescent="0.25">
      <c r="A15" s="14" t="s">
        <v>12</v>
      </c>
      <c r="B15" s="14">
        <f t="shared" si="0"/>
        <v>0</v>
      </c>
      <c r="C15" s="14">
        <f t="shared" si="1"/>
        <v>0</v>
      </c>
      <c r="D15" s="14">
        <f t="shared" si="2"/>
        <v>0</v>
      </c>
      <c r="E15" s="14">
        <f t="shared" si="3"/>
        <v>0</v>
      </c>
      <c r="F15" s="14">
        <v>-1</v>
      </c>
      <c r="I15" s="14">
        <v>0</v>
      </c>
      <c r="J15" s="14">
        <v>174</v>
      </c>
      <c r="K15" s="14" t="str">
        <v>A</v>
      </c>
      <c r="L15" s="14" t="str">
        <v>C</v>
      </c>
      <c r="M15" s="14" t="str">
        <v>D</v>
      </c>
      <c r="N15" s="14" t="str">
        <v>F</v>
      </c>
    </row>
    <row r="16" spans="1:14" x14ac:dyDescent="0.25">
      <c r="A16" s="14" t="s">
        <v>14</v>
      </c>
      <c r="B16" s="14">
        <f t="shared" si="0"/>
        <v>0</v>
      </c>
      <c r="C16" s="14">
        <f t="shared" si="1"/>
        <v>0</v>
      </c>
      <c r="D16" s="14">
        <f t="shared" si="2"/>
        <v>0</v>
      </c>
      <c r="E16" s="14">
        <f t="shared" si="3"/>
        <v>0</v>
      </c>
      <c r="F16" s="14">
        <v>0</v>
      </c>
      <c r="I16" s="14">
        <v>0</v>
      </c>
      <c r="J16" s="14">
        <v>188</v>
      </c>
      <c r="K16" s="14" t="str">
        <v>A</v>
      </c>
      <c r="L16" s="14" t="str">
        <v>C</v>
      </c>
      <c r="M16" s="14" t="str">
        <v>E</v>
      </c>
      <c r="N16" s="14" t="str">
        <v>G</v>
      </c>
    </row>
    <row r="17" spans="1:14" x14ac:dyDescent="0.25">
      <c r="A17" s="14" t="s">
        <v>44</v>
      </c>
      <c r="B17" s="14">
        <f t="shared" si="0"/>
        <v>0</v>
      </c>
      <c r="C17" s="14">
        <f t="shared" si="1"/>
        <v>0</v>
      </c>
      <c r="D17" s="14">
        <f t="shared" si="2"/>
        <v>0</v>
      </c>
      <c r="E17" s="14">
        <f t="shared" si="3"/>
        <v>41</v>
      </c>
      <c r="F17" s="14">
        <v>1</v>
      </c>
      <c r="I17" s="14">
        <v>0</v>
      </c>
      <c r="J17" s="14">
        <v>198</v>
      </c>
      <c r="K17" s="14" t="str">
        <v>A</v>
      </c>
      <c r="L17" s="14" t="str">
        <v>D</v>
      </c>
      <c r="M17" s="14" t="str">
        <v>A</v>
      </c>
      <c r="N17" s="14" t="str">
        <v>D</v>
      </c>
    </row>
    <row r="18" spans="1:14" x14ac:dyDescent="0.25">
      <c r="A18" s="14" t="s">
        <v>45</v>
      </c>
      <c r="B18" s="14">
        <f t="shared" si="0"/>
        <v>0</v>
      </c>
      <c r="C18" s="14">
        <f t="shared" si="1"/>
        <v>0</v>
      </c>
      <c r="D18" s="14">
        <f t="shared" si="2"/>
        <v>0</v>
      </c>
      <c r="E18" s="14">
        <f t="shared" si="3"/>
        <v>0</v>
      </c>
      <c r="F18" s="14">
        <v>2</v>
      </c>
      <c r="I18" s="14">
        <v>0</v>
      </c>
      <c r="J18" s="14">
        <v>212</v>
      </c>
      <c r="K18" s="14" t="str">
        <v>A</v>
      </c>
      <c r="L18" s="14" t="str">
        <v>D</v>
      </c>
      <c r="M18" s="14" t="str">
        <v>B</v>
      </c>
      <c r="N18" s="14" t="str">
        <v>E</v>
      </c>
    </row>
    <row r="19" spans="1:14" x14ac:dyDescent="0.25">
      <c r="A19" s="14" t="s">
        <v>46</v>
      </c>
      <c r="B19" s="14">
        <f t="shared" si="0"/>
        <v>0</v>
      </c>
      <c r="C19" s="14">
        <f t="shared" si="1"/>
        <v>0</v>
      </c>
      <c r="D19" s="14">
        <f t="shared" si="2"/>
        <v>0</v>
      </c>
      <c r="E19" s="14">
        <f t="shared" si="3"/>
        <v>45</v>
      </c>
      <c r="F19" s="14">
        <v>3</v>
      </c>
      <c r="I19" s="14">
        <v>0</v>
      </c>
      <c r="J19" s="14">
        <v>226</v>
      </c>
      <c r="K19" s="14" t="str">
        <v>A</v>
      </c>
      <c r="L19" s="14" t="str">
        <v>D</v>
      </c>
      <c r="M19" s="14" t="str">
        <v>C</v>
      </c>
      <c r="N19" s="14" t="str">
        <v>F</v>
      </c>
    </row>
    <row r="20" spans="1:14" x14ac:dyDescent="0.25">
      <c r="A20" s="14" t="s">
        <v>47</v>
      </c>
      <c r="B20" s="14">
        <f t="shared" si="0"/>
        <v>0</v>
      </c>
      <c r="C20" s="14">
        <f t="shared" si="1"/>
        <v>0</v>
      </c>
      <c r="D20" s="14">
        <f t="shared" si="2"/>
        <v>0</v>
      </c>
      <c r="E20" s="14">
        <f t="shared" si="3"/>
        <v>84</v>
      </c>
      <c r="F20" s="14">
        <v>4</v>
      </c>
      <c r="I20" s="14">
        <v>0</v>
      </c>
      <c r="J20" s="14">
        <v>240</v>
      </c>
      <c r="K20" s="14" t="str">
        <v>A</v>
      </c>
      <c r="L20" s="14" t="str">
        <v>D</v>
      </c>
      <c r="M20" s="14" t="str">
        <v>D</v>
      </c>
      <c r="N20" s="14" t="str">
        <v>G</v>
      </c>
    </row>
    <row r="21" spans="1:14" x14ac:dyDescent="0.25">
      <c r="A21" s="14" t="s">
        <v>48</v>
      </c>
      <c r="B21" s="14">
        <f t="shared" si="0"/>
        <v>0</v>
      </c>
      <c r="C21" s="14">
        <f t="shared" si="1"/>
        <v>0</v>
      </c>
      <c r="D21" s="14">
        <f t="shared" si="2"/>
        <v>0</v>
      </c>
      <c r="E21" s="14">
        <f t="shared" si="3"/>
        <v>50</v>
      </c>
      <c r="F21" s="14">
        <v>5</v>
      </c>
      <c r="I21" s="14">
        <v>30</v>
      </c>
      <c r="J21" s="14">
        <v>254</v>
      </c>
      <c r="K21" s="14" t="str">
        <v>A</v>
      </c>
      <c r="L21" s="14" t="str">
        <v>D</v>
      </c>
      <c r="M21" s="14" t="str">
        <v>E</v>
      </c>
      <c r="N21" s="14" t="str">
        <v>H</v>
      </c>
    </row>
    <row r="22" spans="1:14" x14ac:dyDescent="0.25">
      <c r="A22" s="14" t="s">
        <v>49</v>
      </c>
      <c r="B22" s="14">
        <f t="shared" si="0"/>
        <v>0</v>
      </c>
      <c r="C22" s="14">
        <f t="shared" si="1"/>
        <v>0</v>
      </c>
      <c r="D22" s="14">
        <f t="shared" si="2"/>
        <v>0</v>
      </c>
      <c r="E22" s="14">
        <f t="shared" si="3"/>
        <v>19</v>
      </c>
      <c r="F22" s="14">
        <v>6</v>
      </c>
      <c r="I22" s="14">
        <v>0</v>
      </c>
      <c r="J22" s="14">
        <v>264</v>
      </c>
      <c r="K22" s="14" t="str">
        <v>A</v>
      </c>
      <c r="L22" s="14" t="str">
        <v>E</v>
      </c>
      <c r="M22" s="14" t="str">
        <v>A</v>
      </c>
      <c r="N22" s="14" t="str">
        <v>E</v>
      </c>
    </row>
    <row r="23" spans="1:14" x14ac:dyDescent="0.25">
      <c r="B23" s="14">
        <f>SUM(B10:B22)</f>
        <v>239</v>
      </c>
      <c r="C23" s="14">
        <f>SUM(C10:C22)</f>
        <v>239</v>
      </c>
      <c r="D23" s="14">
        <f>SUM(D10:D22)</f>
        <v>239</v>
      </c>
      <c r="E23" s="14">
        <f>SUM(E10:E22)</f>
        <v>239</v>
      </c>
      <c r="I23" s="14">
        <v>0</v>
      </c>
      <c r="J23" s="14">
        <v>278</v>
      </c>
      <c r="K23" s="14" t="str">
        <v>A</v>
      </c>
      <c r="L23" s="14" t="str">
        <v>E</v>
      </c>
      <c r="M23" s="14" t="str">
        <v>B</v>
      </c>
      <c r="N23" s="14" t="str">
        <v>F</v>
      </c>
    </row>
    <row r="24" spans="1:14" x14ac:dyDescent="0.25">
      <c r="I24" s="14">
        <v>0</v>
      </c>
      <c r="J24" s="14">
        <v>292</v>
      </c>
      <c r="K24" s="14" t="str">
        <v>A</v>
      </c>
      <c r="L24" s="14" t="str">
        <v>E</v>
      </c>
      <c r="M24" s="14" t="str">
        <v>C</v>
      </c>
      <c r="N24" s="14" t="str">
        <v>G</v>
      </c>
    </row>
    <row r="25" spans="1:14" x14ac:dyDescent="0.25">
      <c r="I25" s="14">
        <v>11</v>
      </c>
      <c r="J25" s="14">
        <v>306</v>
      </c>
      <c r="K25" s="14" t="str">
        <v>A</v>
      </c>
      <c r="L25" s="14" t="str">
        <v>E</v>
      </c>
      <c r="M25" s="14" t="str">
        <v>D</v>
      </c>
      <c r="N25" s="14" t="str">
        <v>H</v>
      </c>
    </row>
    <row r="26" spans="1:14" x14ac:dyDescent="0.25">
      <c r="I26" s="14">
        <v>0</v>
      </c>
      <c r="J26" s="14">
        <v>320</v>
      </c>
      <c r="K26" s="14" t="str">
        <v>A</v>
      </c>
      <c r="L26" s="14" t="str">
        <v>E</v>
      </c>
      <c r="M26" s="14" t="str">
        <v>E</v>
      </c>
      <c r="N26" s="14" t="str">
        <v>I</v>
      </c>
    </row>
    <row r="27" spans="1:14" x14ac:dyDescent="0.25">
      <c r="I27" s="14">
        <v>0</v>
      </c>
      <c r="J27" s="14">
        <v>326</v>
      </c>
      <c r="K27" s="14" t="str">
        <v>B</v>
      </c>
      <c r="L27" s="14" t="str">
        <v>A</v>
      </c>
      <c r="M27" s="14" t="str">
        <v>A</v>
      </c>
      <c r="N27" s="14" t="str">
        <v>B</v>
      </c>
    </row>
    <row r="28" spans="1:14" x14ac:dyDescent="0.25">
      <c r="I28" s="14">
        <v>0</v>
      </c>
      <c r="J28" s="14">
        <v>340</v>
      </c>
      <c r="K28" s="14" t="str">
        <v>B</v>
      </c>
      <c r="L28" s="14" t="str">
        <v>A</v>
      </c>
      <c r="M28" s="14" t="str">
        <v>B</v>
      </c>
      <c r="N28" s="14" t="str">
        <v>C</v>
      </c>
    </row>
    <row r="29" spans="1:14" x14ac:dyDescent="0.25">
      <c r="I29" s="14">
        <v>0</v>
      </c>
      <c r="J29" s="14">
        <v>354</v>
      </c>
      <c r="K29" s="14" t="str">
        <v>B</v>
      </c>
      <c r="L29" s="14" t="str">
        <v>A</v>
      </c>
      <c r="M29" s="14" t="str">
        <v>C</v>
      </c>
      <c r="N29" s="14" t="str">
        <v>D</v>
      </c>
    </row>
    <row r="30" spans="1:14" x14ac:dyDescent="0.25">
      <c r="I30" s="14">
        <v>0</v>
      </c>
      <c r="J30" s="14">
        <v>368</v>
      </c>
      <c r="K30" s="14" t="str">
        <v>B</v>
      </c>
      <c r="L30" s="14" t="str">
        <v>A</v>
      </c>
      <c r="M30" s="14" t="str">
        <v>D</v>
      </c>
      <c r="N30" s="14" t="str">
        <v>E</v>
      </c>
    </row>
    <row r="31" spans="1:14" x14ac:dyDescent="0.25">
      <c r="I31" s="14">
        <v>0</v>
      </c>
      <c r="J31" s="14">
        <v>382</v>
      </c>
      <c r="K31" s="14" t="str">
        <v>B</v>
      </c>
      <c r="L31" s="14" t="str">
        <v>A</v>
      </c>
      <c r="M31" s="14" t="str">
        <v>E</v>
      </c>
      <c r="N31" s="14" t="str">
        <v>F</v>
      </c>
    </row>
    <row r="32" spans="1:14" x14ac:dyDescent="0.25">
      <c r="I32" s="14">
        <v>0</v>
      </c>
      <c r="J32" s="14">
        <v>392</v>
      </c>
      <c r="K32" s="14" t="str">
        <v>B</v>
      </c>
      <c r="L32" s="14" t="str">
        <v>B</v>
      </c>
      <c r="M32" s="14" t="str">
        <v>A</v>
      </c>
      <c r="N32" s="14" t="str">
        <v>C</v>
      </c>
    </row>
    <row r="33" spans="9:14" x14ac:dyDescent="0.25">
      <c r="I33" s="14">
        <v>0</v>
      </c>
      <c r="J33" s="14">
        <v>406</v>
      </c>
      <c r="K33" s="14" t="str">
        <v>B</v>
      </c>
      <c r="L33" s="14" t="str">
        <v>B</v>
      </c>
      <c r="M33" s="14" t="str">
        <v>B</v>
      </c>
      <c r="N33" s="14" t="str">
        <v>D</v>
      </c>
    </row>
    <row r="34" spans="9:14" x14ac:dyDescent="0.25">
      <c r="I34" s="14">
        <v>0</v>
      </c>
      <c r="J34" s="14">
        <v>420</v>
      </c>
      <c r="K34" s="14" t="str">
        <v>B</v>
      </c>
      <c r="L34" s="14" t="str">
        <v>B</v>
      </c>
      <c r="M34" s="14" t="str">
        <v>C</v>
      </c>
      <c r="N34" s="14" t="str">
        <v>E</v>
      </c>
    </row>
    <row r="35" spans="9:14" x14ac:dyDescent="0.25">
      <c r="I35" s="14">
        <v>0</v>
      </c>
      <c r="J35" s="14">
        <v>434</v>
      </c>
      <c r="K35" s="14" t="str">
        <v>B</v>
      </c>
      <c r="L35" s="14" t="str">
        <v>B</v>
      </c>
      <c r="M35" s="14" t="str">
        <v>D</v>
      </c>
      <c r="N35" s="14" t="str">
        <v>F</v>
      </c>
    </row>
    <row r="36" spans="9:14" x14ac:dyDescent="0.25">
      <c r="I36" s="14">
        <v>0</v>
      </c>
      <c r="J36" s="14">
        <v>448</v>
      </c>
      <c r="K36" s="14" t="str">
        <v>B</v>
      </c>
      <c r="L36" s="14" t="str">
        <v>B</v>
      </c>
      <c r="M36" s="14" t="str">
        <v>E</v>
      </c>
      <c r="N36" s="14" t="str">
        <v>G</v>
      </c>
    </row>
    <row r="37" spans="9:14" x14ac:dyDescent="0.25">
      <c r="I37" s="14">
        <v>0</v>
      </c>
      <c r="J37" s="14">
        <v>458</v>
      </c>
      <c r="K37" s="14" t="str">
        <v>B</v>
      </c>
      <c r="L37" s="14" t="str">
        <v>C</v>
      </c>
      <c r="M37" s="14" t="str">
        <v>A</v>
      </c>
      <c r="N37" s="14" t="str">
        <v>D</v>
      </c>
    </row>
    <row r="38" spans="9:14" x14ac:dyDescent="0.25">
      <c r="I38" s="14">
        <v>0</v>
      </c>
      <c r="J38" s="14">
        <v>472</v>
      </c>
      <c r="K38" s="14" t="str">
        <v>B</v>
      </c>
      <c r="L38" s="14" t="str">
        <v>C</v>
      </c>
      <c r="M38" s="14" t="str">
        <v>B</v>
      </c>
      <c r="N38" s="14" t="str">
        <v>E</v>
      </c>
    </row>
    <row r="39" spans="9:14" x14ac:dyDescent="0.25">
      <c r="I39" s="14">
        <v>0</v>
      </c>
      <c r="J39" s="14">
        <v>486</v>
      </c>
      <c r="K39" s="14" t="str">
        <v>B</v>
      </c>
      <c r="L39" s="14" t="str">
        <v>C</v>
      </c>
      <c r="M39" s="14" t="str">
        <v>C</v>
      </c>
      <c r="N39" s="14" t="str">
        <v>F</v>
      </c>
    </row>
    <row r="40" spans="9:14" x14ac:dyDescent="0.25">
      <c r="I40" s="14">
        <v>0</v>
      </c>
      <c r="J40" s="14">
        <v>500</v>
      </c>
      <c r="K40" s="14" t="str">
        <v>B</v>
      </c>
      <c r="L40" s="14" t="str">
        <v>C</v>
      </c>
      <c r="M40" s="14" t="str">
        <v>D</v>
      </c>
      <c r="N40" s="14" t="str">
        <v>G</v>
      </c>
    </row>
    <row r="41" spans="9:14" x14ac:dyDescent="0.25">
      <c r="I41" s="14">
        <v>0</v>
      </c>
      <c r="J41" s="14">
        <v>514</v>
      </c>
      <c r="K41" s="14" t="str">
        <v>B</v>
      </c>
      <c r="L41" s="14" t="str">
        <v>C</v>
      </c>
      <c r="M41" s="14" t="str">
        <v>E</v>
      </c>
      <c r="N41" s="14" t="str">
        <v>H</v>
      </c>
    </row>
    <row r="42" spans="9:14" x14ac:dyDescent="0.25">
      <c r="I42" s="14">
        <v>0</v>
      </c>
      <c r="J42" s="14">
        <v>524</v>
      </c>
      <c r="K42" s="14" t="str">
        <v>B</v>
      </c>
      <c r="L42" s="14" t="str">
        <v>D</v>
      </c>
      <c r="M42" s="14" t="str">
        <v>A</v>
      </c>
      <c r="N42" s="14" t="str">
        <v>E</v>
      </c>
    </row>
    <row r="43" spans="9:14" x14ac:dyDescent="0.25">
      <c r="I43" s="14">
        <v>0</v>
      </c>
      <c r="J43" s="14">
        <v>538</v>
      </c>
      <c r="K43" s="14" t="str">
        <v>B</v>
      </c>
      <c r="L43" s="14" t="str">
        <v>D</v>
      </c>
      <c r="M43" s="14" t="str">
        <v>B</v>
      </c>
      <c r="N43" s="14" t="str">
        <v>F</v>
      </c>
    </row>
    <row r="44" spans="9:14" x14ac:dyDescent="0.25">
      <c r="I44" s="14">
        <v>0</v>
      </c>
      <c r="J44" s="14">
        <v>552</v>
      </c>
      <c r="K44" s="14" t="str">
        <v>B</v>
      </c>
      <c r="L44" s="14" t="str">
        <v>D</v>
      </c>
      <c r="M44" s="14" t="str">
        <v>C</v>
      </c>
      <c r="N44" s="14" t="str">
        <v>G</v>
      </c>
    </row>
    <row r="45" spans="9:14" x14ac:dyDescent="0.25">
      <c r="I45" s="14">
        <v>0</v>
      </c>
      <c r="J45" s="14">
        <v>566</v>
      </c>
      <c r="K45" s="14" t="str">
        <v>B</v>
      </c>
      <c r="L45" s="14" t="str">
        <v>D</v>
      </c>
      <c r="M45" s="14" t="str">
        <v>D</v>
      </c>
      <c r="N45" s="14" t="str">
        <v>H</v>
      </c>
    </row>
    <row r="46" spans="9:14" x14ac:dyDescent="0.25">
      <c r="I46" s="14">
        <v>0</v>
      </c>
      <c r="J46" s="14">
        <v>580</v>
      </c>
      <c r="K46" s="14" t="str">
        <v>B</v>
      </c>
      <c r="L46" s="14" t="str">
        <v>D</v>
      </c>
      <c r="M46" s="14" t="str">
        <v>E</v>
      </c>
      <c r="N46" s="14" t="str">
        <v>I</v>
      </c>
    </row>
    <row r="47" spans="9:14" x14ac:dyDescent="0.25">
      <c r="I47" s="14">
        <v>0</v>
      </c>
      <c r="J47" s="14">
        <v>590</v>
      </c>
      <c r="K47" s="14" t="str">
        <v>B</v>
      </c>
      <c r="L47" s="14" t="str">
        <v>E</v>
      </c>
      <c r="M47" s="14" t="str">
        <v>A</v>
      </c>
      <c r="N47" s="14" t="str">
        <v>F</v>
      </c>
    </row>
    <row r="48" spans="9:14" x14ac:dyDescent="0.25">
      <c r="I48" s="14">
        <v>0</v>
      </c>
      <c r="J48" s="14">
        <v>604</v>
      </c>
      <c r="K48" s="14" t="str">
        <v>B</v>
      </c>
      <c r="L48" s="14" t="str">
        <v>E</v>
      </c>
      <c r="M48" s="14" t="str">
        <v>B</v>
      </c>
      <c r="N48" s="14" t="str">
        <v>G</v>
      </c>
    </row>
    <row r="49" spans="9:14" x14ac:dyDescent="0.25">
      <c r="I49" s="14">
        <v>0</v>
      </c>
      <c r="J49" s="14">
        <v>618</v>
      </c>
      <c r="K49" s="14" t="str">
        <v>B</v>
      </c>
      <c r="L49" s="14" t="str">
        <v>E</v>
      </c>
      <c r="M49" s="14" t="str">
        <v>C</v>
      </c>
      <c r="N49" s="14" t="str">
        <v>H</v>
      </c>
    </row>
    <row r="50" spans="9:14" x14ac:dyDescent="0.25">
      <c r="I50" s="14">
        <v>0</v>
      </c>
      <c r="J50" s="14">
        <v>632</v>
      </c>
      <c r="K50" s="14" t="str">
        <v>B</v>
      </c>
      <c r="L50" s="14" t="str">
        <v>E</v>
      </c>
      <c r="M50" s="14" t="str">
        <v>D</v>
      </c>
      <c r="N50" s="14" t="str">
        <v>I</v>
      </c>
    </row>
    <row r="51" spans="9:14" x14ac:dyDescent="0.25">
      <c r="I51" s="14">
        <v>45</v>
      </c>
      <c r="J51" s="14">
        <v>646</v>
      </c>
      <c r="K51" s="14" t="str">
        <v>B</v>
      </c>
      <c r="L51" s="14" t="str">
        <v>E</v>
      </c>
      <c r="M51" s="14" t="str">
        <v>E</v>
      </c>
      <c r="N51" s="14" t="str">
        <v>J</v>
      </c>
    </row>
    <row r="52" spans="9:14" x14ac:dyDescent="0.25">
      <c r="I52" s="14">
        <v>0</v>
      </c>
      <c r="J52" s="14">
        <v>652</v>
      </c>
      <c r="K52" s="14" t="str">
        <v>C</v>
      </c>
      <c r="L52" s="14" t="str">
        <v>A</v>
      </c>
      <c r="M52" s="14" t="str">
        <v>A</v>
      </c>
      <c r="N52" s="14" t="str">
        <v>C</v>
      </c>
    </row>
    <row r="53" spans="9:14" x14ac:dyDescent="0.25">
      <c r="I53" s="14">
        <v>0</v>
      </c>
      <c r="J53" s="14">
        <v>666</v>
      </c>
      <c r="K53" s="14" t="str">
        <v>C</v>
      </c>
      <c r="L53" s="14" t="str">
        <v>A</v>
      </c>
      <c r="M53" s="14" t="str">
        <v>B</v>
      </c>
      <c r="N53" s="14" t="str">
        <v>D</v>
      </c>
    </row>
    <row r="54" spans="9:14" x14ac:dyDescent="0.25">
      <c r="I54" s="14">
        <v>0</v>
      </c>
      <c r="J54" s="14">
        <v>680</v>
      </c>
      <c r="K54" s="14" t="str">
        <v>C</v>
      </c>
      <c r="L54" s="14" t="str">
        <v>A</v>
      </c>
      <c r="M54" s="14" t="str">
        <v>C</v>
      </c>
      <c r="N54" s="14" t="str">
        <v>E</v>
      </c>
    </row>
    <row r="55" spans="9:14" x14ac:dyDescent="0.25">
      <c r="I55" s="14">
        <v>0</v>
      </c>
      <c r="J55" s="14">
        <v>694</v>
      </c>
      <c r="K55" s="14" t="str">
        <v>C</v>
      </c>
      <c r="L55" s="14" t="str">
        <v>A</v>
      </c>
      <c r="M55" s="14" t="str">
        <v>D</v>
      </c>
      <c r="N55" s="14" t="str">
        <v>F</v>
      </c>
    </row>
    <row r="56" spans="9:14" x14ac:dyDescent="0.25">
      <c r="I56" s="14">
        <v>0</v>
      </c>
      <c r="J56" s="14">
        <v>708</v>
      </c>
      <c r="K56" s="14" t="str">
        <v>C</v>
      </c>
      <c r="L56" s="14" t="str">
        <v>A</v>
      </c>
      <c r="M56" s="14" t="str">
        <v>E</v>
      </c>
      <c r="N56" s="14" t="str">
        <v>G</v>
      </c>
    </row>
    <row r="57" spans="9:14" x14ac:dyDescent="0.25">
      <c r="I57" s="14">
        <v>0</v>
      </c>
      <c r="J57" s="14">
        <v>718</v>
      </c>
      <c r="K57" s="14" t="str">
        <v>C</v>
      </c>
      <c r="L57" s="14" t="str">
        <v>B</v>
      </c>
      <c r="M57" s="14" t="str">
        <v>A</v>
      </c>
      <c r="N57" s="14" t="str">
        <v>D</v>
      </c>
    </row>
    <row r="58" spans="9:14" x14ac:dyDescent="0.25">
      <c r="I58" s="14">
        <v>0</v>
      </c>
      <c r="J58" s="14">
        <v>732</v>
      </c>
      <c r="K58" s="14" t="str">
        <v>C</v>
      </c>
      <c r="L58" s="14" t="str">
        <v>B</v>
      </c>
      <c r="M58" s="14" t="str">
        <v>B</v>
      </c>
      <c r="N58" s="14" t="str">
        <v>E</v>
      </c>
    </row>
    <row r="59" spans="9:14" x14ac:dyDescent="0.25">
      <c r="I59" s="14">
        <v>0</v>
      </c>
      <c r="J59" s="14">
        <v>746</v>
      </c>
      <c r="K59" s="14" t="str">
        <v>C</v>
      </c>
      <c r="L59" s="14" t="str">
        <v>B</v>
      </c>
      <c r="M59" s="14" t="str">
        <v>C</v>
      </c>
      <c r="N59" s="14" t="str">
        <v>F</v>
      </c>
    </row>
    <row r="60" spans="9:14" x14ac:dyDescent="0.25">
      <c r="I60" s="14">
        <v>0</v>
      </c>
      <c r="J60" s="14">
        <v>760</v>
      </c>
      <c r="K60" s="14" t="str">
        <v>C</v>
      </c>
      <c r="L60" s="14" t="str">
        <v>B</v>
      </c>
      <c r="M60" s="14" t="str">
        <v>D</v>
      </c>
      <c r="N60" s="14" t="str">
        <v>G</v>
      </c>
    </row>
    <row r="61" spans="9:14" x14ac:dyDescent="0.25">
      <c r="I61" s="14">
        <v>0</v>
      </c>
      <c r="J61" s="14">
        <v>774</v>
      </c>
      <c r="K61" s="14" t="str">
        <v>C</v>
      </c>
      <c r="L61" s="14" t="str">
        <v>B</v>
      </c>
      <c r="M61" s="14" t="str">
        <v>E</v>
      </c>
      <c r="N61" s="14" t="str">
        <v>H</v>
      </c>
    </row>
    <row r="62" spans="9:14" x14ac:dyDescent="0.25">
      <c r="I62" s="14">
        <v>0</v>
      </c>
      <c r="J62" s="14">
        <v>784</v>
      </c>
      <c r="K62" s="14" t="str">
        <v>C</v>
      </c>
      <c r="L62" s="14" t="str">
        <v>C</v>
      </c>
      <c r="M62" s="14" t="str">
        <v>A</v>
      </c>
      <c r="N62" s="14" t="str">
        <v>E</v>
      </c>
    </row>
    <row r="63" spans="9:14" x14ac:dyDescent="0.25">
      <c r="I63" s="14">
        <v>0</v>
      </c>
      <c r="J63" s="14">
        <v>798</v>
      </c>
      <c r="K63" s="14" t="str">
        <v>C</v>
      </c>
      <c r="L63" s="14" t="str">
        <v>C</v>
      </c>
      <c r="M63" s="14" t="str">
        <v>B</v>
      </c>
      <c r="N63" s="14" t="str">
        <v>F</v>
      </c>
    </row>
    <row r="64" spans="9:14" x14ac:dyDescent="0.25">
      <c r="I64" s="14">
        <v>0</v>
      </c>
      <c r="J64" s="14">
        <v>812</v>
      </c>
      <c r="K64" s="14" t="str">
        <v>C</v>
      </c>
      <c r="L64" s="14" t="str">
        <v>C</v>
      </c>
      <c r="M64" s="14" t="str">
        <v>C</v>
      </c>
      <c r="N64" s="14" t="str">
        <v>G</v>
      </c>
    </row>
    <row r="65" spans="9:14" x14ac:dyDescent="0.25">
      <c r="I65" s="14">
        <v>0</v>
      </c>
      <c r="J65" s="14">
        <v>826</v>
      </c>
      <c r="K65" s="14" t="str">
        <v>C</v>
      </c>
      <c r="L65" s="14" t="str">
        <v>C</v>
      </c>
      <c r="M65" s="14" t="str">
        <v>D</v>
      </c>
      <c r="N65" s="14" t="str">
        <v>H</v>
      </c>
    </row>
    <row r="66" spans="9:14" x14ac:dyDescent="0.25">
      <c r="I66" s="14">
        <v>0</v>
      </c>
      <c r="J66" s="14">
        <v>840</v>
      </c>
      <c r="K66" s="14" t="str">
        <v>C</v>
      </c>
      <c r="L66" s="14" t="str">
        <v>C</v>
      </c>
      <c r="M66" s="14" t="str">
        <v>E</v>
      </c>
      <c r="N66" s="14" t="str">
        <v>I</v>
      </c>
    </row>
    <row r="67" spans="9:14" x14ac:dyDescent="0.25">
      <c r="I67" s="14">
        <v>0</v>
      </c>
      <c r="J67" s="14">
        <v>850</v>
      </c>
      <c r="K67" s="14" t="str">
        <v>C</v>
      </c>
      <c r="L67" s="14" t="str">
        <v>D</v>
      </c>
      <c r="M67" s="14" t="str">
        <v>A</v>
      </c>
      <c r="N67" s="14" t="str">
        <v>F</v>
      </c>
    </row>
    <row r="68" spans="9:14" x14ac:dyDescent="0.25">
      <c r="I68" s="14">
        <v>0</v>
      </c>
      <c r="J68" s="14">
        <v>864</v>
      </c>
      <c r="K68" s="14" t="str">
        <v>C</v>
      </c>
      <c r="L68" s="14" t="str">
        <v>D</v>
      </c>
      <c r="M68" s="14" t="str">
        <v>B</v>
      </c>
      <c r="N68" s="14" t="str">
        <v>G</v>
      </c>
    </row>
    <row r="69" spans="9:14" x14ac:dyDescent="0.25">
      <c r="I69" s="14">
        <v>0</v>
      </c>
      <c r="J69" s="14">
        <v>878</v>
      </c>
      <c r="K69" s="14" t="str">
        <v>C</v>
      </c>
      <c r="L69" s="14" t="str">
        <v>D</v>
      </c>
      <c r="M69" s="14" t="str">
        <v>C</v>
      </c>
      <c r="N69" s="14" t="str">
        <v>H</v>
      </c>
    </row>
    <row r="70" spans="9:14" x14ac:dyDescent="0.25">
      <c r="I70" s="14">
        <v>0</v>
      </c>
      <c r="J70" s="14">
        <v>892</v>
      </c>
      <c r="K70" s="14" t="str">
        <v>C</v>
      </c>
      <c r="L70" s="14" t="str">
        <v>D</v>
      </c>
      <c r="M70" s="14" t="str">
        <v>D</v>
      </c>
      <c r="N70" s="14" t="str">
        <v>I</v>
      </c>
    </row>
    <row r="71" spans="9:14" x14ac:dyDescent="0.25">
      <c r="I71" s="14">
        <v>0</v>
      </c>
      <c r="J71" s="14">
        <v>906</v>
      </c>
      <c r="K71" s="14" t="str">
        <v>C</v>
      </c>
      <c r="L71" s="14" t="str">
        <v>D</v>
      </c>
      <c r="M71" s="14" t="str">
        <v>E</v>
      </c>
      <c r="N71" s="14" t="str">
        <v>J</v>
      </c>
    </row>
    <row r="72" spans="9:14" x14ac:dyDescent="0.25">
      <c r="I72" s="14">
        <v>0</v>
      </c>
      <c r="J72" s="14">
        <v>916</v>
      </c>
      <c r="K72" s="14" t="str">
        <v>C</v>
      </c>
      <c r="L72" s="14" t="str">
        <v>E</v>
      </c>
      <c r="M72" s="14" t="str">
        <v>A</v>
      </c>
      <c r="N72" s="14" t="str">
        <v>G</v>
      </c>
    </row>
    <row r="73" spans="9:14" x14ac:dyDescent="0.25">
      <c r="I73" s="14">
        <v>0</v>
      </c>
      <c r="J73" s="14">
        <v>930</v>
      </c>
      <c r="K73" s="14" t="str">
        <v>C</v>
      </c>
      <c r="L73" s="14" t="str">
        <v>E</v>
      </c>
      <c r="M73" s="14" t="str">
        <v>B</v>
      </c>
      <c r="N73" s="14" t="str">
        <v>H</v>
      </c>
    </row>
    <row r="74" spans="9:14" x14ac:dyDescent="0.25">
      <c r="I74" s="14">
        <v>0</v>
      </c>
      <c r="J74" s="14">
        <v>944</v>
      </c>
      <c r="K74" s="14" t="str">
        <v>C</v>
      </c>
      <c r="L74" s="14" t="str">
        <v>E</v>
      </c>
      <c r="M74" s="14" t="str">
        <v>C</v>
      </c>
      <c r="N74" s="14" t="str">
        <v>I</v>
      </c>
    </row>
    <row r="75" spans="9:14" x14ac:dyDescent="0.25">
      <c r="I75" s="14">
        <v>0</v>
      </c>
      <c r="J75" s="14">
        <v>958</v>
      </c>
      <c r="K75" s="14" t="str">
        <v>C</v>
      </c>
      <c r="L75" s="14" t="str">
        <v>E</v>
      </c>
      <c r="M75" s="14" t="str">
        <v>D</v>
      </c>
      <c r="N75" s="14" t="str">
        <v>J</v>
      </c>
    </row>
    <row r="76" spans="9:14" x14ac:dyDescent="0.25">
      <c r="I76" s="14">
        <v>50</v>
      </c>
      <c r="J76" s="14">
        <v>972</v>
      </c>
      <c r="K76" s="14" t="str">
        <v>C</v>
      </c>
      <c r="L76" s="14" t="str">
        <v>E</v>
      </c>
      <c r="M76" s="14" t="str">
        <v>E</v>
      </c>
      <c r="N76" s="14" t="str">
        <v>K</v>
      </c>
    </row>
    <row r="77" spans="9:14" x14ac:dyDescent="0.25">
      <c r="I77" s="14">
        <v>0</v>
      </c>
      <c r="J77" s="14">
        <v>978</v>
      </c>
      <c r="K77" s="14" t="str">
        <v>D</v>
      </c>
      <c r="L77" s="14" t="str">
        <v>A</v>
      </c>
      <c r="M77" s="14" t="str">
        <v>A</v>
      </c>
      <c r="N77" s="14" t="str">
        <v>D</v>
      </c>
    </row>
    <row r="78" spans="9:14" x14ac:dyDescent="0.25">
      <c r="I78" s="14">
        <v>0</v>
      </c>
      <c r="J78" s="14">
        <v>992</v>
      </c>
      <c r="K78" s="14" t="str">
        <v>D</v>
      </c>
      <c r="L78" s="14" t="str">
        <v>A</v>
      </c>
      <c r="M78" s="14" t="str">
        <v>B</v>
      </c>
      <c r="N78" s="14" t="str">
        <v>E</v>
      </c>
    </row>
    <row r="79" spans="9:14" x14ac:dyDescent="0.25">
      <c r="I79" s="14">
        <v>0</v>
      </c>
      <c r="J79" s="14">
        <v>1006</v>
      </c>
      <c r="K79" s="14" t="str">
        <v>D</v>
      </c>
      <c r="L79" s="14" t="str">
        <v>A</v>
      </c>
      <c r="M79" s="14" t="str">
        <v>C</v>
      </c>
      <c r="N79" s="14" t="str">
        <v>F</v>
      </c>
    </row>
    <row r="80" spans="9:14" x14ac:dyDescent="0.25">
      <c r="I80" s="14">
        <v>0</v>
      </c>
      <c r="J80" s="14">
        <v>1020</v>
      </c>
      <c r="K80" s="14" t="str">
        <v>D</v>
      </c>
      <c r="L80" s="14" t="str">
        <v>A</v>
      </c>
      <c r="M80" s="14" t="str">
        <v>D</v>
      </c>
      <c r="N80" s="14" t="str">
        <v>G</v>
      </c>
    </row>
    <row r="81" spans="9:14" x14ac:dyDescent="0.25">
      <c r="I81" s="14">
        <v>0</v>
      </c>
      <c r="J81" s="14">
        <v>1034</v>
      </c>
      <c r="K81" s="14" t="str">
        <v>D</v>
      </c>
      <c r="L81" s="14" t="str">
        <v>A</v>
      </c>
      <c r="M81" s="14" t="str">
        <v>E</v>
      </c>
      <c r="N81" s="14" t="str">
        <v>H</v>
      </c>
    </row>
    <row r="82" spans="9:14" x14ac:dyDescent="0.25">
      <c r="I82" s="14">
        <v>0</v>
      </c>
      <c r="J82" s="14">
        <v>1044</v>
      </c>
      <c r="K82" s="14" t="str">
        <v>D</v>
      </c>
      <c r="L82" s="14" t="str">
        <v>B</v>
      </c>
      <c r="M82" s="14" t="str">
        <v>A</v>
      </c>
      <c r="N82" s="14" t="str">
        <v>E</v>
      </c>
    </row>
    <row r="83" spans="9:14" x14ac:dyDescent="0.25">
      <c r="I83" s="14">
        <v>0</v>
      </c>
      <c r="J83" s="14">
        <v>1058</v>
      </c>
      <c r="K83" s="14" t="str">
        <v>D</v>
      </c>
      <c r="L83" s="14" t="str">
        <v>B</v>
      </c>
      <c r="M83" s="14" t="str">
        <v>B</v>
      </c>
      <c r="N83" s="14" t="str">
        <v>F</v>
      </c>
    </row>
    <row r="84" spans="9:14" x14ac:dyDescent="0.25">
      <c r="I84" s="14">
        <v>0</v>
      </c>
      <c r="J84" s="14">
        <v>1072</v>
      </c>
      <c r="K84" s="14" t="str">
        <v>D</v>
      </c>
      <c r="L84" s="14" t="str">
        <v>B</v>
      </c>
      <c r="M84" s="14" t="str">
        <v>C</v>
      </c>
      <c r="N84" s="14" t="str">
        <v>G</v>
      </c>
    </row>
    <row r="85" spans="9:14" x14ac:dyDescent="0.25">
      <c r="I85" s="14">
        <v>0</v>
      </c>
      <c r="J85" s="14">
        <v>1086</v>
      </c>
      <c r="K85" s="14" t="str">
        <v>D</v>
      </c>
      <c r="L85" s="14" t="str">
        <v>B</v>
      </c>
      <c r="M85" s="14" t="str">
        <v>D</v>
      </c>
      <c r="N85" s="14" t="str">
        <v>H</v>
      </c>
    </row>
    <row r="86" spans="9:14" x14ac:dyDescent="0.25">
      <c r="I86" s="14">
        <v>0</v>
      </c>
      <c r="J86" s="14">
        <v>1100</v>
      </c>
      <c r="K86" s="14" t="str">
        <v>D</v>
      </c>
      <c r="L86" s="14" t="str">
        <v>B</v>
      </c>
      <c r="M86" s="14" t="str">
        <v>E</v>
      </c>
      <c r="N86" s="14" t="str">
        <v>I</v>
      </c>
    </row>
    <row r="87" spans="9:14" x14ac:dyDescent="0.25">
      <c r="I87" s="14">
        <v>0</v>
      </c>
      <c r="J87" s="14">
        <v>1110</v>
      </c>
      <c r="K87" s="14" t="str">
        <v>D</v>
      </c>
      <c r="L87" s="14" t="str">
        <v>C</v>
      </c>
      <c r="M87" s="14" t="str">
        <v>A</v>
      </c>
      <c r="N87" s="14" t="str">
        <v>F</v>
      </c>
    </row>
    <row r="88" spans="9:14" x14ac:dyDescent="0.25">
      <c r="I88" s="14">
        <v>0</v>
      </c>
      <c r="J88" s="14">
        <v>1124</v>
      </c>
      <c r="K88" s="14" t="str">
        <v>D</v>
      </c>
      <c r="L88" s="14" t="str">
        <v>C</v>
      </c>
      <c r="M88" s="14" t="str">
        <v>B</v>
      </c>
      <c r="N88" s="14" t="str">
        <v>G</v>
      </c>
    </row>
    <row r="89" spans="9:14" x14ac:dyDescent="0.25">
      <c r="I89" s="14">
        <v>0</v>
      </c>
      <c r="J89" s="14">
        <v>1138</v>
      </c>
      <c r="K89" s="14" t="str">
        <v>D</v>
      </c>
      <c r="L89" s="14" t="str">
        <v>C</v>
      </c>
      <c r="M89" s="14" t="str">
        <v>C</v>
      </c>
      <c r="N89" s="14" t="str">
        <v>H</v>
      </c>
    </row>
    <row r="90" spans="9:14" x14ac:dyDescent="0.25">
      <c r="I90" s="14">
        <v>0</v>
      </c>
      <c r="J90" s="14">
        <v>1152</v>
      </c>
      <c r="K90" s="14" t="str">
        <v>D</v>
      </c>
      <c r="L90" s="14" t="str">
        <v>C</v>
      </c>
      <c r="M90" s="14" t="str">
        <v>D</v>
      </c>
      <c r="N90" s="14" t="str">
        <v>I</v>
      </c>
    </row>
    <row r="91" spans="9:14" x14ac:dyDescent="0.25">
      <c r="I91" s="14">
        <v>0</v>
      </c>
      <c r="J91" s="14">
        <v>1166</v>
      </c>
      <c r="K91" s="14" t="str">
        <v>D</v>
      </c>
      <c r="L91" s="14" t="str">
        <v>C</v>
      </c>
      <c r="M91" s="14" t="str">
        <v>E</v>
      </c>
      <c r="N91" s="14" t="str">
        <v>J</v>
      </c>
    </row>
    <row r="92" spans="9:14" x14ac:dyDescent="0.25">
      <c r="I92" s="14">
        <v>0</v>
      </c>
      <c r="J92" s="14">
        <v>1176</v>
      </c>
      <c r="K92" s="14" t="str">
        <v>D</v>
      </c>
      <c r="L92" s="14" t="str">
        <v>D</v>
      </c>
      <c r="M92" s="14" t="str">
        <v>A</v>
      </c>
      <c r="N92" s="14" t="str">
        <v>G</v>
      </c>
    </row>
    <row r="93" spans="9:14" x14ac:dyDescent="0.25">
      <c r="I93" s="14">
        <v>0</v>
      </c>
      <c r="J93" s="14">
        <v>1190</v>
      </c>
      <c r="K93" s="14" t="str">
        <v>D</v>
      </c>
      <c r="L93" s="14" t="str">
        <v>D</v>
      </c>
      <c r="M93" s="14" t="str">
        <v>B</v>
      </c>
      <c r="N93" s="14" t="str">
        <v>H</v>
      </c>
    </row>
    <row r="94" spans="9:14" x14ac:dyDescent="0.25">
      <c r="I94" s="14">
        <v>0</v>
      </c>
      <c r="J94" s="14">
        <v>1204</v>
      </c>
      <c r="K94" s="14" t="str">
        <v>D</v>
      </c>
      <c r="L94" s="14" t="str">
        <v>D</v>
      </c>
      <c r="M94" s="14" t="str">
        <v>C</v>
      </c>
      <c r="N94" s="14" t="str">
        <v>I</v>
      </c>
    </row>
    <row r="95" spans="9:14" x14ac:dyDescent="0.25">
      <c r="I95" s="14">
        <v>0</v>
      </c>
      <c r="J95" s="14">
        <v>1218</v>
      </c>
      <c r="K95" s="14" t="str">
        <v>D</v>
      </c>
      <c r="L95" s="14" t="str">
        <v>D</v>
      </c>
      <c r="M95" s="14" t="str">
        <v>D</v>
      </c>
      <c r="N95" s="14" t="str">
        <v>J</v>
      </c>
    </row>
    <row r="96" spans="9:14" x14ac:dyDescent="0.25">
      <c r="I96" s="14">
        <v>0</v>
      </c>
      <c r="J96" s="14">
        <v>1232</v>
      </c>
      <c r="K96" s="14" t="str">
        <v>D</v>
      </c>
      <c r="L96" s="14" t="str">
        <v>D</v>
      </c>
      <c r="M96" s="14" t="str">
        <v>E</v>
      </c>
      <c r="N96" s="14" t="str">
        <v>K</v>
      </c>
    </row>
    <row r="97" spans="9:14" x14ac:dyDescent="0.25">
      <c r="I97" s="14">
        <v>0</v>
      </c>
      <c r="J97" s="14">
        <v>1242</v>
      </c>
      <c r="K97" s="14" t="str">
        <v>D</v>
      </c>
      <c r="L97" s="14" t="str">
        <v>E</v>
      </c>
      <c r="M97" s="14" t="str">
        <v>A</v>
      </c>
      <c r="N97" s="14" t="str">
        <v>H</v>
      </c>
    </row>
    <row r="98" spans="9:14" x14ac:dyDescent="0.25">
      <c r="I98" s="14">
        <v>0</v>
      </c>
      <c r="J98" s="14">
        <v>1256</v>
      </c>
      <c r="K98" s="14" t="str">
        <v>D</v>
      </c>
      <c r="L98" s="14" t="str">
        <v>E</v>
      </c>
      <c r="M98" s="14" t="str">
        <v>B</v>
      </c>
      <c r="N98" s="14" t="str">
        <v>I</v>
      </c>
    </row>
    <row r="99" spans="9:14" x14ac:dyDescent="0.25">
      <c r="I99" s="14">
        <v>0</v>
      </c>
      <c r="J99" s="14">
        <v>1270</v>
      </c>
      <c r="K99" s="14" t="str">
        <v>D</v>
      </c>
      <c r="L99" s="14" t="str">
        <v>E</v>
      </c>
      <c r="M99" s="14" t="str">
        <v>C</v>
      </c>
      <c r="N99" s="14" t="str">
        <v>J</v>
      </c>
    </row>
    <row r="100" spans="9:14" x14ac:dyDescent="0.25">
      <c r="I100" s="14">
        <v>0</v>
      </c>
      <c r="J100" s="14">
        <v>1284</v>
      </c>
      <c r="K100" s="14" t="str">
        <v>D</v>
      </c>
      <c r="L100" s="14" t="str">
        <v>E</v>
      </c>
      <c r="M100" s="14" t="str">
        <v>D</v>
      </c>
      <c r="N100" s="14" t="str">
        <v>K</v>
      </c>
    </row>
    <row r="101" spans="9:14" x14ac:dyDescent="0.25">
      <c r="I101" s="14">
        <v>50</v>
      </c>
      <c r="J101" s="14">
        <v>1298</v>
      </c>
      <c r="K101" s="14" t="str">
        <v>D</v>
      </c>
      <c r="L101" s="14" t="str">
        <v>E</v>
      </c>
      <c r="M101" s="14" t="str">
        <v>E</v>
      </c>
      <c r="N101" s="14" t="str">
        <v>L</v>
      </c>
    </row>
    <row r="102" spans="9:14" x14ac:dyDescent="0.25">
      <c r="I102" s="14">
        <v>0</v>
      </c>
      <c r="J102" s="14">
        <v>1304</v>
      </c>
      <c r="K102" s="14" t="str">
        <v>E</v>
      </c>
      <c r="L102" s="14" t="str">
        <v>A</v>
      </c>
      <c r="M102" s="14" t="str">
        <v>A</v>
      </c>
      <c r="N102" s="14" t="str">
        <v>E</v>
      </c>
    </row>
    <row r="103" spans="9:14" x14ac:dyDescent="0.25">
      <c r="I103" s="14">
        <v>0</v>
      </c>
      <c r="J103" s="14">
        <v>1318</v>
      </c>
      <c r="K103" s="14" t="str">
        <v>E</v>
      </c>
      <c r="L103" s="14" t="str">
        <v>A</v>
      </c>
      <c r="M103" s="14" t="str">
        <v>B</v>
      </c>
      <c r="N103" s="14" t="str">
        <v>F</v>
      </c>
    </row>
    <row r="104" spans="9:14" x14ac:dyDescent="0.25">
      <c r="I104" s="14">
        <v>0</v>
      </c>
      <c r="J104" s="14">
        <v>1332</v>
      </c>
      <c r="K104" s="14" t="str">
        <v>E</v>
      </c>
      <c r="L104" s="14" t="str">
        <v>A</v>
      </c>
      <c r="M104" s="14" t="str">
        <v>C</v>
      </c>
      <c r="N104" s="14" t="str">
        <v>G</v>
      </c>
    </row>
    <row r="105" spans="9:14" x14ac:dyDescent="0.25">
      <c r="I105" s="14">
        <v>0</v>
      </c>
      <c r="J105" s="14">
        <v>1346</v>
      </c>
      <c r="K105" s="14" t="str">
        <v>E</v>
      </c>
      <c r="L105" s="14" t="str">
        <v>A</v>
      </c>
      <c r="M105" s="14" t="str">
        <v>D</v>
      </c>
      <c r="N105" s="14" t="str">
        <v>H</v>
      </c>
    </row>
    <row r="106" spans="9:14" x14ac:dyDescent="0.25">
      <c r="I106" s="14">
        <v>0</v>
      </c>
      <c r="J106" s="14">
        <v>1360</v>
      </c>
      <c r="K106" s="14" t="str">
        <v>E</v>
      </c>
      <c r="L106" s="14" t="str">
        <v>A</v>
      </c>
      <c r="M106" s="14" t="str">
        <v>E</v>
      </c>
      <c r="N106" s="14" t="str">
        <v>I</v>
      </c>
    </row>
    <row r="107" spans="9:14" x14ac:dyDescent="0.25">
      <c r="I107" s="14">
        <v>0</v>
      </c>
      <c r="J107" s="14">
        <v>1370</v>
      </c>
      <c r="K107" s="14" t="str">
        <v>E</v>
      </c>
      <c r="L107" s="14" t="str">
        <v>B</v>
      </c>
      <c r="M107" s="14" t="str">
        <v>A</v>
      </c>
      <c r="N107" s="14" t="str">
        <v>F</v>
      </c>
    </row>
    <row r="108" spans="9:14" x14ac:dyDescent="0.25">
      <c r="I108" s="14">
        <v>0</v>
      </c>
      <c r="J108" s="14">
        <v>1384</v>
      </c>
      <c r="K108" s="14" t="str">
        <v>E</v>
      </c>
      <c r="L108" s="14" t="str">
        <v>B</v>
      </c>
      <c r="M108" s="14" t="str">
        <v>B</v>
      </c>
      <c r="N108" s="14" t="str">
        <v>G</v>
      </c>
    </row>
    <row r="109" spans="9:14" x14ac:dyDescent="0.25">
      <c r="I109" s="14">
        <v>0</v>
      </c>
      <c r="J109" s="14">
        <v>1398</v>
      </c>
      <c r="K109" s="14" t="str">
        <v>E</v>
      </c>
      <c r="L109" s="14" t="str">
        <v>B</v>
      </c>
      <c r="M109" s="14" t="str">
        <v>C</v>
      </c>
      <c r="N109" s="14" t="str">
        <v>H</v>
      </c>
    </row>
    <row r="110" spans="9:14" x14ac:dyDescent="0.25">
      <c r="I110" s="14">
        <v>0</v>
      </c>
      <c r="J110" s="14">
        <v>1412</v>
      </c>
      <c r="K110" s="14" t="str">
        <v>E</v>
      </c>
      <c r="L110" s="14" t="str">
        <v>B</v>
      </c>
      <c r="M110" s="14" t="str">
        <v>D</v>
      </c>
      <c r="N110" s="14" t="str">
        <v>I</v>
      </c>
    </row>
    <row r="111" spans="9:14" x14ac:dyDescent="0.25">
      <c r="I111" s="14">
        <v>0</v>
      </c>
      <c r="J111" s="14">
        <v>1426</v>
      </c>
      <c r="K111" s="14" t="str">
        <v>E</v>
      </c>
      <c r="L111" s="14" t="str">
        <v>B</v>
      </c>
      <c r="M111" s="14" t="str">
        <v>E</v>
      </c>
      <c r="N111" s="14" t="str">
        <v>J</v>
      </c>
    </row>
    <row r="112" spans="9:14" x14ac:dyDescent="0.25">
      <c r="I112" s="14">
        <v>0</v>
      </c>
      <c r="J112" s="14">
        <v>1436</v>
      </c>
      <c r="K112" s="14" t="str">
        <v>E</v>
      </c>
      <c r="L112" s="14" t="str">
        <v>C</v>
      </c>
      <c r="M112" s="14" t="str">
        <v>A</v>
      </c>
      <c r="N112" s="14" t="str">
        <v>G</v>
      </c>
    </row>
    <row r="113" spans="9:14" x14ac:dyDescent="0.25">
      <c r="I113" s="14">
        <v>0</v>
      </c>
      <c r="J113" s="14">
        <v>1450</v>
      </c>
      <c r="K113" s="14" t="str">
        <v>E</v>
      </c>
      <c r="L113" s="14" t="str">
        <v>C</v>
      </c>
      <c r="M113" s="14" t="str">
        <v>B</v>
      </c>
      <c r="N113" s="14" t="str">
        <v>H</v>
      </c>
    </row>
    <row r="114" spans="9:14" x14ac:dyDescent="0.25">
      <c r="I114" s="14">
        <v>0</v>
      </c>
      <c r="J114" s="14">
        <v>1464</v>
      </c>
      <c r="K114" s="14" t="str">
        <v>E</v>
      </c>
      <c r="L114" s="14" t="str">
        <v>C</v>
      </c>
      <c r="M114" s="14" t="str">
        <v>C</v>
      </c>
      <c r="N114" s="14" t="str">
        <v>I</v>
      </c>
    </row>
    <row r="115" spans="9:14" x14ac:dyDescent="0.25">
      <c r="I115" s="14">
        <v>0</v>
      </c>
      <c r="J115" s="14">
        <v>1478</v>
      </c>
      <c r="K115" s="14" t="str">
        <v>E</v>
      </c>
      <c r="L115" s="14" t="str">
        <v>C</v>
      </c>
      <c r="M115" s="14" t="str">
        <v>D</v>
      </c>
      <c r="N115" s="14" t="str">
        <v>J</v>
      </c>
    </row>
    <row r="116" spans="9:14" x14ac:dyDescent="0.25">
      <c r="I116" s="14">
        <v>0</v>
      </c>
      <c r="J116" s="14">
        <v>1492</v>
      </c>
      <c r="K116" s="14" t="str">
        <v>E</v>
      </c>
      <c r="L116" s="14" t="str">
        <v>C</v>
      </c>
      <c r="M116" s="14" t="str">
        <v>E</v>
      </c>
      <c r="N116" s="14" t="str">
        <v>K</v>
      </c>
    </row>
    <row r="117" spans="9:14" x14ac:dyDescent="0.25">
      <c r="I117" s="14">
        <v>0</v>
      </c>
      <c r="J117" s="14">
        <v>1502</v>
      </c>
      <c r="K117" s="14" t="str">
        <v>E</v>
      </c>
      <c r="L117" s="14" t="str">
        <v>D</v>
      </c>
      <c r="M117" s="14" t="str">
        <v>A</v>
      </c>
      <c r="N117" s="14" t="str">
        <v>H</v>
      </c>
    </row>
    <row r="118" spans="9:14" x14ac:dyDescent="0.25">
      <c r="I118" s="14">
        <v>0</v>
      </c>
      <c r="J118" s="14">
        <v>1516</v>
      </c>
      <c r="K118" s="14" t="str">
        <v>E</v>
      </c>
      <c r="L118" s="14" t="str">
        <v>D</v>
      </c>
      <c r="M118" s="14" t="str">
        <v>B</v>
      </c>
      <c r="N118" s="14" t="str">
        <v>I</v>
      </c>
    </row>
    <row r="119" spans="9:14" x14ac:dyDescent="0.25">
      <c r="I119" s="14">
        <v>0</v>
      </c>
      <c r="J119" s="14">
        <v>1530</v>
      </c>
      <c r="K119" s="14" t="str">
        <v>E</v>
      </c>
      <c r="L119" s="14" t="str">
        <v>D</v>
      </c>
      <c r="M119" s="14" t="str">
        <v>C</v>
      </c>
      <c r="N119" s="14" t="str">
        <v>J</v>
      </c>
    </row>
    <row r="120" spans="9:14" x14ac:dyDescent="0.25">
      <c r="I120" s="14">
        <v>34</v>
      </c>
      <c r="J120" s="14">
        <v>1544</v>
      </c>
      <c r="K120" s="14" t="str">
        <v>E</v>
      </c>
      <c r="L120" s="14" t="str">
        <v>D</v>
      </c>
      <c r="M120" s="14" t="str">
        <v>D</v>
      </c>
      <c r="N120" s="14" t="str">
        <v>K</v>
      </c>
    </row>
    <row r="121" spans="9:14" x14ac:dyDescent="0.25">
      <c r="I121" s="14">
        <v>0</v>
      </c>
      <c r="J121" s="14">
        <v>1558</v>
      </c>
      <c r="K121" s="14" t="str">
        <v>E</v>
      </c>
      <c r="L121" s="14" t="str">
        <v>D</v>
      </c>
      <c r="M121" s="14" t="str">
        <v>E</v>
      </c>
      <c r="N121" s="14" t="str">
        <v>L</v>
      </c>
    </row>
    <row r="122" spans="9:14" x14ac:dyDescent="0.25">
      <c r="I122" s="14">
        <v>0</v>
      </c>
      <c r="J122" s="14">
        <v>1568</v>
      </c>
      <c r="K122" s="14" t="str">
        <v>E</v>
      </c>
      <c r="L122" s="14" t="str">
        <v>E</v>
      </c>
      <c r="M122" s="14" t="str">
        <v>A</v>
      </c>
      <c r="N122" s="14" t="str">
        <v>I</v>
      </c>
    </row>
    <row r="123" spans="9:14" x14ac:dyDescent="0.25">
      <c r="I123" s="14">
        <v>0</v>
      </c>
      <c r="J123" s="14">
        <v>1582</v>
      </c>
      <c r="K123" s="14" t="str">
        <v>E</v>
      </c>
      <c r="L123" s="14" t="str">
        <v>E</v>
      </c>
      <c r="M123" s="14" t="str">
        <v>B</v>
      </c>
      <c r="N123" s="14" t="str">
        <v>J</v>
      </c>
    </row>
    <row r="124" spans="9:14" x14ac:dyDescent="0.25">
      <c r="I124" s="14">
        <v>0</v>
      </c>
      <c r="J124" s="14">
        <v>1596</v>
      </c>
      <c r="K124" s="14" t="str">
        <v>E</v>
      </c>
      <c r="L124" s="14" t="str">
        <v>E</v>
      </c>
      <c r="M124" s="14" t="str">
        <v>C</v>
      </c>
      <c r="N124" s="14" t="str">
        <v>K</v>
      </c>
    </row>
    <row r="125" spans="9:14" x14ac:dyDescent="0.25">
      <c r="I125" s="14">
        <v>0</v>
      </c>
      <c r="J125" s="14">
        <v>1610</v>
      </c>
      <c r="K125" s="14" t="str">
        <v>E</v>
      </c>
      <c r="L125" s="14" t="str">
        <v>E</v>
      </c>
      <c r="M125" s="14" t="str">
        <v>D</v>
      </c>
      <c r="N125" s="14" t="str">
        <v>L</v>
      </c>
    </row>
    <row r="126" spans="9:14" x14ac:dyDescent="0.25">
      <c r="I126" s="14">
        <v>19</v>
      </c>
      <c r="J126" s="14">
        <v>1624</v>
      </c>
      <c r="K126" s="14" t="str">
        <v>E</v>
      </c>
      <c r="L126" s="14" t="str">
        <v>E</v>
      </c>
      <c r="M126" s="14" t="str">
        <v>E</v>
      </c>
      <c r="N126" s="14" t="str">
        <v>M</v>
      </c>
    </row>
  </sheetData>
  <autoFilter ref="J1:N626" xr:uid="{2A857DF3-92DB-40A9-BB89-D266C93CB73F}"/>
  <mergeCells count="1">
    <mergeCell ref="A1:E1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4FE55-0286-4952-A376-7F8210C86DEE}">
  <sheetPr codeName="Planilha13"/>
  <dimension ref="A1:N126"/>
  <sheetViews>
    <sheetView workbookViewId="0">
      <selection activeCell="E18" sqref="E18"/>
    </sheetView>
  </sheetViews>
  <sheetFormatPr defaultRowHeight="15" x14ac:dyDescent="0.25"/>
  <cols>
    <col min="1" max="5" width="9.140625" style="14"/>
    <col min="6" max="6" width="12.140625" style="14" bestFit="1" customWidth="1"/>
    <col min="7" max="7" width="20" style="14" bestFit="1" customWidth="1"/>
    <col min="8" max="8" width="9.140625" style="14"/>
    <col min="9" max="9" width="20.140625" style="14" bestFit="1" customWidth="1"/>
    <col min="10" max="14" width="9.140625" style="14"/>
    <col min="15" max="18" width="9.140625" style="14" customWidth="1"/>
    <col min="19" max="16384" width="9.140625" style="14"/>
  </cols>
  <sheetData>
    <row r="1" spans="1:14" x14ac:dyDescent="0.25">
      <c r="A1" s="65" t="s">
        <v>31</v>
      </c>
      <c r="B1" s="65"/>
      <c r="C1" s="65"/>
      <c r="D1" s="65"/>
      <c r="E1" s="65"/>
      <c r="G1" s="14" t="s">
        <v>39</v>
      </c>
      <c r="I1" s="14" t="s">
        <v>37</v>
      </c>
      <c r="J1" s="14" t="s">
        <v>35</v>
      </c>
      <c r="K1" s="14" t="s">
        <v>19</v>
      </c>
      <c r="L1" s="14" t="s">
        <v>32</v>
      </c>
      <c r="M1" s="14" t="s">
        <v>33</v>
      </c>
      <c r="N1" s="14" t="s">
        <v>34</v>
      </c>
    </row>
    <row r="2" spans="1:14" x14ac:dyDescent="0.25">
      <c r="A2" s="14" t="s">
        <v>22</v>
      </c>
      <c r="B2" s="14" t="s">
        <v>19</v>
      </c>
      <c r="C2" s="14" t="s">
        <v>32</v>
      </c>
      <c r="D2" s="14" t="s">
        <v>33</v>
      </c>
      <c r="G2" s="14">
        <f>SUM(I:I)</f>
        <v>229</v>
      </c>
      <c r="I2" s="14">
        <v>0</v>
      </c>
      <c r="J2" s="14" cm="1">
        <f t="array" ref="J2:J126">_xlfn._xlws.FILTER(Tabela2[Comb],Tabela2[Status]="OK","ERRO")</f>
        <v>0</v>
      </c>
      <c r="K2" s="14" t="str" cm="1">
        <f t="array" ref="K2:K126">_xlfn._xlws.FILTER(Tabela2[OP],Tabela2[Status]="OK","ERRO")</f>
        <v>A</v>
      </c>
      <c r="L2" s="14" t="str" cm="1">
        <f t="array" ref="L2:L126">_xlfn._xlws.FILTER(Tabela2[BICO],Tabela2[Status]="OK","ERRO")</f>
        <v>A</v>
      </c>
      <c r="M2" s="14" t="str" cm="1">
        <f t="array" ref="M2:M126">_xlfn._xlws.FILTER(Tabela2[SPACER],Tabela2[Status]="OK","ERRO")</f>
        <v>A</v>
      </c>
      <c r="N2" s="14" t="str" cm="1">
        <f t="array" ref="N2:N126">_xlfn._xlws.FILTER(Tabela2[AGULHA],Tabela2[Status]="OK","ERRO")</f>
        <v>A</v>
      </c>
    </row>
    <row r="3" spans="1:14" x14ac:dyDescent="0.25">
      <c r="A3" s="14" t="s">
        <v>8</v>
      </c>
      <c r="B3" s="6">
        <f>Simluação!T31</f>
        <v>54</v>
      </c>
      <c r="C3" s="14">
        <f>'Lote 9'!C3-'Lote 9'!C10</f>
        <v>0</v>
      </c>
      <c r="D3" s="14">
        <f>'Lote 9'!D3-'Lote 9'!D10</f>
        <v>0</v>
      </c>
      <c r="G3" s="14">
        <f>G2-SUM(B3:B7)</f>
        <v>0</v>
      </c>
      <c r="I3" s="14">
        <v>0</v>
      </c>
      <c r="J3" s="14">
        <v>14</v>
      </c>
      <c r="K3" s="14" t="str">
        <v>A</v>
      </c>
      <c r="L3" s="14" t="str">
        <v>A</v>
      </c>
      <c r="M3" s="14" t="str">
        <v>B</v>
      </c>
      <c r="N3" s="14" t="str">
        <v>B</v>
      </c>
    </row>
    <row r="4" spans="1:14" x14ac:dyDescent="0.25">
      <c r="A4" s="14" t="s">
        <v>9</v>
      </c>
      <c r="B4" s="6">
        <f>Simluação!T32</f>
        <v>52</v>
      </c>
      <c r="C4" s="14">
        <f>'Lote 9'!C4-'Lote 9'!C11</f>
        <v>0</v>
      </c>
      <c r="D4" s="14">
        <f>'Lote 9'!D4-'Lote 9'!D11</f>
        <v>0</v>
      </c>
      <c r="I4" s="14">
        <v>0</v>
      </c>
      <c r="J4" s="14">
        <v>28</v>
      </c>
      <c r="K4" s="14" t="str">
        <v>A</v>
      </c>
      <c r="L4" s="14" t="str">
        <v>A</v>
      </c>
      <c r="M4" s="14" t="str">
        <v>C</v>
      </c>
      <c r="N4" s="14" t="str">
        <v>C</v>
      </c>
    </row>
    <row r="5" spans="1:14" x14ac:dyDescent="0.25">
      <c r="A5" s="14" t="s">
        <v>10</v>
      </c>
      <c r="B5" s="6">
        <f>Simluação!T33</f>
        <v>35</v>
      </c>
      <c r="C5" s="14">
        <f>'Lote 9'!C5-'Lote 9'!C12</f>
        <v>0</v>
      </c>
      <c r="D5" s="14">
        <f>'Lote 9'!D5-'Lote 9'!D12</f>
        <v>0</v>
      </c>
      <c r="I5" s="14">
        <v>0</v>
      </c>
      <c r="J5" s="14">
        <v>42</v>
      </c>
      <c r="K5" s="14" t="str">
        <v>A</v>
      </c>
      <c r="L5" s="14" t="str">
        <v>A</v>
      </c>
      <c r="M5" s="14" t="str">
        <v>D</v>
      </c>
      <c r="N5" s="14" t="str">
        <v>D</v>
      </c>
    </row>
    <row r="6" spans="1:14" x14ac:dyDescent="0.25">
      <c r="A6" s="14" t="s">
        <v>11</v>
      </c>
      <c r="B6" s="6">
        <f>Simluação!T34</f>
        <v>42</v>
      </c>
      <c r="C6" s="14">
        <f>'Lote 9'!C6-'Lote 9'!C13</f>
        <v>0</v>
      </c>
      <c r="D6" s="14">
        <f>'Lote 9'!D6-'Lote 9'!D13</f>
        <v>1</v>
      </c>
      <c r="I6" s="14">
        <v>0</v>
      </c>
      <c r="J6" s="14">
        <v>56</v>
      </c>
      <c r="K6" s="14" t="str">
        <v>A</v>
      </c>
      <c r="L6" s="14" t="str">
        <v>A</v>
      </c>
      <c r="M6" s="14" t="str">
        <v>E</v>
      </c>
      <c r="N6" s="14" t="str">
        <v>E</v>
      </c>
    </row>
    <row r="7" spans="1:14" x14ac:dyDescent="0.25">
      <c r="A7" s="14" t="s">
        <v>13</v>
      </c>
      <c r="B7" s="6">
        <f>Simluação!T35</f>
        <v>46</v>
      </c>
      <c r="C7" s="14">
        <f>'Lote 9'!C7-'Lote 9'!C14</f>
        <v>229</v>
      </c>
      <c r="D7" s="14">
        <f>'Lote 9'!D7-'Lote 9'!D14</f>
        <v>228</v>
      </c>
      <c r="I7" s="14">
        <v>0</v>
      </c>
      <c r="J7" s="14">
        <v>66</v>
      </c>
      <c r="K7" s="14" t="str">
        <v>A</v>
      </c>
      <c r="L7" s="14" t="str">
        <v>B</v>
      </c>
      <c r="M7" s="14" t="str">
        <v>A</v>
      </c>
      <c r="N7" s="14" t="str">
        <v>B</v>
      </c>
    </row>
    <row r="8" spans="1:14" x14ac:dyDescent="0.25">
      <c r="I8" s="14">
        <v>0</v>
      </c>
      <c r="J8" s="14">
        <v>80</v>
      </c>
      <c r="K8" s="14" t="str">
        <v>A</v>
      </c>
      <c r="L8" s="14" t="str">
        <v>B</v>
      </c>
      <c r="M8" s="14" t="str">
        <v>B</v>
      </c>
      <c r="N8" s="14" t="str">
        <v>C</v>
      </c>
    </row>
    <row r="9" spans="1:14" x14ac:dyDescent="0.25">
      <c r="A9" s="14" t="s">
        <v>38</v>
      </c>
      <c r="I9" s="14">
        <v>0</v>
      </c>
      <c r="J9" s="14">
        <v>94</v>
      </c>
      <c r="K9" s="14" t="str">
        <v>A</v>
      </c>
      <c r="L9" s="14" t="str">
        <v>B</v>
      </c>
      <c r="M9" s="14" t="str">
        <v>C</v>
      </c>
      <c r="N9" s="14" t="str">
        <v>D</v>
      </c>
    </row>
    <row r="10" spans="1:14" x14ac:dyDescent="0.25">
      <c r="A10" s="14" t="s">
        <v>8</v>
      </c>
      <c r="B10" s="14">
        <f t="shared" ref="B10:B22" si="0">SUMIF($K:$K,A10,$I:$I)</f>
        <v>54</v>
      </c>
      <c r="C10" s="14">
        <f t="shared" ref="C10:C22" si="1">SUMIF($L:$L,A10,$I:$I)</f>
        <v>0</v>
      </c>
      <c r="D10" s="14">
        <f t="shared" ref="D10:D22" si="2">SUMIF($M:$M,A10,$I:$I)</f>
        <v>0</v>
      </c>
      <c r="E10" s="14">
        <f t="shared" ref="E10:E22" si="3">SUMIF($N:$N,A10,$I:$I)</f>
        <v>0</v>
      </c>
      <c r="F10" s="14">
        <v>-6</v>
      </c>
      <c r="I10" s="14">
        <v>0</v>
      </c>
      <c r="J10" s="14">
        <v>108</v>
      </c>
      <c r="K10" s="14" t="str">
        <v>A</v>
      </c>
      <c r="L10" s="14" t="str">
        <v>B</v>
      </c>
      <c r="M10" s="14" t="str">
        <v>D</v>
      </c>
      <c r="N10" s="14" t="str">
        <v>E</v>
      </c>
    </row>
    <row r="11" spans="1:14" x14ac:dyDescent="0.25">
      <c r="A11" s="14" t="s">
        <v>9</v>
      </c>
      <c r="B11" s="14">
        <f t="shared" si="0"/>
        <v>52</v>
      </c>
      <c r="C11" s="14">
        <f t="shared" si="1"/>
        <v>0</v>
      </c>
      <c r="D11" s="14">
        <f t="shared" si="2"/>
        <v>0</v>
      </c>
      <c r="E11" s="14">
        <f t="shared" si="3"/>
        <v>0</v>
      </c>
      <c r="F11" s="14">
        <v>-5</v>
      </c>
      <c r="I11" s="14">
        <v>0</v>
      </c>
      <c r="J11" s="14">
        <v>122</v>
      </c>
      <c r="K11" s="14" t="str">
        <v>A</v>
      </c>
      <c r="L11" s="14" t="str">
        <v>B</v>
      </c>
      <c r="M11" s="14" t="str">
        <v>E</v>
      </c>
      <c r="N11" s="14" t="str">
        <v>F</v>
      </c>
    </row>
    <row r="12" spans="1:14" x14ac:dyDescent="0.25">
      <c r="A12" s="14" t="s">
        <v>10</v>
      </c>
      <c r="B12" s="14">
        <f t="shared" si="0"/>
        <v>35</v>
      </c>
      <c r="C12" s="14">
        <f t="shared" si="1"/>
        <v>0</v>
      </c>
      <c r="D12" s="14">
        <f t="shared" si="2"/>
        <v>0</v>
      </c>
      <c r="E12" s="14">
        <f t="shared" si="3"/>
        <v>0</v>
      </c>
      <c r="F12" s="14">
        <v>-4</v>
      </c>
      <c r="I12" s="14">
        <v>0</v>
      </c>
      <c r="J12" s="14">
        <v>132</v>
      </c>
      <c r="K12" s="14" t="str">
        <v>A</v>
      </c>
      <c r="L12" s="14" t="str">
        <v>C</v>
      </c>
      <c r="M12" s="14" t="str">
        <v>A</v>
      </c>
      <c r="N12" s="14" t="str">
        <v>C</v>
      </c>
    </row>
    <row r="13" spans="1:14" x14ac:dyDescent="0.25">
      <c r="A13" s="14" t="s">
        <v>11</v>
      </c>
      <c r="B13" s="14">
        <f t="shared" si="0"/>
        <v>42</v>
      </c>
      <c r="C13" s="14">
        <f t="shared" si="1"/>
        <v>0</v>
      </c>
      <c r="D13" s="14">
        <f t="shared" si="2"/>
        <v>1</v>
      </c>
      <c r="E13" s="14">
        <f t="shared" si="3"/>
        <v>0</v>
      </c>
      <c r="F13" s="14">
        <v>-3</v>
      </c>
      <c r="I13" s="14">
        <v>0</v>
      </c>
      <c r="J13" s="14">
        <v>146</v>
      </c>
      <c r="K13" s="14" t="str">
        <v>A</v>
      </c>
      <c r="L13" s="14" t="str">
        <v>C</v>
      </c>
      <c r="M13" s="14" t="str">
        <v>B</v>
      </c>
      <c r="N13" s="14" t="str">
        <v>D</v>
      </c>
    </row>
    <row r="14" spans="1:14" x14ac:dyDescent="0.25">
      <c r="A14" s="14" t="s">
        <v>13</v>
      </c>
      <c r="B14" s="14">
        <f t="shared" si="0"/>
        <v>46</v>
      </c>
      <c r="C14" s="14">
        <f t="shared" si="1"/>
        <v>229</v>
      </c>
      <c r="D14" s="14">
        <f t="shared" si="2"/>
        <v>228</v>
      </c>
      <c r="E14" s="14">
        <f t="shared" si="3"/>
        <v>0</v>
      </c>
      <c r="F14" s="14">
        <v>-2</v>
      </c>
      <c r="I14" s="14">
        <v>0</v>
      </c>
      <c r="J14" s="14">
        <v>160</v>
      </c>
      <c r="K14" s="14" t="str">
        <v>A</v>
      </c>
      <c r="L14" s="14" t="str">
        <v>C</v>
      </c>
      <c r="M14" s="14" t="str">
        <v>C</v>
      </c>
      <c r="N14" s="14" t="str">
        <v>E</v>
      </c>
    </row>
    <row r="15" spans="1:14" x14ac:dyDescent="0.25">
      <c r="A15" s="14" t="s">
        <v>12</v>
      </c>
      <c r="B15" s="14">
        <f t="shared" si="0"/>
        <v>0</v>
      </c>
      <c r="C15" s="14">
        <f t="shared" si="1"/>
        <v>0</v>
      </c>
      <c r="D15" s="14">
        <f t="shared" si="2"/>
        <v>0</v>
      </c>
      <c r="E15" s="14">
        <f t="shared" si="3"/>
        <v>0</v>
      </c>
      <c r="F15" s="14">
        <v>-1</v>
      </c>
      <c r="I15" s="14">
        <v>0</v>
      </c>
      <c r="J15" s="14">
        <v>174</v>
      </c>
      <c r="K15" s="14" t="str">
        <v>A</v>
      </c>
      <c r="L15" s="14" t="str">
        <v>C</v>
      </c>
      <c r="M15" s="14" t="str">
        <v>D</v>
      </c>
      <c r="N15" s="14" t="str">
        <v>F</v>
      </c>
    </row>
    <row r="16" spans="1:14" x14ac:dyDescent="0.25">
      <c r="A16" s="14" t="s">
        <v>14</v>
      </c>
      <c r="B16" s="14">
        <f t="shared" si="0"/>
        <v>0</v>
      </c>
      <c r="C16" s="14">
        <f t="shared" si="1"/>
        <v>0</v>
      </c>
      <c r="D16" s="14">
        <f t="shared" si="2"/>
        <v>0</v>
      </c>
      <c r="E16" s="14">
        <f t="shared" si="3"/>
        <v>0</v>
      </c>
      <c r="F16" s="14">
        <v>0</v>
      </c>
      <c r="I16" s="14">
        <v>0</v>
      </c>
      <c r="J16" s="14">
        <v>188</v>
      </c>
      <c r="K16" s="14" t="str">
        <v>A</v>
      </c>
      <c r="L16" s="14" t="str">
        <v>C</v>
      </c>
      <c r="M16" s="14" t="str">
        <v>E</v>
      </c>
      <c r="N16" s="14" t="str">
        <v>G</v>
      </c>
    </row>
    <row r="17" spans="1:14" x14ac:dyDescent="0.25">
      <c r="A17" s="14" t="s">
        <v>44</v>
      </c>
      <c r="B17" s="14">
        <f t="shared" si="0"/>
        <v>0</v>
      </c>
      <c r="C17" s="14">
        <f t="shared" si="1"/>
        <v>0</v>
      </c>
      <c r="D17" s="14">
        <f t="shared" si="2"/>
        <v>0</v>
      </c>
      <c r="E17" s="14">
        <f t="shared" si="3"/>
        <v>0</v>
      </c>
      <c r="F17" s="14">
        <v>1</v>
      </c>
      <c r="I17" s="14">
        <v>0</v>
      </c>
      <c r="J17" s="14">
        <v>198</v>
      </c>
      <c r="K17" s="14" t="str">
        <v>A</v>
      </c>
      <c r="L17" s="14" t="str">
        <v>D</v>
      </c>
      <c r="M17" s="14" t="str">
        <v>A</v>
      </c>
      <c r="N17" s="14" t="str">
        <v>D</v>
      </c>
    </row>
    <row r="18" spans="1:14" x14ac:dyDescent="0.25">
      <c r="A18" s="14" t="s">
        <v>45</v>
      </c>
      <c r="B18" s="14">
        <f t="shared" si="0"/>
        <v>0</v>
      </c>
      <c r="C18" s="14">
        <f t="shared" si="1"/>
        <v>0</v>
      </c>
      <c r="D18" s="14">
        <f t="shared" si="2"/>
        <v>0</v>
      </c>
      <c r="E18" s="14">
        <f t="shared" si="3"/>
        <v>54</v>
      </c>
      <c r="F18" s="14">
        <v>2</v>
      </c>
      <c r="I18" s="14">
        <v>0</v>
      </c>
      <c r="J18" s="14">
        <v>212</v>
      </c>
      <c r="K18" s="14" t="str">
        <v>A</v>
      </c>
      <c r="L18" s="14" t="str">
        <v>D</v>
      </c>
      <c r="M18" s="14" t="str">
        <v>B</v>
      </c>
      <c r="N18" s="14" t="str">
        <v>E</v>
      </c>
    </row>
    <row r="19" spans="1:14" x14ac:dyDescent="0.25">
      <c r="A19" s="14" t="s">
        <v>46</v>
      </c>
      <c r="B19" s="14">
        <f t="shared" si="0"/>
        <v>0</v>
      </c>
      <c r="C19" s="14">
        <f t="shared" si="1"/>
        <v>0</v>
      </c>
      <c r="D19" s="14">
        <f t="shared" si="2"/>
        <v>0</v>
      </c>
      <c r="E19" s="14">
        <f t="shared" si="3"/>
        <v>52</v>
      </c>
      <c r="F19" s="14">
        <v>3</v>
      </c>
      <c r="I19" s="14">
        <v>0</v>
      </c>
      <c r="J19" s="14">
        <v>226</v>
      </c>
      <c r="K19" s="14" t="str">
        <v>A</v>
      </c>
      <c r="L19" s="14" t="str">
        <v>D</v>
      </c>
      <c r="M19" s="14" t="str">
        <v>C</v>
      </c>
      <c r="N19" s="14" t="str">
        <v>F</v>
      </c>
    </row>
    <row r="20" spans="1:14" x14ac:dyDescent="0.25">
      <c r="A20" s="14" t="s">
        <v>47</v>
      </c>
      <c r="B20" s="14">
        <f t="shared" si="0"/>
        <v>0</v>
      </c>
      <c r="C20" s="14">
        <f t="shared" si="1"/>
        <v>0</v>
      </c>
      <c r="D20" s="14">
        <f t="shared" si="2"/>
        <v>0</v>
      </c>
      <c r="E20" s="14">
        <f t="shared" si="3"/>
        <v>35</v>
      </c>
      <c r="F20" s="14">
        <v>4</v>
      </c>
      <c r="I20" s="14">
        <v>0</v>
      </c>
      <c r="J20" s="14">
        <v>240</v>
      </c>
      <c r="K20" s="14" t="str">
        <v>A</v>
      </c>
      <c r="L20" s="14" t="str">
        <v>D</v>
      </c>
      <c r="M20" s="14" t="str">
        <v>D</v>
      </c>
      <c r="N20" s="14" t="str">
        <v>G</v>
      </c>
    </row>
    <row r="21" spans="1:14" x14ac:dyDescent="0.25">
      <c r="A21" s="14" t="s">
        <v>48</v>
      </c>
      <c r="B21" s="14">
        <f t="shared" si="0"/>
        <v>0</v>
      </c>
      <c r="C21" s="14">
        <f t="shared" si="1"/>
        <v>0</v>
      </c>
      <c r="D21" s="14">
        <f t="shared" si="2"/>
        <v>0</v>
      </c>
      <c r="E21" s="14">
        <f t="shared" si="3"/>
        <v>43</v>
      </c>
      <c r="F21" s="14">
        <v>5</v>
      </c>
      <c r="I21" s="14">
        <v>0</v>
      </c>
      <c r="J21" s="14">
        <v>254</v>
      </c>
      <c r="K21" s="14" t="str">
        <v>A</v>
      </c>
      <c r="L21" s="14" t="str">
        <v>D</v>
      </c>
      <c r="M21" s="14" t="str">
        <v>E</v>
      </c>
      <c r="N21" s="14" t="str">
        <v>H</v>
      </c>
    </row>
    <row r="22" spans="1:14" x14ac:dyDescent="0.25">
      <c r="A22" s="14" t="s">
        <v>49</v>
      </c>
      <c r="B22" s="14">
        <f t="shared" si="0"/>
        <v>0</v>
      </c>
      <c r="C22" s="14">
        <f t="shared" si="1"/>
        <v>0</v>
      </c>
      <c r="D22" s="14">
        <f t="shared" si="2"/>
        <v>0</v>
      </c>
      <c r="E22" s="14">
        <f t="shared" si="3"/>
        <v>45</v>
      </c>
      <c r="F22" s="14">
        <v>6</v>
      </c>
      <c r="I22" s="14">
        <v>0</v>
      </c>
      <c r="J22" s="14">
        <v>264</v>
      </c>
      <c r="K22" s="14" t="str">
        <v>A</v>
      </c>
      <c r="L22" s="14" t="str">
        <v>E</v>
      </c>
      <c r="M22" s="14" t="str">
        <v>A</v>
      </c>
      <c r="N22" s="14" t="str">
        <v>E</v>
      </c>
    </row>
    <row r="23" spans="1:14" x14ac:dyDescent="0.25">
      <c r="B23" s="14">
        <f>SUM(B10:B22)</f>
        <v>229</v>
      </c>
      <c r="C23" s="14">
        <f>SUM(C10:C22)</f>
        <v>229</v>
      </c>
      <c r="D23" s="14">
        <f>SUM(D10:D22)</f>
        <v>229</v>
      </c>
      <c r="E23" s="14">
        <f>SUM(E10:E22)</f>
        <v>229</v>
      </c>
      <c r="I23" s="14">
        <v>0</v>
      </c>
      <c r="J23" s="14">
        <v>278</v>
      </c>
      <c r="K23" s="14" t="str">
        <v>A</v>
      </c>
      <c r="L23" s="14" t="str">
        <v>E</v>
      </c>
      <c r="M23" s="14" t="str">
        <v>B</v>
      </c>
      <c r="N23" s="14" t="str">
        <v>F</v>
      </c>
    </row>
    <row r="24" spans="1:14" x14ac:dyDescent="0.25">
      <c r="I24" s="14">
        <v>0</v>
      </c>
      <c r="J24" s="14">
        <v>292</v>
      </c>
      <c r="K24" s="14" t="str">
        <v>A</v>
      </c>
      <c r="L24" s="14" t="str">
        <v>E</v>
      </c>
      <c r="M24" s="14" t="str">
        <v>C</v>
      </c>
      <c r="N24" s="14" t="str">
        <v>G</v>
      </c>
    </row>
    <row r="25" spans="1:14" x14ac:dyDescent="0.25">
      <c r="I25" s="14">
        <v>0</v>
      </c>
      <c r="J25" s="14">
        <v>306</v>
      </c>
      <c r="K25" s="14" t="str">
        <v>A</v>
      </c>
      <c r="L25" s="14" t="str">
        <v>E</v>
      </c>
      <c r="M25" s="14" t="str">
        <v>D</v>
      </c>
      <c r="N25" s="14" t="str">
        <v>H</v>
      </c>
    </row>
    <row r="26" spans="1:14" x14ac:dyDescent="0.25">
      <c r="I26" s="14">
        <v>54</v>
      </c>
      <c r="J26" s="14">
        <v>320</v>
      </c>
      <c r="K26" s="14" t="str">
        <v>A</v>
      </c>
      <c r="L26" s="14" t="str">
        <v>E</v>
      </c>
      <c r="M26" s="14" t="str">
        <v>E</v>
      </c>
      <c r="N26" s="14" t="str">
        <v>I</v>
      </c>
    </row>
    <row r="27" spans="1:14" x14ac:dyDescent="0.25">
      <c r="I27" s="14">
        <v>0</v>
      </c>
      <c r="J27" s="14">
        <v>326</v>
      </c>
      <c r="K27" s="14" t="str">
        <v>B</v>
      </c>
      <c r="L27" s="14" t="str">
        <v>A</v>
      </c>
      <c r="M27" s="14" t="str">
        <v>A</v>
      </c>
      <c r="N27" s="14" t="str">
        <v>B</v>
      </c>
    </row>
    <row r="28" spans="1:14" x14ac:dyDescent="0.25">
      <c r="I28" s="14">
        <v>0</v>
      </c>
      <c r="J28" s="14">
        <v>340</v>
      </c>
      <c r="K28" s="14" t="str">
        <v>B</v>
      </c>
      <c r="L28" s="14" t="str">
        <v>A</v>
      </c>
      <c r="M28" s="14" t="str">
        <v>B</v>
      </c>
      <c r="N28" s="14" t="str">
        <v>C</v>
      </c>
    </row>
    <row r="29" spans="1:14" x14ac:dyDescent="0.25">
      <c r="I29" s="14">
        <v>0</v>
      </c>
      <c r="J29" s="14">
        <v>354</v>
      </c>
      <c r="K29" s="14" t="str">
        <v>B</v>
      </c>
      <c r="L29" s="14" t="str">
        <v>A</v>
      </c>
      <c r="M29" s="14" t="str">
        <v>C</v>
      </c>
      <c r="N29" s="14" t="str">
        <v>D</v>
      </c>
    </row>
    <row r="30" spans="1:14" x14ac:dyDescent="0.25">
      <c r="I30" s="14">
        <v>0</v>
      </c>
      <c r="J30" s="14">
        <v>368</v>
      </c>
      <c r="K30" s="14" t="str">
        <v>B</v>
      </c>
      <c r="L30" s="14" t="str">
        <v>A</v>
      </c>
      <c r="M30" s="14" t="str">
        <v>D</v>
      </c>
      <c r="N30" s="14" t="str">
        <v>E</v>
      </c>
    </row>
    <row r="31" spans="1:14" x14ac:dyDescent="0.25">
      <c r="I31" s="14">
        <v>0</v>
      </c>
      <c r="J31" s="14">
        <v>382</v>
      </c>
      <c r="K31" s="14" t="str">
        <v>B</v>
      </c>
      <c r="L31" s="14" t="str">
        <v>A</v>
      </c>
      <c r="M31" s="14" t="str">
        <v>E</v>
      </c>
      <c r="N31" s="14" t="str">
        <v>F</v>
      </c>
    </row>
    <row r="32" spans="1:14" x14ac:dyDescent="0.25">
      <c r="I32" s="14">
        <v>0</v>
      </c>
      <c r="J32" s="14">
        <v>392</v>
      </c>
      <c r="K32" s="14" t="str">
        <v>B</v>
      </c>
      <c r="L32" s="14" t="str">
        <v>B</v>
      </c>
      <c r="M32" s="14" t="str">
        <v>A</v>
      </c>
      <c r="N32" s="14" t="str">
        <v>C</v>
      </c>
    </row>
    <row r="33" spans="9:14" x14ac:dyDescent="0.25">
      <c r="I33" s="14">
        <v>0</v>
      </c>
      <c r="J33" s="14">
        <v>406</v>
      </c>
      <c r="K33" s="14" t="str">
        <v>B</v>
      </c>
      <c r="L33" s="14" t="str">
        <v>B</v>
      </c>
      <c r="M33" s="14" t="str">
        <v>B</v>
      </c>
      <c r="N33" s="14" t="str">
        <v>D</v>
      </c>
    </row>
    <row r="34" spans="9:14" x14ac:dyDescent="0.25">
      <c r="I34" s="14">
        <v>0</v>
      </c>
      <c r="J34" s="14">
        <v>420</v>
      </c>
      <c r="K34" s="14" t="str">
        <v>B</v>
      </c>
      <c r="L34" s="14" t="str">
        <v>B</v>
      </c>
      <c r="M34" s="14" t="str">
        <v>C</v>
      </c>
      <c r="N34" s="14" t="str">
        <v>E</v>
      </c>
    </row>
    <row r="35" spans="9:14" x14ac:dyDescent="0.25">
      <c r="I35" s="14">
        <v>0</v>
      </c>
      <c r="J35" s="14">
        <v>434</v>
      </c>
      <c r="K35" s="14" t="str">
        <v>B</v>
      </c>
      <c r="L35" s="14" t="str">
        <v>B</v>
      </c>
      <c r="M35" s="14" t="str">
        <v>D</v>
      </c>
      <c r="N35" s="14" t="str">
        <v>F</v>
      </c>
    </row>
    <row r="36" spans="9:14" x14ac:dyDescent="0.25">
      <c r="I36" s="14">
        <v>0</v>
      </c>
      <c r="J36" s="14">
        <v>448</v>
      </c>
      <c r="K36" s="14" t="str">
        <v>B</v>
      </c>
      <c r="L36" s="14" t="str">
        <v>B</v>
      </c>
      <c r="M36" s="14" t="str">
        <v>E</v>
      </c>
      <c r="N36" s="14" t="str">
        <v>G</v>
      </c>
    </row>
    <row r="37" spans="9:14" x14ac:dyDescent="0.25">
      <c r="I37" s="14">
        <v>0</v>
      </c>
      <c r="J37" s="14">
        <v>458</v>
      </c>
      <c r="K37" s="14" t="str">
        <v>B</v>
      </c>
      <c r="L37" s="14" t="str">
        <v>C</v>
      </c>
      <c r="M37" s="14" t="str">
        <v>A</v>
      </c>
      <c r="N37" s="14" t="str">
        <v>D</v>
      </c>
    </row>
    <row r="38" spans="9:14" x14ac:dyDescent="0.25">
      <c r="I38" s="14">
        <v>0</v>
      </c>
      <c r="J38" s="14">
        <v>472</v>
      </c>
      <c r="K38" s="14" t="str">
        <v>B</v>
      </c>
      <c r="L38" s="14" t="str">
        <v>C</v>
      </c>
      <c r="M38" s="14" t="str">
        <v>B</v>
      </c>
      <c r="N38" s="14" t="str">
        <v>E</v>
      </c>
    </row>
    <row r="39" spans="9:14" x14ac:dyDescent="0.25">
      <c r="I39" s="14">
        <v>0</v>
      </c>
      <c r="J39" s="14">
        <v>486</v>
      </c>
      <c r="K39" s="14" t="str">
        <v>B</v>
      </c>
      <c r="L39" s="14" t="str">
        <v>C</v>
      </c>
      <c r="M39" s="14" t="str">
        <v>C</v>
      </c>
      <c r="N39" s="14" t="str">
        <v>F</v>
      </c>
    </row>
    <row r="40" spans="9:14" x14ac:dyDescent="0.25">
      <c r="I40" s="14">
        <v>0</v>
      </c>
      <c r="J40" s="14">
        <v>500</v>
      </c>
      <c r="K40" s="14" t="str">
        <v>B</v>
      </c>
      <c r="L40" s="14" t="str">
        <v>C</v>
      </c>
      <c r="M40" s="14" t="str">
        <v>D</v>
      </c>
      <c r="N40" s="14" t="str">
        <v>G</v>
      </c>
    </row>
    <row r="41" spans="9:14" x14ac:dyDescent="0.25">
      <c r="I41" s="14">
        <v>0</v>
      </c>
      <c r="J41" s="14">
        <v>514</v>
      </c>
      <c r="K41" s="14" t="str">
        <v>B</v>
      </c>
      <c r="L41" s="14" t="str">
        <v>C</v>
      </c>
      <c r="M41" s="14" t="str">
        <v>E</v>
      </c>
      <c r="N41" s="14" t="str">
        <v>H</v>
      </c>
    </row>
    <row r="42" spans="9:14" x14ac:dyDescent="0.25">
      <c r="I42" s="14">
        <v>0</v>
      </c>
      <c r="J42" s="14">
        <v>524</v>
      </c>
      <c r="K42" s="14" t="str">
        <v>B</v>
      </c>
      <c r="L42" s="14" t="str">
        <v>D</v>
      </c>
      <c r="M42" s="14" t="str">
        <v>A</v>
      </c>
      <c r="N42" s="14" t="str">
        <v>E</v>
      </c>
    </row>
    <row r="43" spans="9:14" x14ac:dyDescent="0.25">
      <c r="I43" s="14">
        <v>0</v>
      </c>
      <c r="J43" s="14">
        <v>538</v>
      </c>
      <c r="K43" s="14" t="str">
        <v>B</v>
      </c>
      <c r="L43" s="14" t="str">
        <v>D</v>
      </c>
      <c r="M43" s="14" t="str">
        <v>B</v>
      </c>
      <c r="N43" s="14" t="str">
        <v>F</v>
      </c>
    </row>
    <row r="44" spans="9:14" x14ac:dyDescent="0.25">
      <c r="I44" s="14">
        <v>0</v>
      </c>
      <c r="J44" s="14">
        <v>552</v>
      </c>
      <c r="K44" s="14" t="str">
        <v>B</v>
      </c>
      <c r="L44" s="14" t="str">
        <v>D</v>
      </c>
      <c r="M44" s="14" t="str">
        <v>C</v>
      </c>
      <c r="N44" s="14" t="str">
        <v>G</v>
      </c>
    </row>
    <row r="45" spans="9:14" x14ac:dyDescent="0.25">
      <c r="I45" s="14">
        <v>0</v>
      </c>
      <c r="J45" s="14">
        <v>566</v>
      </c>
      <c r="K45" s="14" t="str">
        <v>B</v>
      </c>
      <c r="L45" s="14" t="str">
        <v>D</v>
      </c>
      <c r="M45" s="14" t="str">
        <v>D</v>
      </c>
      <c r="N45" s="14" t="str">
        <v>H</v>
      </c>
    </row>
    <row r="46" spans="9:14" x14ac:dyDescent="0.25">
      <c r="I46" s="14">
        <v>0</v>
      </c>
      <c r="J46" s="14">
        <v>580</v>
      </c>
      <c r="K46" s="14" t="str">
        <v>B</v>
      </c>
      <c r="L46" s="14" t="str">
        <v>D</v>
      </c>
      <c r="M46" s="14" t="str">
        <v>E</v>
      </c>
      <c r="N46" s="14" t="str">
        <v>I</v>
      </c>
    </row>
    <row r="47" spans="9:14" x14ac:dyDescent="0.25">
      <c r="I47" s="14">
        <v>0</v>
      </c>
      <c r="J47" s="14">
        <v>590</v>
      </c>
      <c r="K47" s="14" t="str">
        <v>B</v>
      </c>
      <c r="L47" s="14" t="str">
        <v>E</v>
      </c>
      <c r="M47" s="14" t="str">
        <v>A</v>
      </c>
      <c r="N47" s="14" t="str">
        <v>F</v>
      </c>
    </row>
    <row r="48" spans="9:14" x14ac:dyDescent="0.25">
      <c r="I48" s="14">
        <v>0</v>
      </c>
      <c r="J48" s="14">
        <v>604</v>
      </c>
      <c r="K48" s="14" t="str">
        <v>B</v>
      </c>
      <c r="L48" s="14" t="str">
        <v>E</v>
      </c>
      <c r="M48" s="14" t="str">
        <v>B</v>
      </c>
      <c r="N48" s="14" t="str">
        <v>G</v>
      </c>
    </row>
    <row r="49" spans="9:14" x14ac:dyDescent="0.25">
      <c r="I49" s="14">
        <v>0</v>
      </c>
      <c r="J49" s="14">
        <v>618</v>
      </c>
      <c r="K49" s="14" t="str">
        <v>B</v>
      </c>
      <c r="L49" s="14" t="str">
        <v>E</v>
      </c>
      <c r="M49" s="14" t="str">
        <v>C</v>
      </c>
      <c r="N49" s="14" t="str">
        <v>H</v>
      </c>
    </row>
    <row r="50" spans="9:14" x14ac:dyDescent="0.25">
      <c r="I50" s="14">
        <v>0</v>
      </c>
      <c r="J50" s="14">
        <v>632</v>
      </c>
      <c r="K50" s="14" t="str">
        <v>B</v>
      </c>
      <c r="L50" s="14" t="str">
        <v>E</v>
      </c>
      <c r="M50" s="14" t="str">
        <v>D</v>
      </c>
      <c r="N50" s="14" t="str">
        <v>I</v>
      </c>
    </row>
    <row r="51" spans="9:14" x14ac:dyDescent="0.25">
      <c r="I51" s="14">
        <v>52</v>
      </c>
      <c r="J51" s="14">
        <v>646</v>
      </c>
      <c r="K51" s="14" t="str">
        <v>B</v>
      </c>
      <c r="L51" s="14" t="str">
        <v>E</v>
      </c>
      <c r="M51" s="14" t="str">
        <v>E</v>
      </c>
      <c r="N51" s="14" t="str">
        <v>J</v>
      </c>
    </row>
    <row r="52" spans="9:14" x14ac:dyDescent="0.25">
      <c r="I52" s="14">
        <v>0</v>
      </c>
      <c r="J52" s="14">
        <v>652</v>
      </c>
      <c r="K52" s="14" t="str">
        <v>C</v>
      </c>
      <c r="L52" s="14" t="str">
        <v>A</v>
      </c>
      <c r="M52" s="14" t="str">
        <v>A</v>
      </c>
      <c r="N52" s="14" t="str">
        <v>C</v>
      </c>
    </row>
    <row r="53" spans="9:14" x14ac:dyDescent="0.25">
      <c r="I53" s="14">
        <v>0</v>
      </c>
      <c r="J53" s="14">
        <v>666</v>
      </c>
      <c r="K53" s="14" t="str">
        <v>C</v>
      </c>
      <c r="L53" s="14" t="str">
        <v>A</v>
      </c>
      <c r="M53" s="14" t="str">
        <v>B</v>
      </c>
      <c r="N53" s="14" t="str">
        <v>D</v>
      </c>
    </row>
    <row r="54" spans="9:14" x14ac:dyDescent="0.25">
      <c r="I54" s="14">
        <v>0</v>
      </c>
      <c r="J54" s="14">
        <v>680</v>
      </c>
      <c r="K54" s="14" t="str">
        <v>C</v>
      </c>
      <c r="L54" s="14" t="str">
        <v>A</v>
      </c>
      <c r="M54" s="14" t="str">
        <v>C</v>
      </c>
      <c r="N54" s="14" t="str">
        <v>E</v>
      </c>
    </row>
    <row r="55" spans="9:14" x14ac:dyDescent="0.25">
      <c r="I55" s="14">
        <v>0</v>
      </c>
      <c r="J55" s="14">
        <v>694</v>
      </c>
      <c r="K55" s="14" t="str">
        <v>C</v>
      </c>
      <c r="L55" s="14" t="str">
        <v>A</v>
      </c>
      <c r="M55" s="14" t="str">
        <v>D</v>
      </c>
      <c r="N55" s="14" t="str">
        <v>F</v>
      </c>
    </row>
    <row r="56" spans="9:14" x14ac:dyDescent="0.25">
      <c r="I56" s="14">
        <v>0</v>
      </c>
      <c r="J56" s="14">
        <v>708</v>
      </c>
      <c r="K56" s="14" t="str">
        <v>C</v>
      </c>
      <c r="L56" s="14" t="str">
        <v>A</v>
      </c>
      <c r="M56" s="14" t="str">
        <v>E</v>
      </c>
      <c r="N56" s="14" t="str">
        <v>G</v>
      </c>
    </row>
    <row r="57" spans="9:14" x14ac:dyDescent="0.25">
      <c r="I57" s="14">
        <v>0</v>
      </c>
      <c r="J57" s="14">
        <v>718</v>
      </c>
      <c r="K57" s="14" t="str">
        <v>C</v>
      </c>
      <c r="L57" s="14" t="str">
        <v>B</v>
      </c>
      <c r="M57" s="14" t="str">
        <v>A</v>
      </c>
      <c r="N57" s="14" t="str">
        <v>D</v>
      </c>
    </row>
    <row r="58" spans="9:14" x14ac:dyDescent="0.25">
      <c r="I58" s="14">
        <v>0</v>
      </c>
      <c r="J58" s="14">
        <v>732</v>
      </c>
      <c r="K58" s="14" t="str">
        <v>C</v>
      </c>
      <c r="L58" s="14" t="str">
        <v>B</v>
      </c>
      <c r="M58" s="14" t="str">
        <v>B</v>
      </c>
      <c r="N58" s="14" t="str">
        <v>E</v>
      </c>
    </row>
    <row r="59" spans="9:14" x14ac:dyDescent="0.25">
      <c r="I59" s="14">
        <v>0</v>
      </c>
      <c r="J59" s="14">
        <v>746</v>
      </c>
      <c r="K59" s="14" t="str">
        <v>C</v>
      </c>
      <c r="L59" s="14" t="str">
        <v>B</v>
      </c>
      <c r="M59" s="14" t="str">
        <v>C</v>
      </c>
      <c r="N59" s="14" t="str">
        <v>F</v>
      </c>
    </row>
    <row r="60" spans="9:14" x14ac:dyDescent="0.25">
      <c r="I60" s="14">
        <v>0</v>
      </c>
      <c r="J60" s="14">
        <v>760</v>
      </c>
      <c r="K60" s="14" t="str">
        <v>C</v>
      </c>
      <c r="L60" s="14" t="str">
        <v>B</v>
      </c>
      <c r="M60" s="14" t="str">
        <v>D</v>
      </c>
      <c r="N60" s="14" t="str">
        <v>G</v>
      </c>
    </row>
    <row r="61" spans="9:14" x14ac:dyDescent="0.25">
      <c r="I61" s="14">
        <v>0</v>
      </c>
      <c r="J61" s="14">
        <v>774</v>
      </c>
      <c r="K61" s="14" t="str">
        <v>C</v>
      </c>
      <c r="L61" s="14" t="str">
        <v>B</v>
      </c>
      <c r="M61" s="14" t="str">
        <v>E</v>
      </c>
      <c r="N61" s="14" t="str">
        <v>H</v>
      </c>
    </row>
    <row r="62" spans="9:14" x14ac:dyDescent="0.25">
      <c r="I62" s="14">
        <v>0</v>
      </c>
      <c r="J62" s="14">
        <v>784</v>
      </c>
      <c r="K62" s="14" t="str">
        <v>C</v>
      </c>
      <c r="L62" s="14" t="str">
        <v>C</v>
      </c>
      <c r="M62" s="14" t="str">
        <v>A</v>
      </c>
      <c r="N62" s="14" t="str">
        <v>E</v>
      </c>
    </row>
    <row r="63" spans="9:14" x14ac:dyDescent="0.25">
      <c r="I63" s="14">
        <v>0</v>
      </c>
      <c r="J63" s="14">
        <v>798</v>
      </c>
      <c r="K63" s="14" t="str">
        <v>C</v>
      </c>
      <c r="L63" s="14" t="str">
        <v>C</v>
      </c>
      <c r="M63" s="14" t="str">
        <v>B</v>
      </c>
      <c r="N63" s="14" t="str">
        <v>F</v>
      </c>
    </row>
    <row r="64" spans="9:14" x14ac:dyDescent="0.25">
      <c r="I64" s="14">
        <v>0</v>
      </c>
      <c r="J64" s="14">
        <v>812</v>
      </c>
      <c r="K64" s="14" t="str">
        <v>C</v>
      </c>
      <c r="L64" s="14" t="str">
        <v>C</v>
      </c>
      <c r="M64" s="14" t="str">
        <v>C</v>
      </c>
      <c r="N64" s="14" t="str">
        <v>G</v>
      </c>
    </row>
    <row r="65" spans="9:14" x14ac:dyDescent="0.25">
      <c r="I65" s="14">
        <v>0</v>
      </c>
      <c r="J65" s="14">
        <v>826</v>
      </c>
      <c r="K65" s="14" t="str">
        <v>C</v>
      </c>
      <c r="L65" s="14" t="str">
        <v>C</v>
      </c>
      <c r="M65" s="14" t="str">
        <v>D</v>
      </c>
      <c r="N65" s="14" t="str">
        <v>H</v>
      </c>
    </row>
    <row r="66" spans="9:14" x14ac:dyDescent="0.25">
      <c r="I66" s="14">
        <v>0</v>
      </c>
      <c r="J66" s="14">
        <v>840</v>
      </c>
      <c r="K66" s="14" t="str">
        <v>C</v>
      </c>
      <c r="L66" s="14" t="str">
        <v>C</v>
      </c>
      <c r="M66" s="14" t="str">
        <v>E</v>
      </c>
      <c r="N66" s="14" t="str">
        <v>I</v>
      </c>
    </row>
    <row r="67" spans="9:14" x14ac:dyDescent="0.25">
      <c r="I67" s="14">
        <v>0</v>
      </c>
      <c r="J67" s="14">
        <v>850</v>
      </c>
      <c r="K67" s="14" t="str">
        <v>C</v>
      </c>
      <c r="L67" s="14" t="str">
        <v>D</v>
      </c>
      <c r="M67" s="14" t="str">
        <v>A</v>
      </c>
      <c r="N67" s="14" t="str">
        <v>F</v>
      </c>
    </row>
    <row r="68" spans="9:14" x14ac:dyDescent="0.25">
      <c r="I68" s="14">
        <v>0</v>
      </c>
      <c r="J68" s="14">
        <v>864</v>
      </c>
      <c r="K68" s="14" t="str">
        <v>C</v>
      </c>
      <c r="L68" s="14" t="str">
        <v>D</v>
      </c>
      <c r="M68" s="14" t="str">
        <v>B</v>
      </c>
      <c r="N68" s="14" t="str">
        <v>G</v>
      </c>
    </row>
    <row r="69" spans="9:14" x14ac:dyDescent="0.25">
      <c r="I69" s="14">
        <v>0</v>
      </c>
      <c r="J69" s="14">
        <v>878</v>
      </c>
      <c r="K69" s="14" t="str">
        <v>C</v>
      </c>
      <c r="L69" s="14" t="str">
        <v>D</v>
      </c>
      <c r="M69" s="14" t="str">
        <v>C</v>
      </c>
      <c r="N69" s="14" t="str">
        <v>H</v>
      </c>
    </row>
    <row r="70" spans="9:14" x14ac:dyDescent="0.25">
      <c r="I70" s="14">
        <v>0</v>
      </c>
      <c r="J70" s="14">
        <v>892</v>
      </c>
      <c r="K70" s="14" t="str">
        <v>C</v>
      </c>
      <c r="L70" s="14" t="str">
        <v>D</v>
      </c>
      <c r="M70" s="14" t="str">
        <v>D</v>
      </c>
      <c r="N70" s="14" t="str">
        <v>I</v>
      </c>
    </row>
    <row r="71" spans="9:14" x14ac:dyDescent="0.25">
      <c r="I71" s="14">
        <v>0</v>
      </c>
      <c r="J71" s="14">
        <v>906</v>
      </c>
      <c r="K71" s="14" t="str">
        <v>C</v>
      </c>
      <c r="L71" s="14" t="str">
        <v>D</v>
      </c>
      <c r="M71" s="14" t="str">
        <v>E</v>
      </c>
      <c r="N71" s="14" t="str">
        <v>J</v>
      </c>
    </row>
    <row r="72" spans="9:14" x14ac:dyDescent="0.25">
      <c r="I72" s="14">
        <v>0</v>
      </c>
      <c r="J72" s="14">
        <v>916</v>
      </c>
      <c r="K72" s="14" t="str">
        <v>C</v>
      </c>
      <c r="L72" s="14" t="str">
        <v>E</v>
      </c>
      <c r="M72" s="14" t="str">
        <v>A</v>
      </c>
      <c r="N72" s="14" t="str">
        <v>G</v>
      </c>
    </row>
    <row r="73" spans="9:14" x14ac:dyDescent="0.25">
      <c r="I73" s="14">
        <v>0</v>
      </c>
      <c r="J73" s="14">
        <v>930</v>
      </c>
      <c r="K73" s="14" t="str">
        <v>C</v>
      </c>
      <c r="L73" s="14" t="str">
        <v>E</v>
      </c>
      <c r="M73" s="14" t="str">
        <v>B</v>
      </c>
      <c r="N73" s="14" t="str">
        <v>H</v>
      </c>
    </row>
    <row r="74" spans="9:14" x14ac:dyDescent="0.25">
      <c r="I74" s="14">
        <v>0</v>
      </c>
      <c r="J74" s="14">
        <v>944</v>
      </c>
      <c r="K74" s="14" t="str">
        <v>C</v>
      </c>
      <c r="L74" s="14" t="str">
        <v>E</v>
      </c>
      <c r="M74" s="14" t="str">
        <v>C</v>
      </c>
      <c r="N74" s="14" t="str">
        <v>I</v>
      </c>
    </row>
    <row r="75" spans="9:14" x14ac:dyDescent="0.25">
      <c r="I75" s="14">
        <v>0</v>
      </c>
      <c r="J75" s="14">
        <v>958</v>
      </c>
      <c r="K75" s="14" t="str">
        <v>C</v>
      </c>
      <c r="L75" s="14" t="str">
        <v>E</v>
      </c>
      <c r="M75" s="14" t="str">
        <v>D</v>
      </c>
      <c r="N75" s="14" t="str">
        <v>J</v>
      </c>
    </row>
    <row r="76" spans="9:14" x14ac:dyDescent="0.25">
      <c r="I76" s="14">
        <v>35</v>
      </c>
      <c r="J76" s="14">
        <v>972</v>
      </c>
      <c r="K76" s="14" t="str">
        <v>C</v>
      </c>
      <c r="L76" s="14" t="str">
        <v>E</v>
      </c>
      <c r="M76" s="14" t="str">
        <v>E</v>
      </c>
      <c r="N76" s="14" t="str">
        <v>K</v>
      </c>
    </row>
    <row r="77" spans="9:14" x14ac:dyDescent="0.25">
      <c r="I77" s="14">
        <v>0</v>
      </c>
      <c r="J77" s="14">
        <v>978</v>
      </c>
      <c r="K77" s="14" t="str">
        <v>D</v>
      </c>
      <c r="L77" s="14" t="str">
        <v>A</v>
      </c>
      <c r="M77" s="14" t="str">
        <v>A</v>
      </c>
      <c r="N77" s="14" t="str">
        <v>D</v>
      </c>
    </row>
    <row r="78" spans="9:14" x14ac:dyDescent="0.25">
      <c r="I78" s="14">
        <v>0</v>
      </c>
      <c r="J78" s="14">
        <v>992</v>
      </c>
      <c r="K78" s="14" t="str">
        <v>D</v>
      </c>
      <c r="L78" s="14" t="str">
        <v>A</v>
      </c>
      <c r="M78" s="14" t="str">
        <v>B</v>
      </c>
      <c r="N78" s="14" t="str">
        <v>E</v>
      </c>
    </row>
    <row r="79" spans="9:14" x14ac:dyDescent="0.25">
      <c r="I79" s="14">
        <v>0</v>
      </c>
      <c r="J79" s="14">
        <v>1006</v>
      </c>
      <c r="K79" s="14" t="str">
        <v>D</v>
      </c>
      <c r="L79" s="14" t="str">
        <v>A</v>
      </c>
      <c r="M79" s="14" t="str">
        <v>C</v>
      </c>
      <c r="N79" s="14" t="str">
        <v>F</v>
      </c>
    </row>
    <row r="80" spans="9:14" x14ac:dyDescent="0.25">
      <c r="I80" s="14">
        <v>0</v>
      </c>
      <c r="J80" s="14">
        <v>1020</v>
      </c>
      <c r="K80" s="14" t="str">
        <v>D</v>
      </c>
      <c r="L80" s="14" t="str">
        <v>A</v>
      </c>
      <c r="M80" s="14" t="str">
        <v>D</v>
      </c>
      <c r="N80" s="14" t="str">
        <v>G</v>
      </c>
    </row>
    <row r="81" spans="9:14" x14ac:dyDescent="0.25">
      <c r="I81" s="14">
        <v>0</v>
      </c>
      <c r="J81" s="14">
        <v>1034</v>
      </c>
      <c r="K81" s="14" t="str">
        <v>D</v>
      </c>
      <c r="L81" s="14" t="str">
        <v>A</v>
      </c>
      <c r="M81" s="14" t="str">
        <v>E</v>
      </c>
      <c r="N81" s="14" t="str">
        <v>H</v>
      </c>
    </row>
    <row r="82" spans="9:14" x14ac:dyDescent="0.25">
      <c r="I82" s="14">
        <v>0</v>
      </c>
      <c r="J82" s="14">
        <v>1044</v>
      </c>
      <c r="K82" s="14" t="str">
        <v>D</v>
      </c>
      <c r="L82" s="14" t="str">
        <v>B</v>
      </c>
      <c r="M82" s="14" t="str">
        <v>A</v>
      </c>
      <c r="N82" s="14" t="str">
        <v>E</v>
      </c>
    </row>
    <row r="83" spans="9:14" x14ac:dyDescent="0.25">
      <c r="I83" s="14">
        <v>0</v>
      </c>
      <c r="J83" s="14">
        <v>1058</v>
      </c>
      <c r="K83" s="14" t="str">
        <v>D</v>
      </c>
      <c r="L83" s="14" t="str">
        <v>B</v>
      </c>
      <c r="M83" s="14" t="str">
        <v>B</v>
      </c>
      <c r="N83" s="14" t="str">
        <v>F</v>
      </c>
    </row>
    <row r="84" spans="9:14" x14ac:dyDescent="0.25">
      <c r="I84" s="14">
        <v>0</v>
      </c>
      <c r="J84" s="14">
        <v>1072</v>
      </c>
      <c r="K84" s="14" t="str">
        <v>D</v>
      </c>
      <c r="L84" s="14" t="str">
        <v>B</v>
      </c>
      <c r="M84" s="14" t="str">
        <v>C</v>
      </c>
      <c r="N84" s="14" t="str">
        <v>G</v>
      </c>
    </row>
    <row r="85" spans="9:14" x14ac:dyDescent="0.25">
      <c r="I85" s="14">
        <v>0</v>
      </c>
      <c r="J85" s="14">
        <v>1086</v>
      </c>
      <c r="K85" s="14" t="str">
        <v>D</v>
      </c>
      <c r="L85" s="14" t="str">
        <v>B</v>
      </c>
      <c r="M85" s="14" t="str">
        <v>D</v>
      </c>
      <c r="N85" s="14" t="str">
        <v>H</v>
      </c>
    </row>
    <row r="86" spans="9:14" x14ac:dyDescent="0.25">
      <c r="I86" s="14">
        <v>0</v>
      </c>
      <c r="J86" s="14">
        <v>1100</v>
      </c>
      <c r="K86" s="14" t="str">
        <v>D</v>
      </c>
      <c r="L86" s="14" t="str">
        <v>B</v>
      </c>
      <c r="M86" s="14" t="str">
        <v>E</v>
      </c>
      <c r="N86" s="14" t="str">
        <v>I</v>
      </c>
    </row>
    <row r="87" spans="9:14" x14ac:dyDescent="0.25">
      <c r="I87" s="14">
        <v>0</v>
      </c>
      <c r="J87" s="14">
        <v>1110</v>
      </c>
      <c r="K87" s="14" t="str">
        <v>D</v>
      </c>
      <c r="L87" s="14" t="str">
        <v>C</v>
      </c>
      <c r="M87" s="14" t="str">
        <v>A</v>
      </c>
      <c r="N87" s="14" t="str">
        <v>F</v>
      </c>
    </row>
    <row r="88" spans="9:14" x14ac:dyDescent="0.25">
      <c r="I88" s="14">
        <v>0</v>
      </c>
      <c r="J88" s="14">
        <v>1124</v>
      </c>
      <c r="K88" s="14" t="str">
        <v>D</v>
      </c>
      <c r="L88" s="14" t="str">
        <v>C</v>
      </c>
      <c r="M88" s="14" t="str">
        <v>B</v>
      </c>
      <c r="N88" s="14" t="str">
        <v>G</v>
      </c>
    </row>
    <row r="89" spans="9:14" x14ac:dyDescent="0.25">
      <c r="I89" s="14">
        <v>0</v>
      </c>
      <c r="J89" s="14">
        <v>1138</v>
      </c>
      <c r="K89" s="14" t="str">
        <v>D</v>
      </c>
      <c r="L89" s="14" t="str">
        <v>C</v>
      </c>
      <c r="M89" s="14" t="str">
        <v>C</v>
      </c>
      <c r="N89" s="14" t="str">
        <v>H</v>
      </c>
    </row>
    <row r="90" spans="9:14" x14ac:dyDescent="0.25">
      <c r="I90" s="14">
        <v>0</v>
      </c>
      <c r="J90" s="14">
        <v>1152</v>
      </c>
      <c r="K90" s="14" t="str">
        <v>D</v>
      </c>
      <c r="L90" s="14" t="str">
        <v>C</v>
      </c>
      <c r="M90" s="14" t="str">
        <v>D</v>
      </c>
      <c r="N90" s="14" t="str">
        <v>I</v>
      </c>
    </row>
    <row r="91" spans="9:14" x14ac:dyDescent="0.25">
      <c r="I91" s="14">
        <v>0</v>
      </c>
      <c r="J91" s="14">
        <v>1166</v>
      </c>
      <c r="K91" s="14" t="str">
        <v>D</v>
      </c>
      <c r="L91" s="14" t="str">
        <v>C</v>
      </c>
      <c r="M91" s="14" t="str">
        <v>E</v>
      </c>
      <c r="N91" s="14" t="str">
        <v>J</v>
      </c>
    </row>
    <row r="92" spans="9:14" x14ac:dyDescent="0.25">
      <c r="I92" s="14">
        <v>0</v>
      </c>
      <c r="J92" s="14">
        <v>1176</v>
      </c>
      <c r="K92" s="14" t="str">
        <v>D</v>
      </c>
      <c r="L92" s="14" t="str">
        <v>D</v>
      </c>
      <c r="M92" s="14" t="str">
        <v>A</v>
      </c>
      <c r="N92" s="14" t="str">
        <v>G</v>
      </c>
    </row>
    <row r="93" spans="9:14" x14ac:dyDescent="0.25">
      <c r="I93" s="14">
        <v>0</v>
      </c>
      <c r="J93" s="14">
        <v>1190</v>
      </c>
      <c r="K93" s="14" t="str">
        <v>D</v>
      </c>
      <c r="L93" s="14" t="str">
        <v>D</v>
      </c>
      <c r="M93" s="14" t="str">
        <v>B</v>
      </c>
      <c r="N93" s="14" t="str">
        <v>H</v>
      </c>
    </row>
    <row r="94" spans="9:14" x14ac:dyDescent="0.25">
      <c r="I94" s="14">
        <v>0</v>
      </c>
      <c r="J94" s="14">
        <v>1204</v>
      </c>
      <c r="K94" s="14" t="str">
        <v>D</v>
      </c>
      <c r="L94" s="14" t="str">
        <v>D</v>
      </c>
      <c r="M94" s="14" t="str">
        <v>C</v>
      </c>
      <c r="N94" s="14" t="str">
        <v>I</v>
      </c>
    </row>
    <row r="95" spans="9:14" x14ac:dyDescent="0.25">
      <c r="I95" s="14">
        <v>0</v>
      </c>
      <c r="J95" s="14">
        <v>1218</v>
      </c>
      <c r="K95" s="14" t="str">
        <v>D</v>
      </c>
      <c r="L95" s="14" t="str">
        <v>D</v>
      </c>
      <c r="M95" s="14" t="str">
        <v>D</v>
      </c>
      <c r="N95" s="14" t="str">
        <v>J</v>
      </c>
    </row>
    <row r="96" spans="9:14" x14ac:dyDescent="0.25">
      <c r="I96" s="14">
        <v>0</v>
      </c>
      <c r="J96" s="14">
        <v>1232</v>
      </c>
      <c r="K96" s="14" t="str">
        <v>D</v>
      </c>
      <c r="L96" s="14" t="str">
        <v>D</v>
      </c>
      <c r="M96" s="14" t="str">
        <v>E</v>
      </c>
      <c r="N96" s="14" t="str">
        <v>K</v>
      </c>
    </row>
    <row r="97" spans="9:14" x14ac:dyDescent="0.25">
      <c r="I97" s="14">
        <v>0</v>
      </c>
      <c r="J97" s="14">
        <v>1242</v>
      </c>
      <c r="K97" s="14" t="str">
        <v>D</v>
      </c>
      <c r="L97" s="14" t="str">
        <v>E</v>
      </c>
      <c r="M97" s="14" t="str">
        <v>A</v>
      </c>
      <c r="N97" s="14" t="str">
        <v>H</v>
      </c>
    </row>
    <row r="98" spans="9:14" x14ac:dyDescent="0.25">
      <c r="I98" s="14">
        <v>0</v>
      </c>
      <c r="J98" s="14">
        <v>1256</v>
      </c>
      <c r="K98" s="14" t="str">
        <v>D</v>
      </c>
      <c r="L98" s="14" t="str">
        <v>E</v>
      </c>
      <c r="M98" s="14" t="str">
        <v>B</v>
      </c>
      <c r="N98" s="14" t="str">
        <v>I</v>
      </c>
    </row>
    <row r="99" spans="9:14" x14ac:dyDescent="0.25">
      <c r="I99" s="14">
        <v>0</v>
      </c>
      <c r="J99" s="14">
        <v>1270</v>
      </c>
      <c r="K99" s="14" t="str">
        <v>D</v>
      </c>
      <c r="L99" s="14" t="str">
        <v>E</v>
      </c>
      <c r="M99" s="14" t="str">
        <v>C</v>
      </c>
      <c r="N99" s="14" t="str">
        <v>J</v>
      </c>
    </row>
    <row r="100" spans="9:14" x14ac:dyDescent="0.25">
      <c r="I100" s="14">
        <v>0</v>
      </c>
      <c r="J100" s="14">
        <v>1284</v>
      </c>
      <c r="K100" s="14" t="str">
        <v>D</v>
      </c>
      <c r="L100" s="14" t="str">
        <v>E</v>
      </c>
      <c r="M100" s="14" t="str">
        <v>D</v>
      </c>
      <c r="N100" s="14" t="str">
        <v>K</v>
      </c>
    </row>
    <row r="101" spans="9:14" x14ac:dyDescent="0.25">
      <c r="I101" s="14">
        <v>42</v>
      </c>
      <c r="J101" s="14">
        <v>1298</v>
      </c>
      <c r="K101" s="14" t="str">
        <v>D</v>
      </c>
      <c r="L101" s="14" t="str">
        <v>E</v>
      </c>
      <c r="M101" s="14" t="str">
        <v>E</v>
      </c>
      <c r="N101" s="14" t="str">
        <v>L</v>
      </c>
    </row>
    <row r="102" spans="9:14" x14ac:dyDescent="0.25">
      <c r="I102" s="14">
        <v>0</v>
      </c>
      <c r="J102" s="14">
        <v>1304</v>
      </c>
      <c r="K102" s="14" t="str">
        <v>E</v>
      </c>
      <c r="L102" s="14" t="str">
        <v>A</v>
      </c>
      <c r="M102" s="14" t="str">
        <v>A</v>
      </c>
      <c r="N102" s="14" t="str">
        <v>E</v>
      </c>
    </row>
    <row r="103" spans="9:14" x14ac:dyDescent="0.25">
      <c r="I103" s="14">
        <v>0</v>
      </c>
      <c r="J103" s="14">
        <v>1318</v>
      </c>
      <c r="K103" s="14" t="str">
        <v>E</v>
      </c>
      <c r="L103" s="14" t="str">
        <v>A</v>
      </c>
      <c r="M103" s="14" t="str">
        <v>B</v>
      </c>
      <c r="N103" s="14" t="str">
        <v>F</v>
      </c>
    </row>
    <row r="104" spans="9:14" x14ac:dyDescent="0.25">
      <c r="I104" s="14">
        <v>0</v>
      </c>
      <c r="J104" s="14">
        <v>1332</v>
      </c>
      <c r="K104" s="14" t="str">
        <v>E</v>
      </c>
      <c r="L104" s="14" t="str">
        <v>A</v>
      </c>
      <c r="M104" s="14" t="str">
        <v>C</v>
      </c>
      <c r="N104" s="14" t="str">
        <v>G</v>
      </c>
    </row>
    <row r="105" spans="9:14" x14ac:dyDescent="0.25">
      <c r="I105" s="14">
        <v>0</v>
      </c>
      <c r="J105" s="14">
        <v>1346</v>
      </c>
      <c r="K105" s="14" t="str">
        <v>E</v>
      </c>
      <c r="L105" s="14" t="str">
        <v>A</v>
      </c>
      <c r="M105" s="14" t="str">
        <v>D</v>
      </c>
      <c r="N105" s="14" t="str">
        <v>H</v>
      </c>
    </row>
    <row r="106" spans="9:14" x14ac:dyDescent="0.25">
      <c r="I106" s="14">
        <v>0</v>
      </c>
      <c r="J106" s="14">
        <v>1360</v>
      </c>
      <c r="K106" s="14" t="str">
        <v>E</v>
      </c>
      <c r="L106" s="14" t="str">
        <v>A</v>
      </c>
      <c r="M106" s="14" t="str">
        <v>E</v>
      </c>
      <c r="N106" s="14" t="str">
        <v>I</v>
      </c>
    </row>
    <row r="107" spans="9:14" x14ac:dyDescent="0.25">
      <c r="I107" s="14">
        <v>0</v>
      </c>
      <c r="J107" s="14">
        <v>1370</v>
      </c>
      <c r="K107" s="14" t="str">
        <v>E</v>
      </c>
      <c r="L107" s="14" t="str">
        <v>B</v>
      </c>
      <c r="M107" s="14" t="str">
        <v>A</v>
      </c>
      <c r="N107" s="14" t="str">
        <v>F</v>
      </c>
    </row>
    <row r="108" spans="9:14" x14ac:dyDescent="0.25">
      <c r="I108" s="14">
        <v>0</v>
      </c>
      <c r="J108" s="14">
        <v>1384</v>
      </c>
      <c r="K108" s="14" t="str">
        <v>E</v>
      </c>
      <c r="L108" s="14" t="str">
        <v>B</v>
      </c>
      <c r="M108" s="14" t="str">
        <v>B</v>
      </c>
      <c r="N108" s="14" t="str">
        <v>G</v>
      </c>
    </row>
    <row r="109" spans="9:14" x14ac:dyDescent="0.25">
      <c r="I109" s="14">
        <v>0</v>
      </c>
      <c r="J109" s="14">
        <v>1398</v>
      </c>
      <c r="K109" s="14" t="str">
        <v>E</v>
      </c>
      <c r="L109" s="14" t="str">
        <v>B</v>
      </c>
      <c r="M109" s="14" t="str">
        <v>C</v>
      </c>
      <c r="N109" s="14" t="str">
        <v>H</v>
      </c>
    </row>
    <row r="110" spans="9:14" x14ac:dyDescent="0.25">
      <c r="I110" s="14">
        <v>0</v>
      </c>
      <c r="J110" s="14">
        <v>1412</v>
      </c>
      <c r="K110" s="14" t="str">
        <v>E</v>
      </c>
      <c r="L110" s="14" t="str">
        <v>B</v>
      </c>
      <c r="M110" s="14" t="str">
        <v>D</v>
      </c>
      <c r="N110" s="14" t="str">
        <v>I</v>
      </c>
    </row>
    <row r="111" spans="9:14" x14ac:dyDescent="0.25">
      <c r="I111" s="14">
        <v>0</v>
      </c>
      <c r="J111" s="14">
        <v>1426</v>
      </c>
      <c r="K111" s="14" t="str">
        <v>E</v>
      </c>
      <c r="L111" s="14" t="str">
        <v>B</v>
      </c>
      <c r="M111" s="14" t="str">
        <v>E</v>
      </c>
      <c r="N111" s="14" t="str">
        <v>J</v>
      </c>
    </row>
    <row r="112" spans="9:14" x14ac:dyDescent="0.25">
      <c r="I112" s="14">
        <v>0</v>
      </c>
      <c r="J112" s="14">
        <v>1436</v>
      </c>
      <c r="K112" s="14" t="str">
        <v>E</v>
      </c>
      <c r="L112" s="14" t="str">
        <v>C</v>
      </c>
      <c r="M112" s="14" t="str">
        <v>A</v>
      </c>
      <c r="N112" s="14" t="str">
        <v>G</v>
      </c>
    </row>
    <row r="113" spans="9:14" x14ac:dyDescent="0.25">
      <c r="I113" s="14">
        <v>0</v>
      </c>
      <c r="J113" s="14">
        <v>1450</v>
      </c>
      <c r="K113" s="14" t="str">
        <v>E</v>
      </c>
      <c r="L113" s="14" t="str">
        <v>C</v>
      </c>
      <c r="M113" s="14" t="str">
        <v>B</v>
      </c>
      <c r="N113" s="14" t="str">
        <v>H</v>
      </c>
    </row>
    <row r="114" spans="9:14" x14ac:dyDescent="0.25">
      <c r="I114" s="14">
        <v>0</v>
      </c>
      <c r="J114" s="14">
        <v>1464</v>
      </c>
      <c r="K114" s="14" t="str">
        <v>E</v>
      </c>
      <c r="L114" s="14" t="str">
        <v>C</v>
      </c>
      <c r="M114" s="14" t="str">
        <v>C</v>
      </c>
      <c r="N114" s="14" t="str">
        <v>I</v>
      </c>
    </row>
    <row r="115" spans="9:14" x14ac:dyDescent="0.25">
      <c r="I115" s="14">
        <v>0</v>
      </c>
      <c r="J115" s="14">
        <v>1478</v>
      </c>
      <c r="K115" s="14" t="str">
        <v>E</v>
      </c>
      <c r="L115" s="14" t="str">
        <v>C</v>
      </c>
      <c r="M115" s="14" t="str">
        <v>D</v>
      </c>
      <c r="N115" s="14" t="str">
        <v>J</v>
      </c>
    </row>
    <row r="116" spans="9:14" x14ac:dyDescent="0.25">
      <c r="I116" s="14">
        <v>0</v>
      </c>
      <c r="J116" s="14">
        <v>1492</v>
      </c>
      <c r="K116" s="14" t="str">
        <v>E</v>
      </c>
      <c r="L116" s="14" t="str">
        <v>C</v>
      </c>
      <c r="M116" s="14" t="str">
        <v>E</v>
      </c>
      <c r="N116" s="14" t="str">
        <v>K</v>
      </c>
    </row>
    <row r="117" spans="9:14" x14ac:dyDescent="0.25">
      <c r="I117" s="14">
        <v>0</v>
      </c>
      <c r="J117" s="14">
        <v>1502</v>
      </c>
      <c r="K117" s="14" t="str">
        <v>E</v>
      </c>
      <c r="L117" s="14" t="str">
        <v>D</v>
      </c>
      <c r="M117" s="14" t="str">
        <v>A</v>
      </c>
      <c r="N117" s="14" t="str">
        <v>H</v>
      </c>
    </row>
    <row r="118" spans="9:14" x14ac:dyDescent="0.25">
      <c r="I118" s="14">
        <v>0</v>
      </c>
      <c r="J118" s="14">
        <v>1516</v>
      </c>
      <c r="K118" s="14" t="str">
        <v>E</v>
      </c>
      <c r="L118" s="14" t="str">
        <v>D</v>
      </c>
      <c r="M118" s="14" t="str">
        <v>B</v>
      </c>
      <c r="N118" s="14" t="str">
        <v>I</v>
      </c>
    </row>
    <row r="119" spans="9:14" x14ac:dyDescent="0.25">
      <c r="I119" s="14">
        <v>0</v>
      </c>
      <c r="J119" s="14">
        <v>1530</v>
      </c>
      <c r="K119" s="14" t="str">
        <v>E</v>
      </c>
      <c r="L119" s="14" t="str">
        <v>D</v>
      </c>
      <c r="M119" s="14" t="str">
        <v>C</v>
      </c>
      <c r="N119" s="14" t="str">
        <v>J</v>
      </c>
    </row>
    <row r="120" spans="9:14" x14ac:dyDescent="0.25">
      <c r="I120" s="14">
        <v>0</v>
      </c>
      <c r="J120" s="14">
        <v>1544</v>
      </c>
      <c r="K120" s="14" t="str">
        <v>E</v>
      </c>
      <c r="L120" s="14" t="str">
        <v>D</v>
      </c>
      <c r="M120" s="14" t="str">
        <v>D</v>
      </c>
      <c r="N120" s="14" t="str">
        <v>K</v>
      </c>
    </row>
    <row r="121" spans="9:14" x14ac:dyDescent="0.25">
      <c r="I121" s="14">
        <v>0</v>
      </c>
      <c r="J121" s="14">
        <v>1558</v>
      </c>
      <c r="K121" s="14" t="str">
        <v>E</v>
      </c>
      <c r="L121" s="14" t="str">
        <v>D</v>
      </c>
      <c r="M121" s="14" t="str">
        <v>E</v>
      </c>
      <c r="N121" s="14" t="str">
        <v>L</v>
      </c>
    </row>
    <row r="122" spans="9:14" x14ac:dyDescent="0.25">
      <c r="I122" s="14">
        <v>0</v>
      </c>
      <c r="J122" s="14">
        <v>1568</v>
      </c>
      <c r="K122" s="14" t="str">
        <v>E</v>
      </c>
      <c r="L122" s="14" t="str">
        <v>E</v>
      </c>
      <c r="M122" s="14" t="str">
        <v>A</v>
      </c>
      <c r="N122" s="14" t="str">
        <v>I</v>
      </c>
    </row>
    <row r="123" spans="9:14" x14ac:dyDescent="0.25">
      <c r="I123" s="14">
        <v>0</v>
      </c>
      <c r="J123" s="14">
        <v>1582</v>
      </c>
      <c r="K123" s="14" t="str">
        <v>E</v>
      </c>
      <c r="L123" s="14" t="str">
        <v>E</v>
      </c>
      <c r="M123" s="14" t="str">
        <v>B</v>
      </c>
      <c r="N123" s="14" t="str">
        <v>J</v>
      </c>
    </row>
    <row r="124" spans="9:14" x14ac:dyDescent="0.25">
      <c r="I124" s="14">
        <v>0</v>
      </c>
      <c r="J124" s="14">
        <v>1596</v>
      </c>
      <c r="K124" s="14" t="str">
        <v>E</v>
      </c>
      <c r="L124" s="14" t="str">
        <v>E</v>
      </c>
      <c r="M124" s="14" t="str">
        <v>C</v>
      </c>
      <c r="N124" s="14" t="str">
        <v>K</v>
      </c>
    </row>
    <row r="125" spans="9:14" x14ac:dyDescent="0.25">
      <c r="I125" s="14">
        <v>1</v>
      </c>
      <c r="J125" s="14">
        <v>1610</v>
      </c>
      <c r="K125" s="14" t="str">
        <v>E</v>
      </c>
      <c r="L125" s="14" t="str">
        <v>E</v>
      </c>
      <c r="M125" s="14" t="str">
        <v>D</v>
      </c>
      <c r="N125" s="14" t="str">
        <v>L</v>
      </c>
    </row>
    <row r="126" spans="9:14" x14ac:dyDescent="0.25">
      <c r="I126" s="14">
        <v>45</v>
      </c>
      <c r="J126" s="14">
        <v>1624</v>
      </c>
      <c r="K126" s="14" t="str">
        <v>E</v>
      </c>
      <c r="L126" s="14" t="str">
        <v>E</v>
      </c>
      <c r="M126" s="14" t="str">
        <v>E</v>
      </c>
      <c r="N126" s="14" t="str">
        <v>M</v>
      </c>
    </row>
  </sheetData>
  <autoFilter ref="I1:N126" xr:uid="{C194FE55-0286-4952-A376-7F8210C86DEE}"/>
  <mergeCells count="1">
    <mergeCell ref="A1:E1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scriptIds xmlns="http://schemas.microsoft.com/office/extensibility/maker/v1.0" id="script-ids-node-id"/>
</file>

<file path=customXml/item2.xml>�� 
</file>

<file path=customXml/itemProps1.xml><?xml version="1.0" encoding="utf-8"?>
<ds:datastoreItem xmlns:ds="http://schemas.openxmlformats.org/officeDocument/2006/customXml" ds:itemID="{1A3BFC29-6394-49A9-B107-E12E3F4B1704}">
  <ds:schemaRefs>
    <ds:schemaRef ds:uri="http://schemas.microsoft.com/office/extensibility/maker/v1.0"/>
  </ds:schemaRefs>
</ds:datastoreItem>
</file>

<file path=customXml/itemProps2.xml><?xml version="1.0" encoding="utf-8"?>
<ds:datastoreItem xmlns:ds="http://schemas.openxmlformats.org/officeDocument/2006/customXml" ds:itemID="{D6466C28-6715-4015-B3FE-6C38A0D4F9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Base de combinação</vt:lpstr>
      <vt:lpstr>Simluação</vt:lpstr>
      <vt:lpstr>Geral</vt:lpstr>
      <vt:lpstr>Lote 1</vt:lpstr>
      <vt:lpstr>Lote 2</vt:lpstr>
      <vt:lpstr>Lote 3</vt:lpstr>
      <vt:lpstr>Lote 4</vt:lpstr>
      <vt:lpstr>Lote 5</vt:lpstr>
      <vt:lpstr>Lote 6</vt:lpstr>
      <vt:lpstr>Lote 7</vt:lpstr>
      <vt:lpstr>Lote 8</vt:lpstr>
      <vt:lpstr>Lote 9</vt:lpstr>
      <vt:lpstr>Lote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Gogola Vinicius Jose Leon (PS/MFT-OND)</dc:creator>
  <cp:lastModifiedBy>Klippel Joao (CtP/TEF11)</cp:lastModifiedBy>
  <dcterms:created xsi:type="dcterms:W3CDTF">2026-02-23T13:17:18Z</dcterms:created>
  <dcterms:modified xsi:type="dcterms:W3CDTF">2026-03-18T13:16:42Z</dcterms:modified>
</cp:coreProperties>
</file>